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ols\bang_ke\bly\"/>
    </mc:Choice>
  </mc:AlternateContent>
  <xr:revisionPtr revIDLastSave="0" documentId="13_ncr:1_{04290CD4-EF6A-4A15-979D-5AC6B8A9C1D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W STONE-T12-2024" sheetId="1" state="hidden" r:id="rId1"/>
    <sheet name="NOVA STONE-T10.2025" sheetId="2" r:id="rId2"/>
    <sheet name="JW STONE - T01.2025" sheetId="3" state="hidden" r:id="rId3"/>
    <sheet name="xuất" sheetId="4" r:id="rId4"/>
    <sheet name="nhập" sheetId="5" r:id="rId5"/>
  </sheets>
  <definedNames>
    <definedName name="_xlnm._FilterDatabase" localSheetId="3" hidden="1">xuất!$A$2:$AF$100</definedName>
  </definedNames>
  <calcPr calcId="191029"/>
</workbook>
</file>

<file path=xl/calcChain.xml><?xml version="1.0" encoding="utf-8"?>
<calcChain xmlns="http://schemas.openxmlformats.org/spreadsheetml/2006/main"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7" i="5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K18" i="3"/>
  <c r="O13" i="3"/>
  <c r="H13" i="3"/>
  <c r="G13" i="3"/>
  <c r="O12" i="3"/>
  <c r="Q12" i="3" s="1"/>
  <c r="P199" i="2"/>
  <c r="M196" i="2"/>
  <c r="L196" i="2"/>
  <c r="K196" i="2"/>
  <c r="T196" i="2"/>
  <c r="K18" i="1"/>
  <c r="H13" i="1"/>
  <c r="G13" i="1"/>
  <c r="O12" i="1"/>
  <c r="O13" i="1" s="1"/>
  <c r="Q13" i="3" l="1"/>
  <c r="R12" i="3"/>
  <c r="Q12" i="1"/>
  <c r="Q13" i="1" s="1"/>
  <c r="R12" i="1"/>
  <c r="P201" i="2" l="1"/>
  <c r="R13" i="1"/>
  <c r="K17" i="1"/>
  <c r="K16" i="1" s="1"/>
  <c r="S12" i="1"/>
  <c r="S13" i="1" s="1"/>
  <c r="K17" i="3"/>
  <c r="K16" i="3" s="1"/>
  <c r="R13" i="3"/>
  <c r="S12" i="3"/>
  <c r="S13" i="3" s="1"/>
  <c r="V196" i="2"/>
  <c r="X196" i="2" l="1"/>
  <c r="P200" i="2"/>
  <c r="W196" i="2"/>
  <c r="R16" i="3"/>
  <c r="R16" i="1"/>
</calcChain>
</file>

<file path=xl/sharedStrings.xml><?xml version="1.0" encoding="utf-8"?>
<sst xmlns="http://schemas.openxmlformats.org/spreadsheetml/2006/main" count="290" uniqueCount="136">
  <si>
    <t xml:space="preserve">
Add: 1B Hoang Dieu St., Dist. 4
HoChiMinh City, Vietnam
Tel: (84.8) 3826 9727
 Fax: (84.8) 3940 2566
Website: www.sotrans.com.vn
</t>
  </si>
  <si>
    <t>BẢNG KÊ CHI PHÍ GIAO NHẬN HẢI QUAN HÀNG XUẤT NHẬP KHẨU
THÁNG 12/ 2024</t>
  </si>
  <si>
    <t>2024年12月进出口货物报关费用清单</t>
  </si>
  <si>
    <t>To :</t>
  </si>
  <si>
    <t xml:space="preserve">CÔNG TY TNHH JW STONE VIỆT NAM </t>
  </si>
  <si>
    <t>Address:</t>
  </si>
  <si>
    <t>Lô E5-1 (Khu B4), Đường D9, Khu công nghiệp Rạch Bắp, Phường An Tây, Thành Phố Bến Cát, Tỉnh Bình Dương, Việt Nam</t>
  </si>
  <si>
    <t>Tax code:</t>
  </si>
  <si>
    <t>3702792496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</si>
  <si>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</si>
  <si>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</si>
  <si>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</si>
  <si>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</si>
  <si>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</si>
  <si>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</si>
  <si>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</si>
  <si>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</si>
  <si>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</si>
  <si>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40'/45''</t>
  </si>
  <si>
    <t>LCL
(CBM)</t>
  </si>
  <si>
    <t>Gross weight
/cont (kg)</t>
  </si>
  <si>
    <t>Description</t>
  </si>
  <si>
    <t>Invoice Date</t>
  </si>
  <si>
    <t xml:space="preserve">Before VAT Amount </t>
  </si>
  <si>
    <t>VAT 
Amount</t>
  </si>
  <si>
    <t xml:space="preserve">After VAT Amount </t>
  </si>
  <si>
    <t>TOTAL</t>
  </si>
  <si>
    <t>海关申报</t>
  </si>
  <si>
    <t>日</t>
  </si>
  <si>
    <t>提单</t>
  </si>
  <si>
    <t>发票号码。</t>
  </si>
  <si>
    <t>商品</t>
  </si>
  <si>
    <t>小柜</t>
  </si>
  <si>
    <t>大柜</t>
  </si>
  <si>
    <t>拼箱
（煤层气）</t>
  </si>
  <si>
    <t>总重量
/柜（kg)</t>
  </si>
  <si>
    <t>描述内容</t>
  </si>
  <si>
    <t>发票号码</t>
  </si>
  <si>
    <t>发票日期</t>
  </si>
  <si>
    <t>税前金额</t>
  </si>
  <si>
    <t>增值税金额</t>
  </si>
  <si>
    <t>税后金额</t>
  </si>
  <si>
    <t>总金额</t>
  </si>
  <si>
    <t>备注</t>
  </si>
  <si>
    <t>306946468900</t>
  </si>
  <si>
    <t>SV-20241024-01</t>
  </si>
  <si>
    <t>Mặt đá nhân tạo</t>
  </si>
  <si>
    <t>Phí xin giấy chứng nhận xuất xứ hàng xuất khẩu</t>
  </si>
  <si>
    <t>出口货物原产地证C/O申请费用</t>
  </si>
  <si>
    <t>Phí dịch vụ</t>
  </si>
  <si>
    <t>服务费</t>
  </si>
  <si>
    <t>ok</t>
  </si>
  <si>
    <t>Tổng cộng phí dịch vụ logistics: 
物流服务费合计：</t>
  </si>
  <si>
    <t>Phí dịch vụ logistics (đã VAT):
物流服务费（含增值税）：</t>
  </si>
  <si>
    <t>Phí chi hộ:
代付费用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</si>
  <si>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</si>
  <si>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</si>
  <si>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</si>
  <si>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Ngày…..….../…....…/ 2024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</si>
  <si>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</si>
  <si>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</si>
  <si>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</si>
  <si>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</si>
  <si>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 xml:space="preserve">Nguyễn Thị Hương Giang </t>
  </si>
  <si>
    <t>Your confirmation</t>
  </si>
  <si>
    <t>BẢNG KÊ CHI PHÍ GIAO NHẬN HẢI QUAN HÀNG XUẤT NHẬP KHẨU
THÁNG 10/2025</t>
  </si>
  <si>
    <t>2025年10月进出口货物报关费用清单</t>
  </si>
  <si>
    <t>CÔNG TY TNHH NOVA STONE QUARTZ VIỆT NAM</t>
  </si>
  <si>
    <t xml:space="preserve">Lô E5-1 (khu B4), Đường D9, Khu công nghiệp Rạch Bắp, Phường Tây Nam, Thành phố Hồ Chí Minh, Việt Nam </t>
  </si>
  <si>
    <t>3703185737</t>
  </si>
  <si>
    <t>Nơi đi</t>
  </si>
  <si>
    <t>Nơi đến</t>
  </si>
  <si>
    <t>Số cont</t>
  </si>
  <si>
    <t>Số xe</t>
  </si>
  <si>
    <t>40'</t>
  </si>
  <si>
    <t>Kiện
(LCL)</t>
  </si>
  <si>
    <t>出发地</t>
  </si>
  <si>
    <t xml:space="preserve">目的地 </t>
  </si>
  <si>
    <t>箱号</t>
  </si>
  <si>
    <t xml:space="preserve">车牌号 </t>
  </si>
  <si>
    <t>KHO NOVA</t>
  </si>
  <si>
    <t>Miễn kiểm 无需检验</t>
  </si>
  <si>
    <t>307744932520</t>
  </si>
  <si>
    <t>09/09/2025</t>
  </si>
  <si>
    <t>039FX85728B</t>
  </si>
  <si>
    <t>DLNV-20250910</t>
  </si>
  <si>
    <t>MẶT ĐÁ NHÂN TẠO</t>
  </si>
  <si>
    <t>CÁT LÁI</t>
  </si>
  <si>
    <t>Ngày…..….../…....…/ 2025</t>
  </si>
  <si>
    <t>2025年01月进出口货物报关费用清单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</si>
  <si>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</si>
  <si>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</si>
  <si>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</si>
  <si>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STT</t>
  </si>
  <si>
    <t>NGÀY ĐÓNG HÀNG</t>
  </si>
  <si>
    <t>Số TK</t>
  </si>
  <si>
    <t>Ngày ĐK</t>
  </si>
  <si>
    <t>Tạo Job</t>
  </si>
  <si>
    <t>X/N</t>
  </si>
  <si>
    <t>LCL</t>
  </si>
  <si>
    <t>KHỐI LƯỢNG</t>
  </si>
  <si>
    <t>BOOKING</t>
  </si>
  <si>
    <t>SỐ INVOICE</t>
  </si>
  <si>
    <t>STT CONT</t>
  </si>
  <si>
    <t>SỐ CONT/SEAL</t>
  </si>
  <si>
    <t>SỐ SEAL</t>
  </si>
  <si>
    <t>CUT OFF</t>
  </si>
  <si>
    <t>CẢNG HẠ</t>
  </si>
  <si>
    <t>SỐ XE</t>
  </si>
  <si>
    <t>PHỤ PHÍ C/O</t>
  </si>
  <si>
    <t>PHỤ PHÍ NÂNG</t>
  </si>
  <si>
    <t>PHÍ NÂNG</t>
  </si>
  <si>
    <t>PHÍ HẠ</t>
  </si>
  <si>
    <t>PHÍ CHỨNG TỪ
(TM)</t>
  </si>
  <si>
    <t>PHÍ CHỨNG TỪ
(ST CK)</t>
  </si>
  <si>
    <t>PHÍ CSHT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</si>
  <si>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</si>
  <si>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</si>
  <si>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</si>
  <si>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</si>
  <si>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</si>
  <si>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</si>
  <si>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</si>
  <si>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THÁNG 10/2025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</si>
  <si>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</si>
  <si>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</si>
  <si>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</si>
  <si>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</si>
  <si>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</si>
  <si>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</si>
  <si>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</si>
  <si>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NƠI ĐẾN</t>
  </si>
  <si>
    <t>TÊN HÀNG</t>
  </si>
  <si>
    <t>CSHT</t>
  </si>
  <si>
    <t>PHÍ SỬA CHỮA CONT</t>
  </si>
  <si>
    <t>PHÍ DEM/DET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</si>
</sst>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(* #,##0.00_);_(* \(#,##0.00\);_(* &quot;-&quot;_);_(@_)"/>
    <numFmt numFmtId="168" formatCode="0.0"/>
    <numFmt numFmtId="169" formatCode="_ * #,##0.00_ ;_ * \-#,##0.00_ ;_ * &quot;-&quot;??_ ;_ @_ 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0">
    <xf numFmtId="0" fontId="0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69" fontId="1" fillId="0" borderId="0">
      <alignment vertical="center"/>
    </xf>
    <xf numFmtId="0" fontId="43" fillId="0" borderId="0"/>
    <xf numFmtId="0" fontId="44" fillId="0" borderId="0"/>
  </cellStyleXfs>
  <cellXfs count="800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>
      <alignment vertical="center"/>
    </xf>
    <xf numFmtId="0" fontId="11" fillId="2" borderId="4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164" fontId="5" fillId="2" borderId="4" xfId="5" applyNumberFormat="1" applyFont="1" applyFill="1" applyBorder="1" applyAlignment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5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0" fontId="5" fillId="2" borderId="6" xfId="3" applyFont="1" applyFill="1" applyBorder="1" applyAlignment="1">
      <alignment horizontal="center" vertical="center" shrinkToFit="1"/>
    </xf>
    <xf numFmtId="0" fontId="5" fillId="2" borderId="5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Alignment="1">
      <alignment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1" fontId="5" fillId="2" borderId="6" xfId="3" applyNumberFormat="1" applyFont="1" applyFill="1" applyBorder="1" applyAlignment="1">
      <alignment vertical="center" wrapText="1" shrinkToFit="1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0" fontId="10" fillId="2" borderId="6" xfId="3" applyFont="1" applyFill="1" applyBorder="1" applyAlignment="1">
      <alignment horizontal="left" vertical="center" wrapText="1"/>
    </xf>
    <xf numFmtId="49" fontId="5" fillId="2" borderId="6" xfId="3" applyNumberFormat="1" applyFont="1" applyFill="1" applyBorder="1" applyAlignment="1">
      <alignment horizontal="left" vertical="center" wrapText="1" shrinkToFit="1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Alignment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center" vertical="center" wrapText="1"/>
    </xf>
    <xf numFmtId="164" fontId="8" fillId="2" borderId="4" xfId="5" applyNumberFormat="1" applyFont="1" applyFill="1" applyBorder="1" applyAlignment="1">
      <alignment horizontal="center" vertical="center" shrinkToFit="1"/>
    </xf>
    <xf numFmtId="164" fontId="8" fillId="2" borderId="4" xfId="5" applyNumberFormat="1" applyFont="1" applyFill="1" applyBorder="1" applyAlignment="1">
      <alignment vertical="center" shrinkToFit="1"/>
    </xf>
    <xf numFmtId="164" fontId="15" fillId="2" borderId="4" xfId="5" applyNumberFormat="1" applyFont="1" applyFill="1" applyBorder="1" applyAlignment="1">
      <alignment horizontal="left" vertical="center" shrinkToFit="1"/>
    </xf>
    <xf numFmtId="164" fontId="36" fillId="2" borderId="4" xfId="5" applyNumberFormat="1" applyFont="1" applyFill="1" applyBorder="1" applyAlignment="1">
      <alignment horizontal="left" vertical="center" shrinkToFit="1"/>
    </xf>
    <xf numFmtId="164" fontId="15" fillId="2" borderId="4" xfId="5" applyNumberFormat="1" applyFont="1" applyFill="1" applyBorder="1" applyAlignment="1">
      <alignment vertical="center" shrinkToFit="1"/>
    </xf>
    <xf numFmtId="14" fontId="15" fillId="2" borderId="4" xfId="5" applyNumberFormat="1" applyFont="1" applyFill="1" applyBorder="1" applyAlignment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Alignment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5" xfId="5" applyNumberFormat="1" applyFont="1" applyFill="1" applyBorder="1" applyAlignment="1">
      <alignment vertical="center" shrinkToFit="1"/>
    </xf>
    <xf numFmtId="43" fontId="5" fillId="2" borderId="6" xfId="1" applyFont="1" applyFill="1" applyBorder="1" applyAlignment="1">
      <alignment vertical="center" wrapText="1" shrinkToFit="1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10" fillId="2" borderId="6" xfId="3" applyNumberFormat="1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43" fontId="5" fillId="2" borderId="6" xfId="1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wrapText="1" shrinkToFit="1"/>
    </xf>
    <xf numFmtId="164" fontId="5" fillId="6" borderId="4" xfId="3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4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0" xfId="0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1" fontId="25" fillId="6" borderId="4" xfId="3" quotePrefix="1" applyNumberFormat="1" applyFont="1" applyFill="1" applyBorder="1" applyAlignment="1">
      <alignment horizontal="center" vertical="center" wrapText="1" shrinkToFit="1"/>
    </xf>
    <xf numFmtId="14" fontId="25" fillId="6" borderId="4" xfId="3" quotePrefix="1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center" vertical="center" wrapText="1" shrinkToFit="1"/>
    </xf>
    <xf numFmtId="9" fontId="25" fillId="6" borderId="4" xfId="2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shrinkToFit="1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2" xfId="0" applyNumberFormat="1" applyFont="1" applyBorder="1"/>
    <xf numFmtId="164" fontId="25" fillId="2" borderId="0" xfId="1" applyNumberFormat="1" applyFont="1" applyFill="1" applyAlignment="1">
      <alignment vertical="center"/>
    </xf>
    <xf numFmtId="166" fontId="25" fillId="2" borderId="0" xfId="1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Alignment="1">
      <alignment horizontal="left" vertical="center" indent="1"/>
    </xf>
    <xf numFmtId="164" fontId="12" fillId="2" borderId="0" xfId="1" applyNumberFormat="1" applyFont="1" applyFill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 vertical="center" wrapText="1"/>
    </xf>
    <xf numFmtId="165" fontId="40" fillId="0" borderId="16" xfId="0" applyNumberFormat="1" applyFont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/>
    </xf>
    <xf numFmtId="166" fontId="12" fillId="4" borderId="15" xfId="1" applyNumberFormat="1" applyFont="1" applyFill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65" fontId="40" fillId="3" borderId="13" xfId="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164" fontId="25" fillId="2" borderId="20" xfId="1" applyNumberFormat="1" applyFont="1" applyFill="1" applyBorder="1" applyAlignment="1">
      <alignment vertical="center"/>
    </xf>
    <xf numFmtId="49" fontId="5" fillId="2" borderId="20" xfId="4" quotePrefix="1" applyNumberFormat="1" applyFont="1" applyFill="1" applyBorder="1" applyAlignment="1">
      <alignment horizontal="center" vertical="center" wrapText="1"/>
    </xf>
    <xf numFmtId="0" fontId="5" fillId="2" borderId="20" xfId="0" quotePrefix="1" applyFont="1" applyFill="1" applyBorder="1" applyAlignment="1">
      <alignment horizontal="left"/>
    </xf>
    <xf numFmtId="0" fontId="11" fillId="2" borderId="20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horizontal="left" vertical="center" indent="1"/>
    </xf>
    <xf numFmtId="0" fontId="11" fillId="2" borderId="20" xfId="0" quotePrefix="1" applyFont="1" applyFill="1" applyBorder="1" applyAlignment="1">
      <alignment horizontal="left"/>
    </xf>
    <xf numFmtId="164" fontId="8" fillId="2" borderId="7" xfId="0" applyNumberFormat="1" applyFont="1" applyFill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1" fillId="2" borderId="3" xfId="3" applyFont="1" applyFill="1" applyBorder="1" applyAlignment="1">
      <alignment horizontal="center" vertical="center" wrapText="1"/>
    </xf>
    <xf numFmtId="164" fontId="16" fillId="2" borderId="23" xfId="5" applyNumberFormat="1" applyFont="1" applyFill="1" applyBorder="1" applyAlignment="1">
      <alignment horizontal="center" vertical="center" wrapText="1"/>
    </xf>
    <xf numFmtId="0" fontId="11" fillId="2" borderId="23" xfId="3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center" vertical="center" wrapText="1"/>
    </xf>
    <xf numFmtId="14" fontId="10" fillId="2" borderId="23" xfId="3" applyNumberFormat="1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left" vertical="center" wrapText="1"/>
    </xf>
    <xf numFmtId="0" fontId="10" fillId="2" borderId="22" xfId="3" applyFont="1" applyFill="1" applyBorder="1" applyAlignment="1">
      <alignment horizontal="center" vertical="center" wrapText="1"/>
    </xf>
    <xf numFmtId="0" fontId="16" fillId="2" borderId="23" xfId="3" applyFont="1" applyFill="1" applyBorder="1" applyAlignment="1">
      <alignment horizontal="center" vertical="center" wrapText="1"/>
    </xf>
    <xf numFmtId="0" fontId="5" fillId="7" borderId="23" xfId="3" applyFont="1" applyFill="1" applyBorder="1" applyAlignment="1">
      <alignment horizontal="center" vertical="center" shrinkToFit="1"/>
    </xf>
    <xf numFmtId="14" fontId="5" fillId="7" borderId="23" xfId="3" quotePrefix="1" applyNumberFormat="1" applyFont="1" applyFill="1" applyBorder="1" applyAlignment="1">
      <alignment horizontal="center" vertical="center" wrapText="1" shrinkToFit="1"/>
    </xf>
    <xf numFmtId="0" fontId="5" fillId="7" borderId="23" xfId="3" quotePrefix="1" applyFont="1" applyFill="1" applyBorder="1" applyAlignment="1">
      <alignment horizontal="center" vertical="center" wrapText="1" shrinkToFit="1"/>
    </xf>
    <xf numFmtId="41" fontId="5" fillId="7" borderId="23" xfId="3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left" vertical="center" wrapText="1" shrinkToFit="1"/>
    </xf>
    <xf numFmtId="1" fontId="5" fillId="7" borderId="23" xfId="3" quotePrefix="1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center" vertical="center" wrapText="1" shrinkToFit="1"/>
    </xf>
    <xf numFmtId="9" fontId="5" fillId="7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left" vertical="center" wrapText="1" shrinkToFit="1"/>
    </xf>
    <xf numFmtId="1" fontId="5" fillId="2" borderId="23" xfId="3" quotePrefix="1" applyNumberFormat="1" applyFont="1" applyFill="1" applyBorder="1" applyAlignment="1">
      <alignment horizontal="center" vertical="center" wrapText="1" shrinkToFit="1"/>
    </xf>
    <xf numFmtId="14" fontId="5" fillId="2" borderId="23" xfId="3" quotePrefix="1" applyNumberFormat="1" applyFont="1" applyFill="1" applyBorder="1" applyAlignment="1">
      <alignment horizontal="center" vertical="center" wrapText="1" shrinkToFit="1"/>
    </xf>
    <xf numFmtId="9" fontId="5" fillId="2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center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164" fontId="25" fillId="7" borderId="23" xfId="3" applyNumberFormat="1" applyFont="1" applyFill="1" applyBorder="1" applyAlignment="1">
      <alignment horizontal="left" vertical="center" wrapText="1" shrinkToFit="1"/>
    </xf>
    <xf numFmtId="49" fontId="30" fillId="7" borderId="23" xfId="3" quotePrefix="1" applyNumberFormat="1" applyFont="1" applyFill="1" applyBorder="1" applyAlignment="1">
      <alignment horizontal="center" vertical="center" wrapText="1" shrinkToFit="1"/>
    </xf>
    <xf numFmtId="1" fontId="25" fillId="7" borderId="23" xfId="3" quotePrefix="1" applyNumberFormat="1" applyFont="1" applyFill="1" applyBorder="1" applyAlignment="1">
      <alignment horizontal="center" vertical="center" wrapText="1" shrinkToFit="1"/>
    </xf>
    <xf numFmtId="14" fontId="25" fillId="7" borderId="23" xfId="3" quotePrefix="1" applyNumberFormat="1" applyFont="1" applyFill="1" applyBorder="1" applyAlignment="1">
      <alignment horizontal="center" vertical="center" wrapText="1" shrinkToFit="1"/>
    </xf>
    <xf numFmtId="9" fontId="25" fillId="7" borderId="23" xfId="2" applyFont="1" applyFill="1" applyBorder="1" applyAlignment="1">
      <alignment horizontal="center" vertical="center" wrapText="1" shrinkToFit="1"/>
    </xf>
    <xf numFmtId="9" fontId="25" fillId="2" borderId="23" xfId="2" applyFont="1" applyFill="1" applyBorder="1" applyAlignment="1">
      <alignment horizontal="center" vertical="center" wrapText="1" shrinkToFit="1"/>
    </xf>
    <xf numFmtId="0" fontId="16" fillId="6" borderId="23" xfId="3" applyFont="1" applyFill="1" applyBorder="1" applyAlignment="1">
      <alignment horizontal="center" vertical="center" wrapText="1"/>
    </xf>
    <xf numFmtId="164" fontId="5" fillId="2" borderId="23" xfId="5" applyNumberFormat="1" applyFont="1" applyFill="1" applyBorder="1" applyAlignment="1">
      <alignment horizontal="center" vertical="center" wrapText="1" shrinkToFit="1"/>
    </xf>
    <xf numFmtId="0" fontId="5" fillId="6" borderId="19" xfId="3" applyFont="1" applyFill="1" applyBorder="1" applyAlignment="1">
      <alignment horizontal="center" vertical="center" shrinkToFit="1"/>
    </xf>
    <xf numFmtId="49" fontId="35" fillId="6" borderId="19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left" vertical="center" wrapText="1" shrinkToFit="1"/>
    </xf>
    <xf numFmtId="1" fontId="25" fillId="6" borderId="23" xfId="3" quotePrefix="1" applyNumberFormat="1" applyFont="1" applyFill="1" applyBorder="1" applyAlignment="1">
      <alignment horizontal="center" vertical="center" wrapText="1" shrinkToFit="1"/>
    </xf>
    <xf numFmtId="14" fontId="25" fillId="6" borderId="23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center" vertical="center" wrapText="1" shrinkToFit="1"/>
    </xf>
    <xf numFmtId="9" fontId="25" fillId="6" borderId="23" xfId="2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center" vertical="center" wrapText="1" shrinkToFit="1"/>
    </xf>
    <xf numFmtId="164" fontId="13" fillId="6" borderId="23" xfId="3" applyNumberFormat="1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left" vertical="center" wrapText="1" shrinkToFit="1"/>
    </xf>
    <xf numFmtId="164" fontId="5" fillId="6" borderId="23" xfId="3" applyNumberFormat="1" applyFont="1" applyFill="1" applyBorder="1" applyAlignment="1">
      <alignment horizontal="left" vertical="center" shrinkToFit="1"/>
    </xf>
    <xf numFmtId="164" fontId="8" fillId="2" borderId="23" xfId="5" applyNumberFormat="1" applyFont="1" applyFill="1" applyBorder="1" applyAlignment="1">
      <alignment horizontal="center" vertical="center" shrinkToFit="1"/>
    </xf>
    <xf numFmtId="164" fontId="8" fillId="2" borderId="23" xfId="5" applyNumberFormat="1" applyFont="1" applyFill="1" applyBorder="1" applyAlignment="1">
      <alignment vertical="center" shrinkToFit="1"/>
    </xf>
    <xf numFmtId="164" fontId="15" fillId="2" borderId="23" xfId="5" applyNumberFormat="1" applyFont="1" applyFill="1" applyBorder="1" applyAlignment="1">
      <alignment horizontal="left" vertical="center" shrinkToFit="1"/>
    </xf>
    <xf numFmtId="164" fontId="36" fillId="2" borderId="23" xfId="5" applyNumberFormat="1" applyFont="1" applyFill="1" applyBorder="1" applyAlignment="1">
      <alignment horizontal="left" vertical="center" shrinkToFit="1"/>
    </xf>
    <xf numFmtId="164" fontId="15" fillId="2" borderId="23" xfId="5" applyNumberFormat="1" applyFont="1" applyFill="1" applyBorder="1" applyAlignment="1">
      <alignment vertical="center" shrinkToFit="1"/>
    </xf>
    <xf numFmtId="14" fontId="15" fillId="2" borderId="23" xfId="5" applyNumberFormat="1" applyFont="1" applyFill="1" applyBorder="1" applyAlignment="1">
      <alignment vertical="center" shrinkToFit="1"/>
    </xf>
    <xf numFmtId="164" fontId="8" fillId="2" borderId="23" xfId="5" applyNumberFormat="1" applyFont="1" applyFill="1" applyBorder="1" applyAlignment="1">
      <alignment horizontal="left" vertical="center" shrinkToFit="1"/>
    </xf>
    <xf numFmtId="14" fontId="8" fillId="2" borderId="23" xfId="5" applyNumberFormat="1" applyFont="1" applyFill="1" applyBorder="1" applyAlignment="1">
      <alignment vertical="center" shrinkToFit="1"/>
    </xf>
    <xf numFmtId="164" fontId="25" fillId="2" borderId="23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25" fillId="2" borderId="24" xfId="1" applyNumberFormat="1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vertical="center"/>
    </xf>
    <xf numFmtId="0" fontId="16" fillId="2" borderId="24" xfId="3" applyFont="1" applyFill="1" applyBorder="1" applyAlignment="1">
      <alignment horizontal="center" vertical="center" wrapText="1"/>
    </xf>
    <xf numFmtId="164" fontId="25" fillId="2" borderId="24" xfId="3" applyNumberFormat="1" applyFont="1" applyFill="1" applyBorder="1" applyAlignment="1">
      <alignment horizontal="left" vertical="center" wrapText="1" shrinkToFit="1"/>
    </xf>
    <xf numFmtId="14" fontId="5" fillId="7" borderId="24" xfId="3" quotePrefix="1" applyNumberFormat="1" applyFont="1" applyFill="1" applyBorder="1" applyAlignment="1">
      <alignment horizontal="center" vertical="center" wrapText="1" shrinkToFit="1"/>
    </xf>
    <xf numFmtId="14" fontId="5" fillId="7" borderId="9" xfId="0" quotePrefix="1" applyNumberFormat="1" applyFont="1" applyFill="1" applyBorder="1" applyAlignment="1">
      <alignment horizontal="center" vertical="center" wrapTex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9" fontId="25" fillId="2" borderId="24" xfId="2" applyFont="1" applyFill="1" applyBorder="1" applyAlignment="1">
      <alignment horizontal="center" vertical="center" wrapText="1" shrinkToFit="1"/>
    </xf>
    <xf numFmtId="164" fontId="25" fillId="2" borderId="24" xfId="5" applyNumberFormat="1" applyFont="1" applyFill="1" applyBorder="1" applyAlignment="1">
      <alignment horizontal="left" vertical="center" wrapText="1" shrinkToFit="1"/>
    </xf>
    <xf numFmtId="164" fontId="5" fillId="7" borderId="23" xfId="1" applyNumberFormat="1" applyFont="1" applyFill="1" applyBorder="1" applyAlignment="1">
      <alignment horizontal="center" vertical="center" wrapText="1" shrinkToFit="1"/>
    </xf>
    <xf numFmtId="164" fontId="42" fillId="8" borderId="24" xfId="1" quotePrefix="1" applyNumberFormat="1" applyFont="1" applyFill="1" applyBorder="1" applyAlignment="1">
      <alignment horizontal="center" vertical="center"/>
    </xf>
    <xf numFmtId="164" fontId="5" fillId="7" borderId="24" xfId="3" applyNumberFormat="1" applyFont="1" applyFill="1" applyBorder="1" applyAlignment="1">
      <alignment horizontal="left" vertical="center" wrapText="1" shrinkToFit="1"/>
    </xf>
    <xf numFmtId="1" fontId="5" fillId="7" borderId="24" xfId="3" quotePrefix="1" applyNumberFormat="1" applyFont="1" applyFill="1" applyBorder="1" applyAlignment="1">
      <alignment horizontal="center" vertical="center" wrapText="1" shrinkToFit="1"/>
    </xf>
    <xf numFmtId="164" fontId="5" fillId="7" borderId="24" xfId="3" applyNumberFormat="1" applyFont="1" applyFill="1" applyBorder="1" applyAlignment="1">
      <alignment horizontal="center" vertical="center" wrapText="1" shrinkToFit="1"/>
    </xf>
    <xf numFmtId="164" fontId="25" fillId="7" borderId="24" xfId="3" applyNumberFormat="1" applyFont="1" applyFill="1" applyBorder="1" applyAlignment="1">
      <alignment horizontal="left" vertical="center" wrapText="1" shrinkToFit="1"/>
    </xf>
    <xf numFmtId="1" fontId="25" fillId="7" borderId="24" xfId="3" quotePrefix="1" applyNumberFormat="1" applyFont="1" applyFill="1" applyBorder="1" applyAlignment="1">
      <alignment horizontal="center" vertical="center" wrapText="1" shrinkToFit="1"/>
    </xf>
    <xf numFmtId="14" fontId="25" fillId="7" borderId="24" xfId="3" quotePrefix="1" applyNumberFormat="1" applyFont="1" applyFill="1" applyBorder="1" applyAlignment="1">
      <alignment horizontal="center" vertical="center" wrapText="1" shrinkToFit="1"/>
    </xf>
    <xf numFmtId="0" fontId="5" fillId="0" borderId="24" xfId="0" applyFont="1" applyBorder="1" applyAlignment="1">
      <alignment horizontal="center"/>
    </xf>
    <xf numFmtId="41" fontId="5" fillId="0" borderId="0" xfId="0" applyNumberFormat="1" applyFont="1" applyAlignment="1">
      <alignment horizontal="center"/>
    </xf>
    <xf numFmtId="9" fontId="5" fillId="7" borderId="24" xfId="2" applyFont="1" applyFill="1" applyBorder="1" applyAlignment="1">
      <alignment horizontal="center" vertical="center" wrapText="1" shrinkToFit="1"/>
    </xf>
    <xf numFmtId="0" fontId="16" fillId="2" borderId="1" xfId="3" applyFont="1" applyFill="1" applyBorder="1" applyAlignment="1">
      <alignment horizontal="center" vertical="center" wrapText="1"/>
    </xf>
    <xf numFmtId="1" fontId="5" fillId="2" borderId="1" xfId="3" quotePrefix="1" applyNumberFormat="1" applyFont="1" applyFill="1" applyBorder="1" applyAlignment="1">
      <alignment horizontal="center" vertical="center" wrapText="1" shrinkToFit="1"/>
    </xf>
    <xf numFmtId="14" fontId="5" fillId="2" borderId="1" xfId="3" quotePrefix="1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center" vertical="center" wrapText="1" shrinkToFit="1"/>
    </xf>
    <xf numFmtId="9" fontId="5" fillId="2" borderId="1" xfId="2" applyFont="1" applyFill="1" applyBorder="1" applyAlignment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center" vertical="center" wrapText="1" shrinkToFit="1"/>
    </xf>
    <xf numFmtId="164" fontId="5" fillId="2" borderId="1" xfId="5" applyNumberFormat="1" applyFont="1" applyFill="1" applyBorder="1" applyAlignment="1">
      <alignment horizontal="left" vertical="center" wrapText="1" shrinkToFit="1"/>
    </xf>
    <xf numFmtId="164" fontId="25" fillId="2" borderId="1" xfId="5" applyNumberFormat="1" applyFont="1" applyFill="1" applyBorder="1" applyAlignment="1">
      <alignment horizontal="left" vertical="center" wrapText="1" shrinkToFit="1"/>
    </xf>
    <xf numFmtId="164" fontId="5" fillId="7" borderId="5" xfId="3" applyNumberFormat="1" applyFont="1" applyFill="1" applyBorder="1" applyAlignment="1">
      <alignment horizontal="left" vertical="center" wrapText="1" shrinkToFit="1"/>
    </xf>
    <xf numFmtId="0" fontId="16" fillId="2" borderId="5" xfId="3" applyFont="1" applyFill="1" applyBorder="1" applyAlignment="1">
      <alignment horizontal="center" vertical="center" wrapText="1"/>
    </xf>
    <xf numFmtId="1" fontId="5" fillId="7" borderId="5" xfId="3" quotePrefix="1" applyNumberFormat="1" applyFont="1" applyFill="1" applyBorder="1" applyAlignment="1">
      <alignment horizontal="center" vertical="center" wrapText="1" shrinkToFit="1"/>
    </xf>
    <xf numFmtId="14" fontId="5" fillId="7" borderId="5" xfId="3" quotePrefix="1" applyNumberFormat="1" applyFont="1" applyFill="1" applyBorder="1" applyAlignment="1">
      <alignment horizontal="center" vertical="center" wrapText="1" shrinkToFit="1"/>
    </xf>
    <xf numFmtId="164" fontId="5" fillId="7" borderId="5" xfId="3" applyNumberFormat="1" applyFont="1" applyFill="1" applyBorder="1" applyAlignment="1">
      <alignment horizontal="center" vertical="center" wrapText="1" shrinkToFit="1"/>
    </xf>
    <xf numFmtId="9" fontId="5" fillId="7" borderId="5" xfId="2" applyFont="1" applyFill="1" applyBorder="1" applyAlignment="1">
      <alignment horizontal="center" vertical="center" wrapText="1" shrinkToFit="1"/>
    </xf>
    <xf numFmtId="164" fontId="25" fillId="2" borderId="5" xfId="3" applyNumberFormat="1" applyFont="1" applyFill="1" applyBorder="1" applyAlignment="1">
      <alignment horizontal="left" vertical="center" wrapText="1" shrinkToFit="1"/>
    </xf>
    <xf numFmtId="3" fontId="5" fillId="0" borderId="24" xfId="0" applyNumberFormat="1" applyFont="1" applyBorder="1" applyAlignment="1">
      <alignment horizont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/>
    </xf>
    <xf numFmtId="49" fontId="5" fillId="0" borderId="24" xfId="4" quotePrefix="1" applyNumberFormat="1" applyFont="1" applyBorder="1"/>
    <xf numFmtId="165" fontId="11" fillId="0" borderId="24" xfId="0" applyNumberFormat="1" applyFont="1" applyBorder="1" applyAlignment="1">
      <alignment horizontal="center"/>
    </xf>
    <xf numFmtId="0" fontId="5" fillId="2" borderId="24" xfId="0" quotePrefix="1" applyFont="1" applyFill="1" applyBorder="1" applyAlignment="1">
      <alignment horizontal="left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40" fillId="0" borderId="14" xfId="0" applyFont="1" applyBorder="1" applyAlignment="1">
      <alignment horizontal="center" vertical="center" wrapText="1"/>
    </xf>
    <xf numFmtId="165" fontId="40" fillId="0" borderId="15" xfId="0" applyNumberFormat="1" applyFont="1" applyBorder="1" applyAlignment="1">
      <alignment horizontal="center" vertical="center"/>
    </xf>
    <xf numFmtId="14" fontId="40" fillId="0" borderId="1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3" fontId="5" fillId="0" borderId="24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/>
    </xf>
    <xf numFmtId="165" fontId="41" fillId="0" borderId="20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 vertical="center"/>
    </xf>
    <xf numFmtId="49" fontId="5" fillId="0" borderId="20" xfId="4" quotePrefix="1" applyNumberFormat="1" applyFont="1" applyBorder="1"/>
    <xf numFmtId="49" fontId="5" fillId="0" borderId="8" xfId="4" quotePrefix="1" applyNumberFormat="1" applyFont="1" applyBorder="1"/>
    <xf numFmtId="164" fontId="5" fillId="0" borderId="13" xfId="1" applyNumberFormat="1" applyFont="1" applyBorder="1" applyAlignment="1">
      <alignment horizontal="right"/>
    </xf>
    <xf numFmtId="49" fontId="5" fillId="0" borderId="19" xfId="4" quotePrefix="1" applyNumberFormat="1" applyFont="1" applyBorder="1"/>
    <xf numFmtId="49" fontId="5" fillId="0" borderId="11" xfId="4" quotePrefix="1" applyNumberFormat="1" applyFont="1" applyBorder="1"/>
    <xf numFmtId="164" fontId="5" fillId="0" borderId="20" xfId="1" applyNumberFormat="1" applyFont="1" applyBorder="1" applyAlignment="1">
      <alignment horizontal="right"/>
    </xf>
    <xf numFmtId="3" fontId="5" fillId="0" borderId="2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/>
    </xf>
    <xf numFmtId="0" fontId="5" fillId="0" borderId="23" xfId="3" applyFont="1" applyBorder="1" applyAlignment="1">
      <alignment horizontal="center" vertical="center" shrinkToFit="1"/>
    </xf>
    <xf numFmtId="164" fontId="5" fillId="2" borderId="24" xfId="5" applyNumberFormat="1" applyFont="1" applyFill="1" applyBorder="1" applyAlignment="1">
      <alignment horizontal="left" vertical="center" wrapText="1" shrinkToFit="1"/>
    </xf>
    <xf numFmtId="49" fontId="42" fillId="8" borderId="24" xfId="1" quotePrefix="1" applyNumberFormat="1" applyFont="1" applyFill="1" applyBorder="1" applyAlignment="1">
      <alignment horizontal="center"/>
    </xf>
    <xf numFmtId="49" fontId="5" fillId="2" borderId="24" xfId="4" quotePrefix="1" applyNumberFormat="1" applyFont="1" applyFill="1" applyBorder="1" applyAlignment="1">
      <alignment horizontal="center" vertical="center" wrapText="1"/>
    </xf>
    <xf numFmtId="164" fontId="42" fillId="8" borderId="24" xfId="1" quotePrefix="1" applyNumberFormat="1" applyFont="1" applyFill="1" applyBorder="1" applyAlignment="1">
      <alignment horizontal="center"/>
    </xf>
    <xf numFmtId="165" fontId="39" fillId="0" borderId="24" xfId="0" applyNumberFormat="1" applyFont="1" applyBorder="1" applyAlignment="1">
      <alignment horizontal="center"/>
    </xf>
    <xf numFmtId="49" fontId="42" fillId="0" borderId="24" xfId="1" quotePrefix="1" applyNumberFormat="1" applyFont="1" applyBorder="1" applyAlignment="1">
      <alignment horizontal="center"/>
    </xf>
    <xf numFmtId="0" fontId="5" fillId="0" borderId="24" xfId="0" quotePrefix="1" applyFont="1" applyBorder="1" applyAlignment="1">
      <alignment horizontal="left"/>
    </xf>
    <xf numFmtId="164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horizontal="left" vertical="center" indent="1"/>
    </xf>
    <xf numFmtId="164" fontId="12" fillId="0" borderId="24" xfId="1" applyNumberFormat="1" applyFont="1" applyBorder="1" applyAlignment="1">
      <alignment vertical="center"/>
    </xf>
    <xf numFmtId="165" fontId="41" fillId="0" borderId="24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64" fontId="2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vertical="center"/>
    </xf>
    <xf numFmtId="164" fontId="5" fillId="0" borderId="17" xfId="1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165" fontId="41" fillId="0" borderId="5" xfId="0" applyNumberFormat="1" applyFont="1" applyBorder="1" applyAlignment="1">
      <alignment horizontal="center"/>
    </xf>
    <xf numFmtId="49" fontId="5" fillId="0" borderId="5" xfId="4" quotePrefix="1" applyNumberFormat="1" applyFont="1" applyBorder="1"/>
    <xf numFmtId="14" fontId="5" fillId="0" borderId="24" xfId="0" applyNumberFormat="1" applyFont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/>
    </xf>
    <xf numFmtId="0" fontId="25" fillId="0" borderId="24" xfId="0" applyFont="1" applyBorder="1" applyAlignment="1">
      <alignment vertical="center"/>
    </xf>
    <xf numFmtId="0" fontId="11" fillId="0" borderId="24" xfId="0" quotePrefix="1" applyFont="1" applyBorder="1" applyAlignment="1">
      <alignment horizontal="left"/>
    </xf>
    <xf numFmtId="165" fontId="29" fillId="0" borderId="24" xfId="0" applyNumberFormat="1" applyFont="1" applyBorder="1" applyAlignment="1">
      <alignment horizontal="center"/>
    </xf>
    <xf numFmtId="0" fontId="25" fillId="2" borderId="24" xfId="0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horizontal="left" vertical="center" indent="1"/>
    </xf>
    <xf numFmtId="0" fontId="10" fillId="2" borderId="24" xfId="3" applyFont="1" applyFill="1" applyBorder="1" applyAlignment="1">
      <alignment horizontal="center" vertical="center" wrapText="1"/>
    </xf>
    <xf numFmtId="0" fontId="18" fillId="2" borderId="24" xfId="3" applyFont="1" applyFill="1" applyBorder="1" applyAlignment="1">
      <alignment horizontal="center" vertical="center"/>
    </xf>
    <xf numFmtId="0" fontId="5" fillId="7" borderId="24" xfId="3" quotePrefix="1" applyFont="1" applyFill="1" applyBorder="1" applyAlignment="1">
      <alignment horizontal="center" vertical="center" wrapText="1" shrinkToFit="1"/>
    </xf>
    <xf numFmtId="0" fontId="11" fillId="2" borderId="11" xfId="3" applyFont="1" applyFill="1" applyBorder="1" applyAlignment="1">
      <alignment horizontal="center" vertical="center" wrapText="1"/>
    </xf>
    <xf numFmtId="0" fontId="11" fillId="2" borderId="7" xfId="3" applyFont="1" applyFill="1" applyBorder="1" applyAlignment="1">
      <alignment horizontal="center" vertical="center" wrapText="1"/>
    </xf>
    <xf numFmtId="164" fontId="10" fillId="2" borderId="6" xfId="5" applyNumberFormat="1" applyFont="1" applyFill="1" applyBorder="1" applyAlignment="1">
      <alignment horizontal="left" vertical="center" wrapText="1"/>
    </xf>
    <xf numFmtId="164" fontId="16" fillId="2" borderId="6" xfId="5" applyNumberFormat="1" applyFont="1" applyFill="1" applyBorder="1" applyAlignment="1">
      <alignment horizontal="center" vertical="center" wrapText="1"/>
    </xf>
    <xf numFmtId="0" fontId="26" fillId="2" borderId="6" xfId="3" applyFont="1" applyFill="1" applyBorder="1"/>
    <xf numFmtId="164" fontId="25" fillId="2" borderId="5" xfId="5" applyNumberFormat="1" applyFont="1" applyFill="1" applyBorder="1" applyAlignment="1">
      <alignment horizontal="left" vertical="center" wrapText="1" shrinkToFit="1"/>
    </xf>
    <xf numFmtId="49" fontId="5" fillId="7" borderId="24" xfId="3" applyNumberFormat="1" applyFont="1" applyFill="1" applyBorder="1" applyAlignment="1">
      <alignment horizontal="center" vertical="center" wrapText="1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7" xfId="3" applyFont="1" applyBorder="1" applyAlignment="1">
      <alignment vertical="center" shrinkToFit="1"/>
    </xf>
    <xf numFmtId="164" fontId="5" fillId="7" borderId="3" xfId="3" applyNumberFormat="1" applyFont="1" applyFill="1" applyBorder="1" applyAlignment="1">
      <alignment horizontal="left" vertical="center" wrapText="1" shrinkToFit="1"/>
    </xf>
    <xf numFmtId="0" fontId="5" fillId="0" borderId="6" xfId="3" applyFont="1" applyBorder="1" applyAlignment="1">
      <alignment vertical="center" shrinkToFit="1"/>
    </xf>
    <xf numFmtId="41" fontId="5" fillId="7" borderId="24" xfId="3" applyNumberFormat="1" applyFont="1" applyFill="1" applyBorder="1" applyAlignment="1">
      <alignment vertical="center" wrapText="1" shrinkToFit="1"/>
    </xf>
    <xf numFmtId="0" fontId="21" fillId="0" borderId="0" xfId="3" applyFont="1"/>
    <xf numFmtId="0" fontId="22" fillId="0" borderId="0" xfId="3" applyFont="1"/>
    <xf numFmtId="0" fontId="14" fillId="0" borderId="0" xfId="3" applyFont="1" applyAlignment="1">
      <alignment vertical="center"/>
    </xf>
    <xf numFmtId="164" fontId="25" fillId="7" borderId="25" xfId="3" applyNumberFormat="1" applyFont="1" applyFill="1" applyBorder="1" applyAlignment="1">
      <alignment horizontal="left" vertical="center" wrapText="1" shrinkToFit="1"/>
    </xf>
    <xf numFmtId="0" fontId="5" fillId="2" borderId="0" xfId="3" applyFont="1" applyFill="1" applyAlignment="1">
      <alignment vertical="center"/>
    </xf>
    <xf numFmtId="0" fontId="5" fillId="2" borderId="6" xfId="3" applyFont="1" applyFill="1" applyBorder="1" applyAlignment="1">
      <alignment vertical="center" wrapText="1"/>
    </xf>
    <xf numFmtId="164" fontId="5" fillId="7" borderId="23" xfId="3" applyNumberFormat="1" applyFont="1" applyFill="1" applyBorder="1" applyAlignment="1">
      <alignment vertical="center" wrapText="1" shrinkToFit="1"/>
    </xf>
    <xf numFmtId="0" fontId="16" fillId="2" borderId="23" xfId="3" applyFont="1" applyFill="1" applyBorder="1" applyAlignment="1">
      <alignment vertical="center" wrapText="1"/>
    </xf>
    <xf numFmtId="0" fontId="16" fillId="2" borderId="24" xfId="3" applyFont="1" applyFill="1" applyBorder="1" applyAlignment="1">
      <alignment vertical="center" wrapText="1"/>
    </xf>
    <xf numFmtId="164" fontId="5" fillId="7" borderId="5" xfId="3" applyNumberFormat="1" applyFont="1" applyFill="1" applyBorder="1" applyAlignment="1">
      <alignment vertical="center" wrapText="1" shrinkToFit="1"/>
    </xf>
    <xf numFmtId="164" fontId="5" fillId="7" borderId="23" xfId="3" applyNumberFormat="1" applyFont="1" applyFill="1" applyBorder="1" applyAlignment="1">
      <alignment wrapText="1" shrinkToFit="1"/>
    </xf>
    <xf numFmtId="0" fontId="16" fillId="2" borderId="1" xfId="3" applyFont="1" applyFill="1" applyBorder="1" applyAlignment="1">
      <alignment vertical="center" wrapText="1"/>
    </xf>
    <xf numFmtId="0" fontId="5" fillId="0" borderId="23" xfId="3" applyFont="1" applyBorder="1" applyAlignment="1">
      <alignment vertical="center" shrinkToFit="1"/>
    </xf>
    <xf numFmtId="164" fontId="6" fillId="2" borderId="23" xfId="5" applyNumberFormat="1" applyFont="1" applyFill="1" applyBorder="1" applyAlignment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14" fontId="5" fillId="2" borderId="6" xfId="0" applyNumberFormat="1" applyFont="1" applyFill="1" applyBorder="1" applyAlignment="1">
      <alignment horizontal="center" vertical="center"/>
    </xf>
    <xf numFmtId="164" fontId="5" fillId="2" borderId="3" xfId="3" applyNumberFormat="1" applyFont="1" applyFill="1" applyBorder="1" applyAlignment="1">
      <alignment horizontal="left" vertical="center" wrapText="1" shrinkToFit="1"/>
    </xf>
    <xf numFmtId="0" fontId="14" fillId="0" borderId="7" xfId="3" applyFont="1" applyBorder="1" applyAlignment="1">
      <alignment vertical="center"/>
    </xf>
    <xf numFmtId="164" fontId="5" fillId="0" borderId="23" xfId="3" applyNumberFormat="1" applyFont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left" vertical="center" wrapText="1" shrinkToFit="1"/>
    </xf>
    <xf numFmtId="1" fontId="5" fillId="7" borderId="1" xfId="3" quotePrefix="1" applyNumberFormat="1" applyFont="1" applyFill="1" applyBorder="1" applyAlignment="1">
      <alignment horizontal="center" vertical="center" wrapText="1" shrinkToFit="1"/>
    </xf>
    <xf numFmtId="9" fontId="5" fillId="7" borderId="1" xfId="2" applyFont="1" applyFill="1" applyBorder="1" applyAlignment="1">
      <alignment horizontal="center" vertical="center" wrapText="1" shrinkToFit="1"/>
    </xf>
    <xf numFmtId="0" fontId="16" fillId="0" borderId="5" xfId="3" applyFont="1" applyBorder="1" applyAlignment="1">
      <alignment vertical="center" wrapText="1"/>
    </xf>
    <xf numFmtId="1" fontId="5" fillId="0" borderId="5" xfId="3" quotePrefix="1" applyNumberFormat="1" applyFont="1" applyBorder="1" applyAlignment="1">
      <alignment horizontal="center" vertical="center" wrapText="1" shrinkToFit="1"/>
    </xf>
    <xf numFmtId="14" fontId="5" fillId="0" borderId="5" xfId="3" quotePrefix="1" applyNumberFormat="1" applyFont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center" vertical="center" wrapText="1" shrinkToFit="1"/>
    </xf>
    <xf numFmtId="9" fontId="5" fillId="0" borderId="5" xfId="2" applyFont="1" applyBorder="1" applyAlignment="1">
      <alignment horizontal="center" vertical="center" wrapText="1" shrinkToFit="1"/>
    </xf>
    <xf numFmtId="164" fontId="5" fillId="0" borderId="5" xfId="5" applyNumberFormat="1" applyFont="1" applyBorder="1" applyAlignment="1">
      <alignment horizontal="left" vertical="center" wrapText="1" shrinkToFit="1"/>
    </xf>
    <xf numFmtId="164" fontId="25" fillId="0" borderId="5" xfId="5" applyNumberFormat="1" applyFont="1" applyBorder="1" applyAlignment="1">
      <alignment horizontal="left" vertical="center" wrapText="1" shrinkToFit="1"/>
    </xf>
    <xf numFmtId="164" fontId="5" fillId="2" borderId="24" xfId="3" applyNumberFormat="1" applyFont="1" applyFill="1" applyBorder="1" applyAlignment="1">
      <alignment horizontal="left" vertical="center" wrapText="1" shrinkToFit="1"/>
    </xf>
    <xf numFmtId="9" fontId="5" fillId="2" borderId="24" xfId="2" applyFont="1" applyFill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left" vertical="center" wrapText="1" shrinkToFit="1"/>
    </xf>
    <xf numFmtId="164" fontId="5" fillId="0" borderId="24" xfId="3" applyNumberFormat="1" applyFont="1" applyBorder="1" applyAlignment="1">
      <alignment horizontal="center" vertical="center" wrapText="1" shrinkToFit="1"/>
    </xf>
    <xf numFmtId="164" fontId="5" fillId="0" borderId="1" xfId="3" applyNumberFormat="1" applyFont="1" applyBorder="1" applyAlignment="1">
      <alignment horizontal="center" vertical="center" wrapText="1" shrinkToFit="1"/>
    </xf>
    <xf numFmtId="14" fontId="5" fillId="0" borderId="24" xfId="3" quotePrefix="1" applyNumberFormat="1" applyFont="1" applyBorder="1" applyAlignment="1">
      <alignment horizontal="center" vertical="center" wrapText="1" shrinkToFit="1"/>
    </xf>
    <xf numFmtId="0" fontId="22" fillId="2" borderId="0" xfId="3" applyFont="1" applyFill="1"/>
    <xf numFmtId="0" fontId="26" fillId="2" borderId="24" xfId="3" applyFont="1" applyFill="1" applyBorder="1"/>
    <xf numFmtId="164" fontId="25" fillId="0" borderId="24" xfId="3" applyNumberFormat="1" applyFont="1" applyBorder="1" applyAlignment="1">
      <alignment horizontal="left" vertical="center" wrapText="1" shrinkToFit="1"/>
    </xf>
    <xf numFmtId="164" fontId="26" fillId="2" borderId="24" xfId="3" applyNumberFormat="1" applyFont="1" applyFill="1" applyBorder="1"/>
    <xf numFmtId="49" fontId="5" fillId="2" borderId="8" xfId="4" quotePrefix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/>
    </xf>
    <xf numFmtId="49" fontId="13" fillId="2" borderId="22" xfId="0" applyNumberFormat="1" applyFont="1" applyFill="1" applyBorder="1" applyAlignment="1">
      <alignment vertical="center" wrapText="1"/>
    </xf>
    <xf numFmtId="164" fontId="12" fillId="4" borderId="21" xfId="1" applyNumberFormat="1" applyFont="1" applyFill="1" applyBorder="1" applyAlignment="1">
      <alignment horizontal="center" vertical="center" wrapText="1"/>
    </xf>
    <xf numFmtId="164" fontId="12" fillId="0" borderId="22" xfId="1" applyNumberFormat="1" applyFont="1" applyBorder="1" applyAlignment="1">
      <alignment vertical="center"/>
    </xf>
    <xf numFmtId="164" fontId="12" fillId="2" borderId="22" xfId="1" applyNumberFormat="1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164" fontId="5" fillId="0" borderId="23" xfId="3" applyNumberFormat="1" applyFont="1" applyBorder="1" applyAlignment="1">
      <alignment horizontal="left" vertical="center" wrapText="1" shrinkToFit="1"/>
    </xf>
    <xf numFmtId="49" fontId="5" fillId="7" borderId="23" xfId="3" quotePrefix="1" applyNumberFormat="1" applyFont="1" applyFill="1" applyBorder="1" applyAlignment="1">
      <alignment horizontal="center" vertical="center" wrapText="1" shrinkToFit="1"/>
    </xf>
    <xf numFmtId="1" fontId="30" fillId="7" borderId="24" xfId="3" quotePrefix="1" applyNumberFormat="1" applyFont="1" applyFill="1" applyBorder="1" applyAlignment="1">
      <alignment horizontal="center" vertical="center" wrapText="1" shrinkToFit="1"/>
    </xf>
    <xf numFmtId="9" fontId="5" fillId="0" borderId="23" xfId="2" applyFont="1" applyBorder="1" applyAlignment="1">
      <alignment horizontal="center" vertical="center" wrapText="1" shrinkToFit="1"/>
    </xf>
    <xf numFmtId="0" fontId="5" fillId="2" borderId="11" xfId="3" applyFont="1" applyFill="1" applyBorder="1" applyAlignment="1">
      <alignment horizontal="center" vertical="center" shrinkToFit="1"/>
    </xf>
    <xf numFmtId="0" fontId="5" fillId="2" borderId="7" xfId="3" applyFont="1" applyFill="1" applyBorder="1" applyAlignment="1">
      <alignment horizontal="center" vertical="center" shrinkToFit="1"/>
    </xf>
    <xf numFmtId="164" fontId="5" fillId="2" borderId="27" xfId="3" applyNumberFormat="1" applyFont="1" applyFill="1" applyBorder="1" applyAlignment="1">
      <alignment horizontal="left" vertical="center" wrapText="1" shrinkToFit="1"/>
    </xf>
    <xf numFmtId="0" fontId="5" fillId="0" borderId="23" xfId="3" applyFont="1" applyBorder="1" applyAlignment="1">
      <alignment horizontal="left" vertical="center" shrinkToFit="1"/>
    </xf>
    <xf numFmtId="9" fontId="5" fillId="0" borderId="24" xfId="2" applyFont="1" applyBorder="1" applyAlignment="1">
      <alignment horizontal="center" vertical="center" wrapText="1" shrinkToFit="1"/>
    </xf>
    <xf numFmtId="0" fontId="16" fillId="0" borderId="24" xfId="3" applyFont="1" applyBorder="1" applyAlignment="1">
      <alignment horizontal="center" vertical="center" wrapText="1"/>
    </xf>
    <xf numFmtId="41" fontId="25" fillId="0" borderId="24" xfId="3" applyNumberFormat="1" applyFont="1" applyBorder="1" applyAlignment="1">
      <alignment vertical="center" wrapText="1"/>
    </xf>
    <xf numFmtId="0" fontId="25" fillId="0" borderId="24" xfId="3" applyFont="1" applyBorder="1" applyAlignment="1">
      <alignment vertical="center"/>
    </xf>
    <xf numFmtId="164" fontId="25" fillId="0" borderId="24" xfId="5" applyNumberFormat="1" applyFont="1" applyBorder="1" applyAlignment="1">
      <alignment horizontal="left" vertical="center" wrapText="1" shrinkToFit="1"/>
    </xf>
    <xf numFmtId="164" fontId="5" fillId="0" borderId="24" xfId="3" quotePrefix="1" applyNumberFormat="1" applyFont="1" applyBorder="1" applyAlignment="1">
      <alignment horizontal="center" vertical="center" wrapText="1" shrinkToFit="1"/>
    </xf>
    <xf numFmtId="164" fontId="5" fillId="0" borderId="24" xfId="5" applyNumberFormat="1" applyFont="1" applyBorder="1" applyAlignment="1">
      <alignment horizontal="left" vertical="center" wrapText="1" shrinkToFit="1"/>
    </xf>
    <xf numFmtId="164" fontId="5" fillId="0" borderId="24" xfId="1" applyNumberFormat="1" applyFont="1" applyBorder="1" applyAlignment="1">
      <alignment horizontal="center" vertical="center" wrapText="1" shrinkToFit="1"/>
    </xf>
    <xf numFmtId="0" fontId="5" fillId="7" borderId="24" xfId="3" applyFont="1" applyFill="1" applyBorder="1" applyAlignment="1">
      <alignment vertical="center" shrinkToFit="1"/>
    </xf>
    <xf numFmtId="14" fontId="5" fillId="7" borderId="28" xfId="3" quotePrefix="1" applyNumberFormat="1" applyFont="1" applyFill="1" applyBorder="1" applyAlignment="1">
      <alignment horizontal="center" vertical="center" wrapText="1" shrinkToFit="1"/>
    </xf>
    <xf numFmtId="0" fontId="5" fillId="0" borderId="24" xfId="0" quotePrefix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/>
    </xf>
    <xf numFmtId="49" fontId="5" fillId="0" borderId="8" xfId="4" quotePrefix="1" applyNumberFormat="1" applyFont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/>
    </xf>
    <xf numFmtId="49" fontId="5" fillId="7" borderId="24" xfId="3" quotePrefix="1" applyNumberFormat="1" applyFont="1" applyFill="1" applyBorder="1" applyAlignment="1">
      <alignment horizontal="center" vertical="center" wrapText="1" shrinkToFit="1"/>
    </xf>
    <xf numFmtId="1" fontId="5" fillId="7" borderId="28" xfId="3" quotePrefix="1" applyNumberFormat="1" applyFont="1" applyFill="1" applyBorder="1" applyAlignment="1">
      <alignment horizontal="center" vertical="center" wrapText="1" shrinkToFit="1"/>
    </xf>
    <xf numFmtId="164" fontId="25" fillId="2" borderId="28" xfId="3" applyNumberFormat="1" applyFont="1" applyFill="1" applyBorder="1" applyAlignment="1">
      <alignment horizontal="left" vertical="center" wrapText="1" shrinkToFit="1"/>
    </xf>
    <xf numFmtId="0" fontId="5" fillId="0" borderId="6" xfId="3" applyFont="1" applyBorder="1" applyAlignment="1">
      <alignment horizontal="center" vertical="center" shrinkToFit="1"/>
    </xf>
    <xf numFmtId="164" fontId="5" fillId="7" borderId="24" xfId="3" applyNumberFormat="1" applyFont="1" applyFill="1" applyBorder="1" applyAlignment="1">
      <alignment vertical="center" wrapText="1" shrinkToFit="1"/>
    </xf>
    <xf numFmtId="165" fontId="11" fillId="2" borderId="24" xfId="0" applyNumberFormat="1" applyFont="1" applyFill="1" applyBorder="1"/>
    <xf numFmtId="0" fontId="5" fillId="0" borderId="24" xfId="0" applyFont="1" applyBorder="1" applyAlignment="1">
      <alignment horizontal="left"/>
    </xf>
    <xf numFmtId="0" fontId="11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165" fontId="5" fillId="0" borderId="24" xfId="0" applyNumberFormat="1" applyFont="1" applyBorder="1" applyAlignment="1">
      <alignment horizontal="center" vertical="center"/>
    </xf>
    <xf numFmtId="0" fontId="25" fillId="2" borderId="24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165" fontId="11" fillId="3" borderId="24" xfId="0" applyNumberFormat="1" applyFont="1" applyFill="1" applyBorder="1"/>
    <xf numFmtId="165" fontId="39" fillId="3" borderId="24" xfId="0" applyNumberFormat="1" applyFont="1" applyFill="1" applyBorder="1" applyAlignment="1">
      <alignment horizontal="center"/>
    </xf>
    <xf numFmtId="165" fontId="11" fillId="0" borderId="24" xfId="0" applyNumberFormat="1" applyFont="1" applyBorder="1" applyAlignment="1">
      <alignment wrapText="1"/>
    </xf>
    <xf numFmtId="165" fontId="11" fillId="0" borderId="24" xfId="0" applyNumberFormat="1" applyFont="1" applyBorder="1" applyAlignment="1">
      <alignment horizontal="center" wrapText="1"/>
    </xf>
    <xf numFmtId="165" fontId="11" fillId="0" borderId="24" xfId="0" applyNumberFormat="1" applyFont="1" applyBorder="1"/>
    <xf numFmtId="164" fontId="12" fillId="2" borderId="24" xfId="1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center"/>
    </xf>
    <xf numFmtId="0" fontId="40" fillId="4" borderId="24" xfId="0" applyFont="1" applyFill="1" applyBorder="1" applyAlignment="1">
      <alignment horizontal="center" vertical="center" wrapText="1"/>
    </xf>
    <xf numFmtId="165" fontId="11" fillId="0" borderId="24" xfId="0" applyNumberFormat="1" applyFont="1" applyBorder="1" applyAlignment="1">
      <alignment horizontal="center" vertical="center"/>
    </xf>
    <xf numFmtId="14" fontId="40" fillId="0" borderId="24" xfId="0" applyNumberFormat="1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 wrapText="1"/>
    </xf>
    <xf numFmtId="14" fontId="11" fillId="0" borderId="24" xfId="0" applyNumberFormat="1" applyFont="1" applyBorder="1" applyAlignment="1">
      <alignment horizontal="center" vertical="center"/>
    </xf>
    <xf numFmtId="164" fontId="12" fillId="4" borderId="24" xfId="1" applyNumberFormat="1" applyFont="1" applyFill="1" applyBorder="1" applyAlignment="1">
      <alignment horizontal="center" vertical="center"/>
    </xf>
    <xf numFmtId="166" fontId="12" fillId="4" borderId="24" xfId="1" applyNumberFormat="1" applyFont="1" applyFill="1" applyBorder="1" applyAlignment="1">
      <alignment horizontal="center" vertical="center" wrapText="1"/>
    </xf>
    <xf numFmtId="164" fontId="12" fillId="4" borderId="24" xfId="1" applyNumberFormat="1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166" fontId="36" fillId="3" borderId="24" xfId="0" applyNumberFormat="1" applyFont="1" applyFill="1" applyBorder="1" applyAlignment="1">
      <alignment vertical="center"/>
    </xf>
    <xf numFmtId="3" fontId="5" fillId="2" borderId="24" xfId="0" applyNumberFormat="1" applyFont="1" applyFill="1" applyBorder="1" applyAlignment="1">
      <alignment horizontal="center" vertical="center"/>
    </xf>
    <xf numFmtId="3" fontId="5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center" vertical="center"/>
    </xf>
    <xf numFmtId="165" fontId="41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right"/>
    </xf>
    <xf numFmtId="164" fontId="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horizontal="center" vertical="center" wrapText="1"/>
    </xf>
    <xf numFmtId="164" fontId="42" fillId="0" borderId="24" xfId="1" quotePrefix="1" applyNumberFormat="1" applyFont="1" applyBorder="1" applyAlignment="1">
      <alignment horizontal="center" vertical="center"/>
    </xf>
    <xf numFmtId="41" fontId="5" fillId="0" borderId="0" xfId="0" applyNumberFormat="1" applyFont="1"/>
    <xf numFmtId="49" fontId="42" fillId="0" borderId="8" xfId="1" quotePrefix="1" applyNumberFormat="1" applyFont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164" fontId="36" fillId="3" borderId="30" xfId="1" applyNumberFormat="1" applyFont="1" applyFill="1" applyBorder="1" applyAlignment="1">
      <alignment horizontal="left" vertical="center" indent="1"/>
    </xf>
    <xf numFmtId="166" fontId="36" fillId="3" borderId="30" xfId="1" applyNumberFormat="1" applyFont="1" applyFill="1" applyBorder="1" applyAlignment="1">
      <alignment vertical="center"/>
    </xf>
    <xf numFmtId="166" fontId="36" fillId="3" borderId="30" xfId="1" applyNumberFormat="1" applyFont="1" applyFill="1" applyBorder="1" applyAlignment="1">
      <alignment horizontal="left" vertical="center" indent="1"/>
    </xf>
    <xf numFmtId="166" fontId="36" fillId="3" borderId="30" xfId="0" applyNumberFormat="1" applyFont="1" applyFill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166" fontId="15" fillId="3" borderId="30" xfId="1" applyNumberFormat="1" applyFont="1" applyFill="1" applyBorder="1" applyAlignment="1">
      <alignment horizontal="left" vertical="center" indent="1"/>
    </xf>
    <xf numFmtId="166" fontId="15" fillId="3" borderId="31" xfId="1" applyNumberFormat="1" applyFont="1" applyFill="1" applyBorder="1" applyAlignment="1">
      <alignment horizontal="left" vertical="center" indent="1"/>
    </xf>
    <xf numFmtId="49" fontId="5" fillId="0" borderId="5" xfId="4" quotePrefix="1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/>
    </xf>
    <xf numFmtId="164" fontId="25" fillId="0" borderId="5" xfId="1" applyNumberFormat="1" applyFont="1" applyBorder="1" applyAlignment="1">
      <alignment vertical="center"/>
    </xf>
    <xf numFmtId="166" fontId="25" fillId="0" borderId="5" xfId="1" applyNumberFormat="1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42" fillId="0" borderId="8" xfId="1" quotePrefix="1" applyNumberFormat="1" applyFont="1" applyBorder="1" applyAlignment="1">
      <alignment horizontal="center" vertical="center"/>
    </xf>
    <xf numFmtId="49" fontId="5" fillId="0" borderId="8" xfId="4" quotePrefix="1" applyNumberFormat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left"/>
    </xf>
    <xf numFmtId="166" fontId="25" fillId="0" borderId="5" xfId="1" applyNumberFormat="1" applyFont="1" applyBorder="1" applyAlignment="1">
      <alignment horizontal="left" vertical="center" indent="1"/>
    </xf>
    <xf numFmtId="164" fontId="12" fillId="0" borderId="8" xfId="1" applyNumberFormat="1" applyFont="1" applyBorder="1" applyAlignment="1">
      <alignment vertical="center"/>
    </xf>
    <xf numFmtId="164" fontId="42" fillId="0" borderId="18" xfId="1" quotePrefix="1" applyNumberFormat="1" applyFont="1" applyBorder="1" applyAlignment="1">
      <alignment horizontal="center" vertical="center"/>
    </xf>
    <xf numFmtId="49" fontId="5" fillId="0" borderId="20" xfId="4" quotePrefix="1" applyNumberFormat="1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horizontal="left"/>
    </xf>
    <xf numFmtId="0" fontId="11" fillId="0" borderId="20" xfId="0" quotePrefix="1" applyFont="1" applyBorder="1" applyAlignment="1">
      <alignment horizontal="left"/>
    </xf>
    <xf numFmtId="164" fontId="25" fillId="0" borderId="20" xfId="1" applyNumberFormat="1" applyFont="1" applyBorder="1" applyAlignment="1">
      <alignment vertical="center"/>
    </xf>
    <xf numFmtId="166" fontId="25" fillId="0" borderId="20" xfId="1" applyNumberFormat="1" applyFont="1" applyBorder="1" applyAlignment="1">
      <alignment vertical="center"/>
    </xf>
    <xf numFmtId="164" fontId="25" fillId="0" borderId="23" xfId="1" applyNumberFormat="1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166" fontId="25" fillId="0" borderId="20" xfId="1" applyNumberFormat="1" applyFont="1" applyBorder="1" applyAlignment="1">
      <alignment horizontal="left" vertical="center" indent="1"/>
    </xf>
    <xf numFmtId="166" fontId="25" fillId="0" borderId="24" xfId="1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64" fontId="5" fillId="7" borderId="4" xfId="3" applyNumberFormat="1" applyFont="1" applyFill="1" applyBorder="1" applyAlignment="1">
      <alignment horizontal="left" vertical="center" wrapText="1" shrinkToFit="1"/>
    </xf>
    <xf numFmtId="164" fontId="5" fillId="14" borderId="4" xfId="3" applyNumberFormat="1" applyFont="1" applyFill="1" applyBorder="1" applyAlignment="1">
      <alignment horizontal="left" vertical="center" wrapText="1" shrinkToFit="1"/>
    </xf>
    <xf numFmtId="164" fontId="5" fillId="14" borderId="4" xfId="3" applyNumberFormat="1" applyFont="1" applyFill="1" applyBorder="1" applyAlignment="1">
      <alignment horizontal="center" vertical="center" wrapText="1" shrinkToFit="1"/>
    </xf>
    <xf numFmtId="164" fontId="25" fillId="14" borderId="4" xfId="3" applyNumberFormat="1" applyFont="1" applyFill="1" applyBorder="1" applyAlignment="1">
      <alignment horizontal="left" vertical="center" wrapText="1" shrinkToFit="1"/>
    </xf>
    <xf numFmtId="0" fontId="5" fillId="7" borderId="4" xfId="3" quotePrefix="1" applyFont="1" applyFill="1" applyBorder="1" applyAlignment="1">
      <alignment vertical="center" wrapText="1" shrinkToFit="1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164" fontId="25" fillId="0" borderId="5" xfId="1" applyNumberFormat="1" applyFont="1" applyBorder="1" applyAlignment="1">
      <alignment horizontal="center" vertical="center"/>
    </xf>
    <xf numFmtId="164" fontId="5" fillId="7" borderId="24" xfId="1" applyNumberFormat="1" applyFont="1" applyFill="1" applyBorder="1" applyAlignment="1">
      <alignment horizontal="right" vertical="center" wrapText="1" shrinkToFit="1"/>
    </xf>
    <xf numFmtId="43" fontId="5" fillId="7" borderId="24" xfId="1" applyFont="1" applyFill="1" applyBorder="1" applyAlignment="1">
      <alignment vertical="center" wrapText="1" shrinkToFit="1"/>
    </xf>
    <xf numFmtId="0" fontId="5" fillId="7" borderId="4" xfId="3" quotePrefix="1" applyFont="1" applyFill="1" applyBorder="1" applyAlignment="1">
      <alignment horizontal="center" vertical="center" wrapText="1" shrinkToFit="1"/>
    </xf>
    <xf numFmtId="14" fontId="5" fillId="7" borderId="24" xfId="0" quotePrefix="1" applyNumberFormat="1" applyFont="1" applyFill="1" applyBorder="1" applyAlignment="1">
      <alignment horizontal="center" vertical="center"/>
    </xf>
    <xf numFmtId="41" fontId="5" fillId="7" borderId="24" xfId="3" applyNumberFormat="1" applyFont="1" applyFill="1" applyBorder="1" applyAlignment="1">
      <alignment horizontal="center" vertical="center" wrapText="1" shrinkToFit="1"/>
    </xf>
    <xf numFmtId="0" fontId="11" fillId="3" borderId="30" xfId="0" applyFont="1" applyFill="1" applyBorder="1" applyAlignment="1">
      <alignment horizontal="center" vertical="center"/>
    </xf>
    <xf numFmtId="164" fontId="5" fillId="7" borderId="4" xfId="3" applyNumberFormat="1" applyFont="1" applyFill="1" applyBorder="1" applyAlignment="1">
      <alignment horizontal="center" vertical="center" wrapText="1" shrinkToFit="1"/>
    </xf>
    <xf numFmtId="14" fontId="5" fillId="7" borderId="24" xfId="3" quotePrefix="1" applyNumberFormat="1" applyFont="1" applyFill="1" applyBorder="1" applyAlignment="1">
      <alignment vertical="center" wrapText="1" shrinkToFit="1"/>
    </xf>
    <xf numFmtId="164" fontId="25" fillId="7" borderId="24" xfId="3" applyNumberFormat="1" applyFont="1" applyFill="1" applyBorder="1" applyAlignment="1">
      <alignment vertical="center" wrapText="1" shrinkToFit="1"/>
    </xf>
    <xf numFmtId="164" fontId="5" fillId="0" borderId="5" xfId="1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/>
    </xf>
    <xf numFmtId="164" fontId="5" fillId="0" borderId="24" xfId="1" applyNumberFormat="1" applyFont="1" applyBorder="1" applyAlignment="1">
      <alignment horizontal="center"/>
    </xf>
    <xf numFmtId="164" fontId="36" fillId="3" borderId="27" xfId="1" applyNumberFormat="1" applyFont="1" applyFill="1" applyBorder="1" applyAlignment="1">
      <alignment vertical="center"/>
    </xf>
    <xf numFmtId="0" fontId="5" fillId="3" borderId="24" xfId="0" applyFont="1" applyFill="1" applyBorder="1" applyAlignment="1">
      <alignment horizontal="center" vertical="center"/>
    </xf>
    <xf numFmtId="164" fontId="25" fillId="10" borderId="5" xfId="1" applyNumberFormat="1" applyFont="1" applyFill="1" applyBorder="1"/>
    <xf numFmtId="0" fontId="11" fillId="5" borderId="22" xfId="0" applyFont="1" applyFill="1" applyBorder="1" applyAlignment="1">
      <alignment vertical="center"/>
    </xf>
    <xf numFmtId="49" fontId="13" fillId="2" borderId="22" xfId="0" applyNumberFormat="1" applyFont="1" applyFill="1" applyBorder="1" applyAlignment="1">
      <alignment horizontal="center" vertical="center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0" borderId="22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166" fontId="25" fillId="0" borderId="5" xfId="1" applyNumberFormat="1" applyFont="1" applyBorder="1" applyAlignment="1">
      <alignment horizontal="center" vertical="center"/>
    </xf>
    <xf numFmtId="1" fontId="42" fillId="8" borderId="8" xfId="1" quotePrefix="1" applyNumberFormat="1" applyFont="1" applyFill="1" applyBorder="1" applyAlignment="1">
      <alignment horizontal="center" vertical="center"/>
    </xf>
    <xf numFmtId="164" fontId="42" fillId="8" borderId="8" xfId="1" quotePrefix="1" applyNumberFormat="1" applyFont="1" applyFill="1" applyBorder="1" applyAlignment="1">
      <alignment horizontal="center" wrapText="1"/>
    </xf>
    <xf numFmtId="164" fontId="5" fillId="0" borderId="16" xfId="1" quotePrefix="1" applyNumberFormat="1" applyFont="1" applyBorder="1" applyAlignment="1">
      <alignment horizontal="center" wrapText="1"/>
    </xf>
    <xf numFmtId="1" fontId="42" fillId="8" borderId="8" xfId="1" quotePrefix="1" applyNumberFormat="1" applyFont="1" applyFill="1" applyBorder="1" applyAlignment="1">
      <alignment horizontal="center"/>
    </xf>
    <xf numFmtId="49" fontId="13" fillId="2" borderId="33" xfId="3" quotePrefix="1" applyNumberFormat="1" applyFont="1" applyFill="1" applyBorder="1" applyAlignment="1">
      <alignment horizontal="center" vertical="center" wrapText="1" shrinkToFit="1"/>
    </xf>
    <xf numFmtId="164" fontId="25" fillId="2" borderId="34" xfId="5" applyNumberFormat="1" applyFont="1" applyFill="1" applyBorder="1" applyAlignment="1">
      <alignment horizontal="left" vertical="center" wrapText="1" shrinkToFit="1"/>
    </xf>
    <xf numFmtId="164" fontId="5" fillId="2" borderId="4" xfId="3" applyNumberFormat="1" applyFont="1" applyFill="1" applyBorder="1" applyAlignment="1">
      <alignment horizontal="left" vertical="center" wrapText="1" shrinkToFit="1"/>
    </xf>
    <xf numFmtId="0" fontId="16" fillId="2" borderId="4" xfId="3" applyFont="1" applyFill="1" applyBorder="1" applyAlignment="1">
      <alignment vertical="center" wrapText="1"/>
    </xf>
    <xf numFmtId="1" fontId="5" fillId="2" borderId="4" xfId="3" quotePrefix="1" applyNumberFormat="1" applyFont="1" applyFill="1" applyBorder="1" applyAlignment="1">
      <alignment horizontal="center" vertical="center" wrapText="1" shrinkToFit="1"/>
    </xf>
    <xf numFmtId="14" fontId="5" fillId="2" borderId="4" xfId="3" quotePrefix="1" applyNumberFormat="1" applyFont="1" applyFill="1" applyBorder="1" applyAlignment="1">
      <alignment horizontal="center" vertical="center" wrapText="1" shrinkToFit="1"/>
    </xf>
    <xf numFmtId="164" fontId="5" fillId="2" borderId="4" xfId="3" applyNumberFormat="1" applyFont="1" applyFill="1" applyBorder="1" applyAlignment="1">
      <alignment horizontal="center" vertical="center" wrapText="1" shrinkToFit="1"/>
    </xf>
    <xf numFmtId="9" fontId="25" fillId="2" borderId="4" xfId="2" applyFont="1" applyFill="1" applyBorder="1" applyAlignment="1">
      <alignment horizontal="center" vertical="center" wrapText="1" shrinkToFit="1"/>
    </xf>
    <xf numFmtId="164" fontId="25" fillId="0" borderId="32" xfId="3" applyNumberFormat="1" applyFont="1" applyBorder="1" applyAlignment="1">
      <alignment horizontal="left" vertical="center" wrapText="1" shrinkToFit="1"/>
    </xf>
    <xf numFmtId="0" fontId="5" fillId="2" borderId="33" xfId="3" applyFont="1" applyFill="1" applyBorder="1" applyAlignment="1">
      <alignment horizontal="center" vertical="center" shrinkToFit="1"/>
    </xf>
    <xf numFmtId="164" fontId="5" fillId="2" borderId="4" xfId="5" applyNumberFormat="1" applyFont="1" applyFill="1" applyBorder="1" applyAlignment="1">
      <alignment horizontal="left" vertical="center" wrapText="1" shrinkToFit="1"/>
    </xf>
    <xf numFmtId="164" fontId="5" fillId="2" borderId="30" xfId="3" applyNumberFormat="1" applyFont="1" applyFill="1" applyBorder="1" applyAlignment="1">
      <alignment horizontal="left" vertical="center" wrapText="1" shrinkToFit="1"/>
    </xf>
    <xf numFmtId="0" fontId="16" fillId="2" borderId="30" xfId="3" applyFont="1" applyFill="1" applyBorder="1" applyAlignment="1">
      <alignment vertical="center" wrapText="1"/>
    </xf>
    <xf numFmtId="1" fontId="5" fillId="2" borderId="30" xfId="3" quotePrefix="1" applyNumberFormat="1" applyFont="1" applyFill="1" applyBorder="1" applyAlignment="1">
      <alignment horizontal="center" vertical="center" wrapText="1" shrinkToFit="1"/>
    </xf>
    <xf numFmtId="14" fontId="5" fillId="2" borderId="30" xfId="3" quotePrefix="1" applyNumberFormat="1" applyFont="1" applyFill="1" applyBorder="1" applyAlignment="1">
      <alignment horizontal="center" vertical="center" wrapText="1" shrinkToFit="1"/>
    </xf>
    <xf numFmtId="164" fontId="5" fillId="2" borderId="30" xfId="3" applyNumberFormat="1" applyFont="1" applyFill="1" applyBorder="1" applyAlignment="1">
      <alignment horizontal="center" vertical="center" wrapText="1" shrinkToFit="1"/>
    </xf>
    <xf numFmtId="9" fontId="25" fillId="2" borderId="30" xfId="2" applyFont="1" applyFill="1" applyBorder="1" applyAlignment="1">
      <alignment horizontal="center" vertical="center" wrapText="1" shrinkToFit="1"/>
    </xf>
    <xf numFmtId="164" fontId="5" fillId="2" borderId="30" xfId="5" applyNumberFormat="1" applyFont="1" applyFill="1" applyBorder="1" applyAlignment="1">
      <alignment horizontal="left" vertical="center" wrapText="1" shrinkToFit="1"/>
    </xf>
    <xf numFmtId="0" fontId="16" fillId="2" borderId="6" xfId="3" applyFont="1" applyFill="1" applyBorder="1" applyAlignment="1">
      <alignment horizontal="center" vertical="center" wrapText="1"/>
    </xf>
    <xf numFmtId="164" fontId="25" fillId="0" borderId="35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center" vertical="center" wrapText="1" shrinkToFit="1"/>
    </xf>
    <xf numFmtId="167" fontId="5" fillId="7" borderId="24" xfId="1" applyNumberFormat="1" applyFont="1" applyFill="1" applyBorder="1" applyAlignment="1">
      <alignment vertical="center" wrapText="1" shrinkToFit="1"/>
    </xf>
    <xf numFmtId="49" fontId="5" fillId="7" borderId="4" xfId="3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left" vertical="center" wrapText="1" shrinkToFit="1"/>
    </xf>
    <xf numFmtId="165" fontId="39" fillId="0" borderId="4" xfId="0" applyNumberFormat="1" applyFont="1" applyBorder="1" applyAlignment="1">
      <alignment horizontal="center"/>
    </xf>
    <xf numFmtId="14" fontId="5" fillId="0" borderId="4" xfId="0" quotePrefix="1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41" fillId="2" borderId="4" xfId="0" applyNumberFormat="1" applyFont="1" applyFill="1" applyBorder="1" applyAlignment="1">
      <alignment horizontal="center"/>
    </xf>
    <xf numFmtId="2" fontId="5" fillId="0" borderId="4" xfId="4" quotePrefix="1" applyNumberFormat="1" applyFont="1" applyBorder="1" applyAlignment="1">
      <alignment horizontal="center"/>
    </xf>
    <xf numFmtId="164" fontId="42" fillId="8" borderId="4" xfId="1" quotePrefix="1" applyNumberFormat="1" applyFont="1" applyFill="1" applyBorder="1" applyAlignment="1">
      <alignment horizontal="center"/>
    </xf>
    <xf numFmtId="164" fontId="25" fillId="2" borderId="30" xfId="1" applyNumberFormat="1" applyFont="1" applyFill="1" applyBorder="1"/>
    <xf numFmtId="166" fontId="25" fillId="15" borderId="4" xfId="1" applyNumberFormat="1" applyFont="1" applyFill="1" applyBorder="1"/>
    <xf numFmtId="165" fontId="11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 wrapText="1"/>
    </xf>
    <xf numFmtId="49" fontId="5" fillId="2" borderId="22" xfId="4" quotePrefix="1" applyNumberFormat="1" applyFont="1" applyFill="1" applyBorder="1" applyAlignment="1">
      <alignment horizontal="center" wrapText="1"/>
    </xf>
    <xf numFmtId="166" fontId="25" fillId="0" borderId="4" xfId="1" applyNumberFormat="1" applyFont="1" applyBorder="1"/>
    <xf numFmtId="164" fontId="25" fillId="0" borderId="4" xfId="1" applyNumberFormat="1" applyFont="1" applyBorder="1"/>
    <xf numFmtId="164" fontId="25" fillId="0" borderId="4" xfId="1" applyNumberFormat="1" applyFont="1" applyBorder="1" applyAlignment="1">
      <alignment vertical="center"/>
    </xf>
    <xf numFmtId="164" fontId="25" fillId="2" borderId="4" xfId="1" applyNumberFormat="1" applyFont="1" applyFill="1" applyBorder="1" applyAlignment="1">
      <alignment vertical="center"/>
    </xf>
    <xf numFmtId="164" fontId="12" fillId="4" borderId="30" xfId="1" applyNumberFormat="1" applyFont="1" applyFill="1" applyBorder="1" applyAlignment="1">
      <alignment horizontal="center" vertical="center" wrapText="1"/>
    </xf>
    <xf numFmtId="49" fontId="5" fillId="0" borderId="4" xfId="4" quotePrefix="1" applyNumberFormat="1" applyFont="1" applyBorder="1" applyAlignment="1">
      <alignment horizontal="center"/>
    </xf>
    <xf numFmtId="49" fontId="5" fillId="2" borderId="4" xfId="4" quotePrefix="1" applyNumberFormat="1" applyFont="1" applyFill="1" applyBorder="1" applyAlignment="1">
      <alignment horizontal="center" wrapText="1"/>
    </xf>
    <xf numFmtId="166" fontId="25" fillId="9" borderId="4" xfId="1" applyNumberFormat="1" applyFont="1" applyFill="1" applyBorder="1" applyAlignment="1">
      <alignment horizontal="left"/>
    </xf>
    <xf numFmtId="166" fontId="15" fillId="3" borderId="4" xfId="1" applyNumberFormat="1" applyFont="1" applyFill="1" applyBorder="1" applyAlignment="1">
      <alignment horizontal="left" vertical="center" indent="1"/>
    </xf>
    <xf numFmtId="164" fontId="25" fillId="10" borderId="4" xfId="1" applyNumberFormat="1" applyFont="1" applyFill="1" applyBorder="1"/>
    <xf numFmtId="164" fontId="42" fillId="8" borderId="4" xfId="1" quotePrefix="1" applyNumberFormat="1" applyFont="1" applyFill="1" applyBorder="1" applyAlignment="1">
      <alignment horizontal="center" vertical="center"/>
    </xf>
    <xf numFmtId="164" fontId="12" fillId="13" borderId="4" xfId="1" applyNumberFormat="1" applyFont="1" applyFill="1" applyBorder="1" applyAlignment="1">
      <alignment horizontal="right"/>
    </xf>
    <xf numFmtId="0" fontId="5" fillId="7" borderId="30" xfId="3" quotePrefix="1" applyFont="1" applyFill="1" applyBorder="1" applyAlignment="1">
      <alignment vertical="center" wrapText="1" shrinkToFit="1"/>
    </xf>
    <xf numFmtId="164" fontId="42" fillId="8" borderId="4" xfId="1" quotePrefix="1" applyNumberFormat="1" applyFont="1" applyFill="1" applyBorder="1" applyAlignment="1">
      <alignment horizontal="center" wrapText="1"/>
    </xf>
    <xf numFmtId="3" fontId="5" fillId="2" borderId="13" xfId="0" applyNumberFormat="1" applyFont="1" applyFill="1" applyBorder="1" applyAlignment="1">
      <alignment horizontal="center" vertical="center"/>
    </xf>
    <xf numFmtId="3" fontId="5" fillId="3" borderId="13" xfId="0" applyNumberFormat="1" applyFont="1" applyFill="1" applyBorder="1" applyAlignment="1">
      <alignment horizontal="center"/>
    </xf>
    <xf numFmtId="165" fontId="39" fillId="0" borderId="4" xfId="0" applyNumberFormat="1" applyFont="1" applyBorder="1" applyAlignment="1">
      <alignment horizontal="center" vertical="center"/>
    </xf>
    <xf numFmtId="164" fontId="5" fillId="0" borderId="36" xfId="1" quotePrefix="1" applyNumberFormat="1" applyFont="1" applyBorder="1" applyAlignment="1">
      <alignment horizontal="center" vertical="center" wrapText="1"/>
    </xf>
    <xf numFmtId="2" fontId="5" fillId="0" borderId="4" xfId="4" quotePrefix="1" applyNumberFormat="1" applyFont="1" applyBorder="1" applyAlignment="1">
      <alignment horizontal="center" vertical="center"/>
    </xf>
    <xf numFmtId="49" fontId="42" fillId="8" borderId="8" xfId="1" quotePrefix="1" applyNumberFormat="1" applyFont="1" applyFill="1" applyBorder="1" applyAlignment="1">
      <alignment horizontal="center" vertical="center"/>
    </xf>
    <xf numFmtId="2" fontId="42" fillId="8" borderId="8" xfId="1" quotePrefix="1" applyNumberFormat="1" applyFont="1" applyFill="1" applyBorder="1" applyAlignment="1">
      <alignment horizontal="center" vertical="center"/>
    </xf>
    <xf numFmtId="164" fontId="25" fillId="2" borderId="4" xfId="1" applyNumberFormat="1" applyFont="1" applyFill="1" applyBorder="1"/>
    <xf numFmtId="164" fontId="25" fillId="9" borderId="30" xfId="1" applyNumberFormat="1" applyFont="1" applyFill="1" applyBorder="1" applyAlignment="1">
      <alignment vertical="center"/>
    </xf>
    <xf numFmtId="164" fontId="25" fillId="12" borderId="30" xfId="1" applyNumberFormat="1" applyFont="1" applyFill="1" applyBorder="1" applyAlignment="1">
      <alignment vertical="center"/>
    </xf>
    <xf numFmtId="164" fontId="25" fillId="16" borderId="4" xfId="1" applyNumberFormat="1" applyFont="1" applyFill="1" applyBorder="1" applyAlignment="1">
      <alignment vertical="center"/>
    </xf>
    <xf numFmtId="164" fontId="25" fillId="11" borderId="4" xfId="1" applyNumberFormat="1" applyFont="1" applyFill="1" applyBorder="1" applyAlignment="1">
      <alignment vertical="center"/>
    </xf>
    <xf numFmtId="166" fontId="25" fillId="15" borderId="4" xfId="1" applyNumberFormat="1" applyFont="1" applyFill="1" applyBorder="1" applyAlignment="1">
      <alignment vertical="center"/>
    </xf>
    <xf numFmtId="166" fontId="25" fillId="2" borderId="4" xfId="1" applyNumberFormat="1" applyFont="1" applyFill="1" applyBorder="1" applyAlignment="1">
      <alignment vertical="center"/>
    </xf>
    <xf numFmtId="166" fontId="25" fillId="9" borderId="4" xfId="1" applyNumberFormat="1" applyFont="1" applyFill="1" applyBorder="1" applyAlignment="1">
      <alignment horizontal="left" indent="1"/>
    </xf>
    <xf numFmtId="0" fontId="11" fillId="2" borderId="4" xfId="0" applyFont="1" applyFill="1" applyBorder="1" applyAlignment="1">
      <alignment horizontal="center"/>
    </xf>
    <xf numFmtId="164" fontId="5" fillId="8" borderId="13" xfId="1" quotePrefix="1" applyNumberFormat="1" applyFont="1" applyFill="1" applyBorder="1" applyAlignment="1">
      <alignment horizontal="center"/>
    </xf>
    <xf numFmtId="164" fontId="5" fillId="0" borderId="13" xfId="1" quotePrefix="1" applyNumberFormat="1" applyFont="1" applyBorder="1" applyAlignment="1">
      <alignment horizontal="center" wrapText="1"/>
    </xf>
    <xf numFmtId="1" fontId="5" fillId="0" borderId="8" xfId="4" quotePrefix="1" applyNumberFormat="1" applyFont="1" applyBorder="1" applyAlignment="1">
      <alignment horizontal="center"/>
    </xf>
    <xf numFmtId="164" fontId="12" fillId="4" borderId="5" xfId="1" applyNumberFormat="1" applyFont="1" applyFill="1" applyBorder="1"/>
    <xf numFmtId="0" fontId="11" fillId="2" borderId="4" xfId="0" applyFont="1" applyFill="1" applyBorder="1" applyAlignment="1">
      <alignment horizontal="center" wrapText="1"/>
    </xf>
    <xf numFmtId="165" fontId="13" fillId="2" borderId="24" xfId="0" applyNumberFormat="1" applyFont="1" applyFill="1" applyBorder="1" applyAlignment="1">
      <alignment horizontal="center"/>
    </xf>
    <xf numFmtId="1" fontId="5" fillId="12" borderId="24" xfId="4" quotePrefix="1" applyNumberFormat="1" applyFont="1" applyFill="1" applyBorder="1" applyAlignment="1">
      <alignment horizontal="center"/>
    </xf>
    <xf numFmtId="49" fontId="5" fillId="2" borderId="32" xfId="4" quotePrefix="1" applyNumberFormat="1" applyFont="1" applyFill="1" applyBorder="1" applyAlignment="1">
      <alignment horizontal="center" wrapText="1"/>
    </xf>
    <xf numFmtId="49" fontId="5" fillId="0" borderId="11" xfId="4" quotePrefix="1" applyNumberFormat="1" applyFont="1" applyBorder="1" applyAlignment="1">
      <alignment horizontal="center"/>
    </xf>
    <xf numFmtId="49" fontId="42" fillId="8" borderId="24" xfId="1" quotePrefix="1" applyNumberFormat="1" applyFont="1" applyFill="1" applyBorder="1" applyAlignment="1">
      <alignment horizontal="center" wrapText="1"/>
    </xf>
    <xf numFmtId="0" fontId="5" fillId="2" borderId="2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5" fillId="2" borderId="24" xfId="0" quotePrefix="1" applyFont="1" applyFill="1" applyBorder="1" applyAlignment="1">
      <alignment horizontal="left" wrapText="1"/>
    </xf>
    <xf numFmtId="164" fontId="25" fillId="12" borderId="24" xfId="1" applyNumberFormat="1" applyFont="1" applyFill="1" applyBorder="1"/>
    <xf numFmtId="49" fontId="45" fillId="0" borderId="24" xfId="0" applyNumberFormat="1" applyFont="1" applyBorder="1" applyAlignment="1">
      <alignment vertical="center"/>
    </xf>
    <xf numFmtId="164" fontId="25" fillId="2" borderId="5" xfId="1" applyNumberFormat="1" applyFont="1" applyFill="1" applyBorder="1"/>
    <xf numFmtId="164" fontId="25" fillId="2" borderId="24" xfId="1" applyNumberFormat="1" applyFont="1" applyFill="1" applyBorder="1"/>
    <xf numFmtId="0" fontId="11" fillId="2" borderId="24" xfId="0" applyFont="1" applyFill="1" applyBorder="1" applyAlignment="1">
      <alignment horizontal="center"/>
    </xf>
    <xf numFmtId="0" fontId="5" fillId="7" borderId="24" xfId="3" applyFont="1" applyFill="1" applyBorder="1" applyAlignment="1">
      <alignment horizontal="center" vertical="center" shrinkToFit="1"/>
    </xf>
    <xf numFmtId="164" fontId="25" fillId="7" borderId="5" xfId="3" applyNumberFormat="1" applyFont="1" applyFill="1" applyBorder="1" applyAlignment="1">
      <alignment horizontal="left" vertical="center" wrapText="1" shrinkToFit="1"/>
    </xf>
    <xf numFmtId="49" fontId="30" fillId="7" borderId="24" xfId="3" quotePrefix="1" applyNumberFormat="1" applyFont="1" applyFill="1" applyBorder="1" applyAlignment="1">
      <alignment horizontal="center" vertical="center" wrapText="1" shrinkToFit="1"/>
    </xf>
    <xf numFmtId="164" fontId="5" fillId="2" borderId="39" xfId="3" applyNumberFormat="1" applyFont="1" applyFill="1" applyBorder="1" applyAlignment="1">
      <alignment horizontal="left" vertical="center" wrapText="1" shrinkToFit="1"/>
    </xf>
    <xf numFmtId="0" fontId="14" fillId="0" borderId="26" xfId="3" applyFont="1" applyBorder="1" applyAlignment="1">
      <alignment vertical="center"/>
    </xf>
    <xf numFmtId="9" fontId="5" fillId="2" borderId="30" xfId="2" applyFont="1" applyFill="1" applyBorder="1" applyAlignment="1">
      <alignment horizontal="center" vertical="center" wrapText="1" shrinkToFit="1"/>
    </xf>
    <xf numFmtId="0" fontId="16" fillId="2" borderId="30" xfId="3" applyFont="1" applyFill="1" applyBorder="1" applyAlignment="1">
      <alignment horizontal="center" vertical="center" wrapText="1"/>
    </xf>
    <xf numFmtId="164" fontId="25" fillId="2" borderId="30" xfId="5" applyNumberFormat="1" applyFont="1" applyFill="1" applyBorder="1" applyAlignment="1">
      <alignment horizontal="left" vertical="center" wrapText="1" shrinkToFit="1"/>
    </xf>
    <xf numFmtId="0" fontId="5" fillId="7" borderId="40" xfId="3" quotePrefix="1" applyFont="1" applyFill="1" applyBorder="1" applyAlignment="1">
      <alignment horizontal="center" vertical="center" wrapText="1" shrinkToFit="1"/>
    </xf>
    <xf numFmtId="164" fontId="5" fillId="7" borderId="40" xfId="3" applyNumberFormat="1" applyFont="1" applyFill="1" applyBorder="1" applyAlignment="1">
      <alignment horizontal="left" vertical="center" wrapText="1" shrinkToFit="1"/>
    </xf>
    <xf numFmtId="164" fontId="25" fillId="7" borderId="41" xfId="3" applyNumberFormat="1" applyFont="1" applyFill="1" applyBorder="1" applyAlignment="1">
      <alignment horizontal="left" vertical="center" wrapText="1" shrinkToFit="1"/>
    </xf>
    <xf numFmtId="0" fontId="14" fillId="0" borderId="42" xfId="3" applyFont="1" applyBorder="1" applyAlignment="1">
      <alignment vertical="center"/>
    </xf>
    <xf numFmtId="164" fontId="5" fillId="14" borderId="24" xfId="3" applyNumberFormat="1" applyFont="1" applyFill="1" applyBorder="1" applyAlignment="1">
      <alignment horizontal="left" vertical="center" wrapText="1" shrinkToFit="1"/>
    </xf>
    <xf numFmtId="164" fontId="5" fillId="14" borderId="24" xfId="3" applyNumberFormat="1" applyFont="1" applyFill="1" applyBorder="1" applyAlignment="1">
      <alignment horizontal="center" vertical="center" wrapText="1" shrinkToFit="1"/>
    </xf>
    <xf numFmtId="164" fontId="25" fillId="14" borderId="24" xfId="3" applyNumberFormat="1" applyFont="1" applyFill="1" applyBorder="1" applyAlignment="1">
      <alignment horizontal="left" vertical="center" wrapText="1" shrinkToFit="1"/>
    </xf>
    <xf numFmtId="165" fontId="13" fillId="0" borderId="5" xfId="0" applyNumberFormat="1" applyFont="1" applyBorder="1" applyAlignment="1">
      <alignment horizontal="center"/>
    </xf>
    <xf numFmtId="1" fontId="13" fillId="3" borderId="24" xfId="4" quotePrefix="1" applyNumberFormat="1" applyFont="1" applyFill="1" applyBorder="1" applyAlignment="1">
      <alignment horizontal="center"/>
    </xf>
    <xf numFmtId="49" fontId="5" fillId="8" borderId="8" xfId="1" quotePrefix="1" applyNumberFormat="1" applyFont="1" applyFill="1" applyBorder="1" applyAlignment="1">
      <alignment horizontal="center" wrapText="1"/>
    </xf>
    <xf numFmtId="49" fontId="5" fillId="2" borderId="24" xfId="4" quotePrefix="1" applyNumberFormat="1" applyFont="1" applyFill="1" applyBorder="1" applyAlignment="1">
      <alignment horizontal="center" wrapText="1"/>
    </xf>
    <xf numFmtId="166" fontId="25" fillId="2" borderId="24" xfId="1" applyNumberFormat="1" applyFont="1" applyFill="1" applyBorder="1"/>
    <xf numFmtId="166" fontId="25" fillId="15" borderId="24" xfId="1" applyNumberFormat="1" applyFont="1" applyFill="1" applyBorder="1"/>
    <xf numFmtId="166" fontId="25" fillId="2" borderId="5" xfId="1" applyNumberFormat="1" applyFont="1" applyFill="1" applyBorder="1"/>
    <xf numFmtId="0" fontId="11" fillId="2" borderId="24" xfId="0" applyFont="1" applyFill="1" applyBorder="1" applyAlignment="1">
      <alignment horizontal="center" wrapText="1"/>
    </xf>
    <xf numFmtId="0" fontId="5" fillId="7" borderId="28" xfId="3" applyFont="1" applyFill="1" applyBorder="1" applyAlignment="1">
      <alignment horizontal="center" vertical="center" shrinkToFit="1"/>
    </xf>
    <xf numFmtId="164" fontId="5" fillId="0" borderId="36" xfId="1" quotePrefix="1" applyNumberFormat="1" applyFont="1" applyBorder="1" applyAlignment="1">
      <alignment vertical="center" wrapText="1"/>
    </xf>
    <xf numFmtId="2" fontId="5" fillId="0" borderId="24" xfId="4" quotePrefix="1" applyNumberFormat="1" applyFont="1" applyBorder="1" applyAlignment="1">
      <alignment horizontal="center"/>
    </xf>
    <xf numFmtId="165" fontId="39" fillId="0" borderId="30" xfId="0" applyNumberFormat="1" applyFont="1" applyBorder="1" applyAlignment="1">
      <alignment horizontal="center"/>
    </xf>
    <xf numFmtId="14" fontId="5" fillId="0" borderId="30" xfId="0" quotePrefix="1" applyNumberFormat="1" applyFont="1" applyBorder="1" applyAlignment="1">
      <alignment horizontal="center"/>
    </xf>
    <xf numFmtId="168" fontId="5" fillId="0" borderId="24" xfId="4" quotePrefix="1" applyNumberFormat="1" applyFont="1" applyBorder="1" applyAlignment="1">
      <alignment horizontal="center"/>
    </xf>
    <xf numFmtId="165" fontId="39" fillId="0" borderId="5" xfId="0" applyNumberFormat="1" applyFont="1" applyBorder="1" applyAlignment="1">
      <alignment horizontal="center"/>
    </xf>
    <xf numFmtId="3" fontId="5" fillId="2" borderId="17" xfId="0" applyNumberFormat="1" applyFont="1" applyFill="1" applyBorder="1" applyAlignment="1">
      <alignment horizontal="center"/>
    </xf>
    <xf numFmtId="164" fontId="42" fillId="8" borderId="8" xfId="1" quotePrefix="1" applyNumberFormat="1" applyFont="1" applyFill="1" applyBorder="1" applyAlignment="1">
      <alignment horizontal="center"/>
    </xf>
    <xf numFmtId="164" fontId="25" fillId="11" borderId="24" xfId="1" applyNumberFormat="1" applyFont="1" applyFill="1" applyBorder="1" applyAlignment="1">
      <alignment vertical="center"/>
    </xf>
    <xf numFmtId="1" fontId="25" fillId="0" borderId="23" xfId="3" quotePrefix="1" applyNumberFormat="1" applyFont="1" applyBorder="1" applyAlignment="1">
      <alignment horizontal="center" vertical="center" wrapText="1" shrinkToFit="1"/>
    </xf>
    <xf numFmtId="14" fontId="25" fillId="0" borderId="23" xfId="3" quotePrefix="1" applyNumberFormat="1" applyFont="1" applyBorder="1" applyAlignment="1">
      <alignment horizontal="center" vertical="center" wrapText="1" shrinkToFit="1"/>
    </xf>
    <xf numFmtId="9" fontId="25" fillId="0" borderId="23" xfId="2" applyFont="1" applyBorder="1" applyAlignment="1">
      <alignment horizontal="center" vertical="center" wrapText="1" shrinkToFit="1"/>
    </xf>
    <xf numFmtId="3" fontId="5" fillId="13" borderId="13" xfId="0" applyNumberFormat="1" applyFont="1" applyFill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vertical="center"/>
    </xf>
    <xf numFmtId="1" fontId="42" fillId="8" borderId="24" xfId="1" quotePrefix="1" applyNumberFormat="1" applyFont="1" applyFill="1" applyBorder="1" applyAlignment="1">
      <alignment horizontal="center"/>
    </xf>
    <xf numFmtId="14" fontId="5" fillId="0" borderId="24" xfId="0" quotePrefix="1" applyNumberFormat="1" applyFont="1" applyBorder="1" applyAlignment="1">
      <alignment horizontal="center"/>
    </xf>
    <xf numFmtId="0" fontId="16" fillId="2" borderId="5" xfId="3" applyFont="1" applyFill="1" applyBorder="1" applyAlignment="1">
      <alignment vertical="center" wrapText="1"/>
    </xf>
    <xf numFmtId="1" fontId="5" fillId="2" borderId="5" xfId="3" quotePrefix="1" applyNumberFormat="1" applyFont="1" applyFill="1" applyBorder="1" applyAlignment="1">
      <alignment horizontal="center" vertical="center" wrapText="1" shrinkToFit="1"/>
    </xf>
    <xf numFmtId="14" fontId="5" fillId="2" borderId="5" xfId="3" quotePrefix="1" applyNumberFormat="1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vertical="center" wrapText="1" shrinkToFit="1"/>
    </xf>
    <xf numFmtId="1" fontId="5" fillId="7" borderId="30" xfId="3" quotePrefix="1" applyNumberFormat="1" applyFont="1" applyFill="1" applyBorder="1" applyAlignment="1">
      <alignment horizontal="center" vertical="center" wrapText="1" shrinkToFit="1"/>
    </xf>
    <xf numFmtId="14" fontId="5" fillId="7" borderId="30" xfId="3" quotePrefix="1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center" vertical="center" wrapText="1" shrinkToFit="1"/>
    </xf>
    <xf numFmtId="9" fontId="5" fillId="7" borderId="30" xfId="2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left" vertical="center" wrapText="1" shrinkToFit="1"/>
    </xf>
    <xf numFmtId="9" fontId="25" fillId="2" borderId="5" xfId="2" applyFont="1" applyFill="1" applyBorder="1" applyAlignment="1">
      <alignment horizontal="center" vertical="center" wrapText="1" shrinkToFit="1"/>
    </xf>
    <xf numFmtId="164" fontId="5" fillId="7" borderId="42" xfId="3" applyNumberFormat="1" applyFont="1" applyFill="1" applyBorder="1" applyAlignment="1">
      <alignment horizontal="left" vertical="center" wrapText="1" shrinkToFit="1"/>
    </xf>
    <xf numFmtId="1" fontId="5" fillId="7" borderId="42" xfId="3" quotePrefix="1" applyNumberFormat="1" applyFont="1" applyFill="1" applyBorder="1" applyAlignment="1">
      <alignment horizontal="center" vertical="center" wrapText="1" shrinkToFit="1"/>
    </xf>
    <xf numFmtId="14" fontId="5" fillId="7" borderId="42" xfId="3" quotePrefix="1" applyNumberFormat="1" applyFont="1" applyFill="1" applyBorder="1" applyAlignment="1">
      <alignment horizontal="center" vertical="center" wrapText="1" shrinkToFit="1"/>
    </xf>
    <xf numFmtId="164" fontId="5" fillId="7" borderId="42" xfId="3" applyNumberFormat="1" applyFont="1" applyFill="1" applyBorder="1" applyAlignment="1">
      <alignment horizontal="center" vertical="center" wrapText="1" shrinkToFit="1"/>
    </xf>
    <xf numFmtId="9" fontId="5" fillId="7" borderId="42" xfId="2" applyFont="1" applyFill="1" applyBorder="1" applyAlignment="1">
      <alignment horizontal="center" vertical="center" wrapText="1" shrinkToFit="1"/>
    </xf>
    <xf numFmtId="0" fontId="35" fillId="7" borderId="40" xfId="3" quotePrefix="1" applyFont="1" applyFill="1" applyBorder="1" applyAlignment="1">
      <alignment horizontal="center" vertical="center" wrapText="1" shrinkToFit="1"/>
    </xf>
    <xf numFmtId="0" fontId="11" fillId="7" borderId="23" xfId="3" applyFont="1" applyFill="1" applyBorder="1" applyAlignment="1">
      <alignment horizontal="center" vertical="center" shrinkToFit="1"/>
    </xf>
    <xf numFmtId="164" fontId="5" fillId="0" borderId="13" xfId="1" applyNumberFormat="1" applyFont="1" applyBorder="1" applyAlignment="1">
      <alignment horizontal="center" wrapText="1"/>
    </xf>
    <xf numFmtId="165" fontId="13" fillId="0" borderId="24" xfId="0" applyNumberFormat="1" applyFont="1" applyBorder="1" applyAlignment="1">
      <alignment horizontal="center"/>
    </xf>
    <xf numFmtId="1" fontId="42" fillId="8" borderId="24" xfId="1" quotePrefix="1" applyNumberFormat="1" applyFont="1" applyFill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horizontal="center" wrapText="1"/>
    </xf>
    <xf numFmtId="0" fontId="19" fillId="2" borderId="0" xfId="0" applyFont="1" applyFill="1" applyAlignment="1">
      <alignment horizontal="center"/>
    </xf>
    <xf numFmtId="49" fontId="5" fillId="2" borderId="24" xfId="3" quotePrefix="1" applyNumberFormat="1" applyFont="1" applyFill="1" applyBorder="1" applyAlignment="1">
      <alignment vertical="center" wrapText="1" shrinkToFit="1"/>
    </xf>
    <xf numFmtId="0" fontId="0" fillId="0" borderId="2" xfId="0" applyBorder="1"/>
    <xf numFmtId="0" fontId="0" fillId="0" borderId="39" xfId="0" applyBorder="1"/>
    <xf numFmtId="0" fontId="0" fillId="0" borderId="5" xfId="0" applyBorder="1"/>
    <xf numFmtId="0" fontId="10" fillId="2" borderId="24" xfId="3" applyFont="1" applyFill="1" applyBorder="1" applyAlignment="1">
      <alignment horizontal="center" vertical="center" shrinkToFit="1"/>
    </xf>
    <xf numFmtId="0" fontId="18" fillId="2" borderId="7" xfId="0" applyFont="1" applyFill="1" applyBorder="1" applyAlignment="1">
      <alignment horizontal="left" wrapText="1"/>
    </xf>
    <xf numFmtId="0" fontId="0" fillId="0" borderId="7" xfId="0" applyBorder="1"/>
    <xf numFmtId="164" fontId="15" fillId="2" borderId="24" xfId="0" applyNumberFormat="1" applyFont="1" applyFill="1" applyBorder="1" applyAlignment="1">
      <alignment horizontal="center"/>
    </xf>
    <xf numFmtId="164" fontId="8" fillId="2" borderId="7" xfId="0" applyNumberFormat="1" applyFont="1" applyFill="1" applyBorder="1" applyAlignment="1">
      <alignment horizontal="left" wrapText="1"/>
    </xf>
    <xf numFmtId="0" fontId="5" fillId="7" borderId="44" xfId="3" applyFont="1" applyFill="1" applyBorder="1" applyAlignment="1">
      <alignment horizontal="center" vertical="center" shrinkToFit="1"/>
    </xf>
    <xf numFmtId="0" fontId="0" fillId="0" borderId="6" xfId="0" applyBorder="1"/>
    <xf numFmtId="49" fontId="11" fillId="7" borderId="44" xfId="3" quotePrefix="1" applyNumberFormat="1" applyFont="1" applyFill="1" applyBorder="1" applyAlignment="1">
      <alignment horizontal="center" vertical="center" wrapText="1" shrinkToFit="1"/>
    </xf>
    <xf numFmtId="0" fontId="5" fillId="7" borderId="44" xfId="3" quotePrefix="1" applyFont="1" applyFill="1" applyBorder="1" applyAlignment="1">
      <alignment horizontal="center" vertical="center" wrapText="1" shrinkToFit="1"/>
    </xf>
    <xf numFmtId="41" fontId="5" fillId="7" borderId="44" xfId="3" applyNumberFormat="1" applyFont="1" applyFill="1" applyBorder="1" applyAlignment="1">
      <alignment horizontal="center" vertical="center" wrapText="1" shrinkToFit="1"/>
    </xf>
    <xf numFmtId="43" fontId="5" fillId="7" borderId="44" xfId="1" applyFont="1" applyFill="1" applyBorder="1" applyAlignment="1">
      <alignment horizontal="center" vertical="center" wrapText="1" shrinkToFit="1"/>
    </xf>
    <xf numFmtId="164" fontId="24" fillId="2" borderId="24" xfId="0" applyNumberFormat="1" applyFont="1" applyFill="1" applyBorder="1" applyAlignment="1">
      <alignment horizontal="center"/>
    </xf>
    <xf numFmtId="49" fontId="5" fillId="2" borderId="44" xfId="3" quotePrefix="1" applyNumberFormat="1" applyFont="1" applyFill="1" applyBorder="1" applyAlignment="1">
      <alignment vertical="center" wrapText="1" shrinkToFit="1"/>
    </xf>
    <xf numFmtId="0" fontId="4" fillId="2" borderId="0" xfId="3" applyFont="1" applyFill="1" applyAlignment="1">
      <alignment horizontal="center" wrapText="1"/>
    </xf>
    <xf numFmtId="0" fontId="2" fillId="2" borderId="0" xfId="3" applyFill="1"/>
    <xf numFmtId="0" fontId="2" fillId="2" borderId="0" xfId="3" applyFill="1" applyAlignment="1">
      <alignment horizontal="center"/>
    </xf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8" fillId="2" borderId="0" xfId="0" applyFont="1" applyFill="1" applyAlignment="1">
      <alignment horizontal="center" wrapText="1"/>
    </xf>
    <xf numFmtId="164" fontId="15" fillId="2" borderId="24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0" fontId="18" fillId="2" borderId="7" xfId="0" applyFont="1" applyFill="1" applyBorder="1" applyAlignment="1">
      <alignment horizontal="left" wrapText="1"/>
    </xf>
    <xf numFmtId="0" fontId="0" fillId="0" borderId="7" xfId="0" applyBorder="1"/>
    <xf numFmtId="0" fontId="12" fillId="2" borderId="24" xfId="3" applyFont="1" applyFill="1" applyBorder="1" applyAlignment="1">
      <alignment horizontal="center" vertical="center" wrapText="1"/>
    </xf>
    <xf numFmtId="0" fontId="27" fillId="2" borderId="0" xfId="6" applyFill="1" applyAlignment="1">
      <alignment horizontal="right" vertical="center" wrapText="1"/>
    </xf>
    <xf numFmtId="0" fontId="4" fillId="2" borderId="0" xfId="3" quotePrefix="1" applyFont="1" applyFill="1" applyAlignment="1">
      <alignment horizontal="center" vertical="top"/>
    </xf>
    <xf numFmtId="0" fontId="11" fillId="2" borderId="24" xfId="3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left" wrapText="1"/>
    </xf>
    <xf numFmtId="0" fontId="10" fillId="2" borderId="24" xfId="3" applyFont="1" applyFill="1" applyBorder="1" applyAlignment="1">
      <alignment horizontal="center" vertical="center" wrapText="1"/>
    </xf>
    <xf numFmtId="0" fontId="0" fillId="0" borderId="5" xfId="0" applyBorder="1"/>
    <xf numFmtId="0" fontId="20" fillId="2" borderId="0" xfId="0" applyFont="1" applyFill="1" applyAlignment="1">
      <alignment horizontal="center"/>
    </xf>
    <xf numFmtId="0" fontId="10" fillId="2" borderId="2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164" fontId="10" fillId="2" borderId="24" xfId="5" applyNumberFormat="1" applyFont="1" applyFill="1" applyBorder="1" applyAlignment="1">
      <alignment horizontal="center" vertical="center" wrapText="1"/>
    </xf>
    <xf numFmtId="164" fontId="5" fillId="2" borderId="23" xfId="3" applyNumberFormat="1" applyFont="1" applyFill="1" applyBorder="1" applyAlignment="1">
      <alignment horizontal="left" vertical="center" wrapText="1" shrinkToFit="1"/>
    </xf>
    <xf numFmtId="0" fontId="16" fillId="2" borderId="23" xfId="3" applyFont="1" applyFill="1" applyBorder="1" applyAlignment="1">
      <alignment vertical="center" wrapText="1"/>
    </xf>
    <xf numFmtId="1" fontId="5" fillId="2" borderId="23" xfId="3" quotePrefix="1" applyNumberFormat="1" applyFont="1" applyFill="1" applyBorder="1" applyAlignment="1">
      <alignment horizontal="center" vertical="center" wrapText="1" shrinkToFit="1"/>
    </xf>
    <xf numFmtId="14" fontId="5" fillId="2" borderId="23" xfId="3" quotePrefix="1" applyNumberFormat="1" applyFont="1" applyFill="1" applyBorder="1" applyAlignment="1">
      <alignment horizontal="center" vertical="center" wrapText="1" shrinkToFit="1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10" fillId="2" borderId="44" xfId="3" applyFont="1" applyFill="1" applyBorder="1" applyAlignment="1">
      <alignment horizontal="center" vertical="center" wrapText="1"/>
    </xf>
    <xf numFmtId="49" fontId="30" fillId="7" borderId="24" xfId="3" quotePrefix="1" applyNumberFormat="1" applyFont="1" applyFill="1" applyBorder="1" applyAlignment="1">
      <alignment horizontal="center" vertical="center" wrapText="1" shrinkToFit="1"/>
    </xf>
    <xf numFmtId="0" fontId="5" fillId="7" borderId="24" xfId="3" quotePrefix="1" applyFont="1" applyFill="1" applyBorder="1" applyAlignment="1">
      <alignment horizontal="center" vertical="center" wrapText="1" shrinkToFit="1"/>
    </xf>
    <xf numFmtId="49" fontId="5" fillId="7" borderId="24" xfId="3" applyNumberFormat="1" applyFont="1" applyFill="1" applyBorder="1" applyAlignment="1">
      <alignment horizontal="center" vertical="center" wrapText="1" shrinkToFit="1"/>
    </xf>
    <xf numFmtId="0" fontId="18" fillId="2" borderId="44" xfId="3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/>
    </xf>
    <xf numFmtId="0" fontId="0" fillId="0" borderId="6" xfId="0" applyBorder="1"/>
    <xf numFmtId="43" fontId="5" fillId="2" borderId="6" xfId="1" applyFont="1" applyFill="1" applyBorder="1" applyAlignment="1">
      <alignment vertical="center" wrapText="1" shrinkToFit="1"/>
    </xf>
    <xf numFmtId="164" fontId="13" fillId="0" borderId="24" xfId="3" applyNumberFormat="1" applyFont="1" applyBorder="1" applyAlignment="1">
      <alignment horizontal="center" vertical="center" wrapText="1" shrinkToFit="1"/>
    </xf>
    <xf numFmtId="43" fontId="5" fillId="2" borderId="6" xfId="1" applyFont="1" applyFill="1" applyBorder="1" applyAlignment="1">
      <alignment horizontal="center" vertical="center" wrapText="1" shrinkToFit="1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center" vertical="center" wrapText="1" shrinkToFit="1"/>
    </xf>
    <xf numFmtId="9" fontId="5" fillId="7" borderId="23" xfId="2" applyFont="1" applyFill="1" applyBorder="1" applyAlignment="1">
      <alignment horizontal="center" vertical="center" wrapText="1" shrinkToFit="1"/>
    </xf>
    <xf numFmtId="164" fontId="13" fillId="0" borderId="28" xfId="3" applyNumberFormat="1" applyFont="1" applyBorder="1" applyAlignment="1">
      <alignment horizontal="center" vertical="center" wrapText="1" shrinkToFit="1"/>
    </xf>
    <xf numFmtId="0" fontId="5" fillId="2" borderId="6" xfId="3" applyFont="1" applyFill="1" applyBorder="1" applyAlignment="1">
      <alignment horizontal="center" vertical="center" shrinkToFi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0" fontId="14" fillId="0" borderId="0" xfId="3" applyFont="1" applyAlignment="1">
      <alignment vertical="center"/>
    </xf>
    <xf numFmtId="49" fontId="5" fillId="2" borderId="6" xfId="3" applyNumberFormat="1" applyFont="1" applyFill="1" applyBorder="1" applyAlignment="1">
      <alignment horizontal="left" vertical="center" wrapText="1" shrinkToFit="1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9" fontId="25" fillId="2" borderId="24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center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9" fontId="25" fillId="2" borderId="23" xfId="2" applyFont="1" applyFill="1" applyBorder="1" applyAlignment="1">
      <alignment horizontal="center" vertical="center" wrapText="1" shrinkToFit="1"/>
    </xf>
    <xf numFmtId="164" fontId="13" fillId="0" borderId="45" xfId="3" applyNumberFormat="1" applyFont="1" applyBorder="1" applyAlignment="1">
      <alignment horizontal="center" vertical="center" wrapText="1" shrinkToFit="1"/>
    </xf>
    <xf numFmtId="0" fontId="21" fillId="2" borderId="0" xfId="3" applyFont="1" applyFill="1" applyAlignment="1">
      <alignment horizontal="center"/>
    </xf>
    <xf numFmtId="0" fontId="21" fillId="2" borderId="0" xfId="3" applyFont="1" applyFill="1" applyAlignment="1">
      <alignment horizontal="left"/>
    </xf>
    <xf numFmtId="0" fontId="21" fillId="2" borderId="0" xfId="3" applyFont="1" applyFill="1"/>
    <xf numFmtId="49" fontId="13" fillId="0" borderId="24" xfId="3" quotePrefix="1" applyNumberFormat="1" applyFont="1" applyBorder="1" applyAlignment="1">
      <alignment horizontal="center" vertical="center" wrapText="1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24" xfId="3" applyFont="1" applyBorder="1" applyAlignment="1">
      <alignment horizontal="center" vertical="center" shrinkToFit="1"/>
    </xf>
    <xf numFmtId="164" fontId="10" fillId="2" borderId="24" xfId="5" applyNumberFormat="1" applyFont="1" applyFill="1" applyBorder="1" applyAlignment="1">
      <alignment horizontal="left" vertical="center" wrapText="1"/>
    </xf>
    <xf numFmtId="14" fontId="10" fillId="2" borderId="44" xfId="3" applyNumberFormat="1" applyFont="1" applyFill="1" applyBorder="1" applyAlignment="1">
      <alignment horizontal="center" vertical="center" wrapText="1"/>
    </xf>
    <xf numFmtId="0" fontId="0" fillId="0" borderId="29" xfId="0" applyBorder="1"/>
    <xf numFmtId="0" fontId="14" fillId="0" borderId="7" xfId="3" applyFont="1" applyBorder="1" applyAlignment="1">
      <alignment vertical="center"/>
    </xf>
    <xf numFmtId="164" fontId="13" fillId="0" borderId="6" xfId="3" applyNumberFormat="1" applyFont="1" applyBorder="1" applyAlignment="1">
      <alignment horizontal="center" vertical="center" wrapText="1" shrinkToFit="1"/>
    </xf>
    <xf numFmtId="164" fontId="13" fillId="0" borderId="43" xfId="3" applyNumberFormat="1" applyFont="1" applyBorder="1" applyAlignment="1">
      <alignment horizontal="center" vertical="center" wrapText="1" shrinkToFit="1"/>
    </xf>
    <xf numFmtId="0" fontId="5" fillId="7" borderId="44" xfId="3" applyFont="1" applyFill="1" applyBorder="1" applyAlignment="1">
      <alignment horizontal="center" vertical="center" shrinkToFit="1"/>
    </xf>
    <xf numFmtId="164" fontId="10" fillId="2" borderId="44" xfId="5" applyNumberFormat="1" applyFont="1" applyFill="1" applyBorder="1" applyAlignment="1">
      <alignment horizontal="center" vertical="center" wrapText="1"/>
    </xf>
    <xf numFmtId="49" fontId="5" fillId="2" borderId="44" xfId="4" quotePrefix="1" applyNumberFormat="1" applyFont="1" applyFill="1" applyBorder="1" applyAlignment="1">
      <alignment horizontal="center" vertical="center" wrapText="1"/>
    </xf>
    <xf numFmtId="164" fontId="5" fillId="0" borderId="48" xfId="1" quotePrefix="1" applyNumberFormat="1" applyFont="1" applyBorder="1" applyAlignment="1">
      <alignment horizontal="center" vertical="center" wrapText="1"/>
    </xf>
    <xf numFmtId="0" fontId="0" fillId="0" borderId="37" xfId="0" applyBorder="1"/>
    <xf numFmtId="165" fontId="41" fillId="2" borderId="49" xfId="0" applyNumberFormat="1" applyFont="1" applyFill="1" applyBorder="1" applyAlignment="1">
      <alignment horizontal="center" vertical="center"/>
    </xf>
    <xf numFmtId="0" fontId="0" fillId="0" borderId="38" xfId="0" applyBorder="1"/>
    <xf numFmtId="164" fontId="42" fillId="8" borderId="44" xfId="1" quotePrefix="1" applyNumberFormat="1" applyFont="1" applyFill="1" applyBorder="1" applyAlignment="1">
      <alignment horizontal="center" vertical="center" wrapText="1"/>
    </xf>
    <xf numFmtId="165" fontId="13" fillId="0" borderId="44" xfId="0" applyNumberFormat="1" applyFont="1" applyBorder="1" applyAlignment="1">
      <alignment horizontal="center" vertical="center"/>
    </xf>
    <xf numFmtId="49" fontId="5" fillId="0" borderId="44" xfId="4" quotePrefix="1" applyNumberFormat="1" applyFont="1" applyBorder="1" applyAlignment="1">
      <alignment horizontal="center" vertical="center"/>
    </xf>
    <xf numFmtId="0" fontId="0" fillId="0" borderId="50" xfId="0" applyBorder="1"/>
    <xf numFmtId="165" fontId="41" fillId="2" borderId="2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0" fontId="11" fillId="3" borderId="30" xfId="0" applyFont="1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49" fontId="42" fillId="8" borderId="24" xfId="1" quotePrefix="1" applyNumberFormat="1" applyFont="1" applyFill="1" applyBorder="1" applyAlignment="1">
      <alignment horizontal="center"/>
    </xf>
    <xf numFmtId="164" fontId="42" fillId="8" borderId="44" xfId="1" quotePrefix="1" applyNumberFormat="1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4" fontId="5" fillId="0" borderId="0" xfId="0" applyNumberFormat="1" applyFont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5" fillId="7" borderId="39" xfId="3" applyNumberFormat="1" applyFont="1" applyFill="1" applyBorder="1" applyAlignment="1">
      <alignment horizontal="left" vertical="center" wrapText="1" shrinkToFit="1"/>
    </xf>
    <xf numFmtId="164" fontId="5" fillId="0" borderId="39" xfId="3" applyNumberFormat="1" applyFont="1" applyBorder="1" applyAlignment="1">
      <alignment horizontal="left" vertical="center" wrapText="1" shrinkToFit="1"/>
    </xf>
    <xf numFmtId="1" fontId="5" fillId="0" borderId="39" xfId="3" quotePrefix="1" applyNumberFormat="1" applyFont="1" applyBorder="1" applyAlignment="1">
      <alignment horizontal="center" vertical="center" wrapText="1" shrinkToFit="1"/>
    </xf>
    <xf numFmtId="0" fontId="5" fillId="0" borderId="39" xfId="1" quotePrefix="1" applyNumberFormat="1" applyFont="1" applyBorder="1" applyAlignment="1">
      <alignment horizontal="center" vertical="center" wrapText="1" shrinkToFit="1"/>
    </xf>
    <xf numFmtId="1" fontId="5" fillId="7" borderId="39" xfId="3" quotePrefix="1" applyNumberFormat="1" applyFont="1" applyFill="1" applyBorder="1" applyAlignment="1">
      <alignment vertical="center" wrapText="1" shrinkToFit="1"/>
    </xf>
    <xf numFmtId="164" fontId="5" fillId="0" borderId="44" xfId="3" applyNumberFormat="1" applyFont="1" applyFill="1" applyBorder="1" applyAlignment="1">
      <alignment horizontal="left" vertical="center" wrapText="1" shrinkToFit="1"/>
    </xf>
    <xf numFmtId="164" fontId="5" fillId="0" borderId="44" xfId="3" applyNumberFormat="1" applyFont="1" applyFill="1" applyBorder="1" applyAlignment="1">
      <alignment vertical="center" wrapText="1" shrinkToFit="1"/>
    </xf>
    <xf numFmtId="0" fontId="14" fillId="0" borderId="44" xfId="3" applyFont="1" applyFill="1" applyBorder="1" applyAlignment="1">
      <alignment vertical="center"/>
    </xf>
    <xf numFmtId="0" fontId="16" fillId="0" borderId="44" xfId="3" applyFont="1" applyFill="1" applyBorder="1" applyAlignment="1">
      <alignment vertical="center" wrapText="1"/>
    </xf>
  </cellXfs>
  <cellStyles count="10">
    <cellStyle name="Comma" xfId="1" builtinId="3"/>
    <cellStyle name="Comma 2 2" xfId="7" xr:uid="{00000000-0005-0000-0000-000007000000}"/>
    <cellStyle name="Comma 2 3" xfId="5" xr:uid="{00000000-0005-0000-0000-000005000000}"/>
    <cellStyle name="Normal" xfId="0" builtinId="0"/>
    <cellStyle name="Normal 2" xfId="4" xr:uid="{00000000-0005-0000-0000-000004000000}"/>
    <cellStyle name="Normal 28" xfId="9" xr:uid="{00000000-0005-0000-0000-000009000000}"/>
    <cellStyle name="Normal 3" xfId="3" xr:uid="{00000000-0005-0000-0000-000003000000}"/>
    <cellStyle name="Normal 5" xfId="8" xr:uid="{00000000-0005-0000-0000-000008000000}"/>
    <cellStyle name="Normal_Sotrans Template (1)" xfId="6" xr:uid="{00000000-0005-0000-0000-000006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RowHeight="13.8"/>
  <cols>
    <col min="1" max="1" width="4.109375" style="73" customWidth="1"/>
    <col min="2" max="2" width="13.33203125" style="73" customWidth="1"/>
    <col min="3" max="3" width="11.44140625" style="73" customWidth="1"/>
    <col min="4" max="4" width="15.88671875" style="74" customWidth="1"/>
    <col min="5" max="5" width="13.44140625" style="74" customWidth="1"/>
    <col min="6" max="6" width="15.6640625" style="74" customWidth="1"/>
    <col min="7" max="7" width="5.109375" style="73" customWidth="1"/>
    <col min="8" max="8" width="7.44140625" style="73" customWidth="1"/>
    <col min="9" max="9" width="7.109375" style="73" customWidth="1"/>
    <col min="10" max="10" width="9.5546875" style="74" customWidth="1"/>
    <col min="11" max="11" width="21.5546875" style="75" customWidth="1"/>
    <col min="12" max="12" width="18.44140625" style="75" hidden="1" customWidth="1"/>
    <col min="13" max="13" width="10.33203125" style="76" customWidth="1"/>
    <col min="14" max="14" width="9.88671875" style="76" customWidth="1"/>
    <col min="15" max="15" width="12.33203125" style="76" customWidth="1"/>
    <col min="16" max="16" width="7.6640625" style="76" customWidth="1"/>
    <col min="17" max="17" width="9.5546875" style="76" customWidth="1"/>
    <col min="18" max="18" width="13" style="76" customWidth="1"/>
    <col min="19" max="19" width="13.33203125" style="74" customWidth="1"/>
    <col min="20" max="20" width="11.5546875" style="74" customWidth="1"/>
    <col min="21" max="21" width="6.88671875" style="74" bestFit="1" customWidth="1"/>
    <col min="22" max="22" width="17.88671875" style="74" customWidth="1"/>
    <col min="23" max="258" width="9" style="74" customWidth="1"/>
    <col min="259" max="259" width="4.109375" style="74" customWidth="1"/>
    <col min="260" max="260" width="13.33203125" style="74" customWidth="1"/>
    <col min="261" max="261" width="9.5546875" style="74" customWidth="1"/>
    <col min="262" max="262" width="15" style="74" customWidth="1"/>
    <col min="263" max="264" width="13" style="74" customWidth="1"/>
    <col min="265" max="265" width="4.33203125" style="74" customWidth="1"/>
    <col min="266" max="266" width="4.88671875" style="74" customWidth="1"/>
    <col min="267" max="267" width="9.5546875" style="74" customWidth="1"/>
    <col min="268" max="268" width="36" style="74" customWidth="1"/>
    <col min="269" max="269" width="11.109375" style="74" customWidth="1"/>
    <col min="270" max="270" width="12.44140625" style="74" customWidth="1"/>
    <col min="271" max="271" width="13.88671875" style="74" customWidth="1"/>
    <col min="272" max="272" width="7.6640625" style="74" customWidth="1"/>
    <col min="273" max="273" width="13" style="74" customWidth="1"/>
    <col min="274" max="274" width="11.5546875" style="74" customWidth="1"/>
    <col min="275" max="275" width="13.33203125" style="74" customWidth="1"/>
    <col min="276" max="276" width="19.44140625" style="74" customWidth="1"/>
    <col min="277" max="277" width="18.88671875" style="74" customWidth="1"/>
    <col min="278" max="514" width="9" style="74" customWidth="1"/>
    <col min="515" max="515" width="4.109375" style="74" customWidth="1"/>
    <col min="516" max="516" width="13.33203125" style="74" customWidth="1"/>
    <col min="517" max="517" width="9.5546875" style="74" customWidth="1"/>
    <col min="518" max="518" width="15" style="74" customWidth="1"/>
    <col min="519" max="520" width="13" style="74" customWidth="1"/>
    <col min="521" max="521" width="4.33203125" style="74" customWidth="1"/>
    <col min="522" max="522" width="4.88671875" style="74" customWidth="1"/>
    <col min="523" max="523" width="9.5546875" style="74" customWidth="1"/>
    <col min="524" max="524" width="36" style="74" customWidth="1"/>
    <col min="525" max="525" width="11.109375" style="74" customWidth="1"/>
    <col min="526" max="526" width="12.44140625" style="74" customWidth="1"/>
    <col min="527" max="527" width="13.88671875" style="74" customWidth="1"/>
    <col min="528" max="528" width="7.6640625" style="74" customWidth="1"/>
    <col min="529" max="529" width="13" style="74" customWidth="1"/>
    <col min="530" max="530" width="11.5546875" style="74" customWidth="1"/>
    <col min="531" max="531" width="13.33203125" style="74" customWidth="1"/>
    <col min="532" max="532" width="19.44140625" style="74" customWidth="1"/>
    <col min="533" max="533" width="18.88671875" style="74" customWidth="1"/>
    <col min="534" max="770" width="9" style="74" customWidth="1"/>
    <col min="771" max="771" width="4.109375" style="74" customWidth="1"/>
    <col min="772" max="772" width="13.33203125" style="74" customWidth="1"/>
    <col min="773" max="773" width="9.5546875" style="74" customWidth="1"/>
    <col min="774" max="774" width="15" style="74" customWidth="1"/>
    <col min="775" max="776" width="13" style="74" customWidth="1"/>
    <col min="777" max="777" width="4.33203125" style="74" customWidth="1"/>
    <col min="778" max="778" width="4.88671875" style="74" customWidth="1"/>
    <col min="779" max="779" width="9.5546875" style="74" customWidth="1"/>
    <col min="780" max="780" width="36" style="74" customWidth="1"/>
    <col min="781" max="781" width="11.109375" style="74" customWidth="1"/>
    <col min="782" max="782" width="12.44140625" style="74" customWidth="1"/>
    <col min="783" max="783" width="13.88671875" style="74" customWidth="1"/>
    <col min="784" max="784" width="7.6640625" style="74" customWidth="1"/>
    <col min="785" max="785" width="13" style="74" customWidth="1"/>
    <col min="786" max="786" width="11.5546875" style="74" customWidth="1"/>
    <col min="787" max="787" width="13.33203125" style="74" customWidth="1"/>
    <col min="788" max="788" width="19.44140625" style="74" customWidth="1"/>
    <col min="789" max="789" width="18.88671875" style="74" customWidth="1"/>
    <col min="790" max="1026" width="9" style="74" customWidth="1"/>
    <col min="1027" max="1027" width="4.109375" style="74" customWidth="1"/>
    <col min="1028" max="1028" width="13.33203125" style="74" customWidth="1"/>
    <col min="1029" max="1029" width="9.5546875" style="74" customWidth="1"/>
    <col min="1030" max="1030" width="15" style="74" customWidth="1"/>
    <col min="1031" max="1032" width="13" style="74" customWidth="1"/>
    <col min="1033" max="1033" width="4.33203125" style="74" customWidth="1"/>
    <col min="1034" max="1034" width="4.88671875" style="74" customWidth="1"/>
    <col min="1035" max="1035" width="9.5546875" style="74" customWidth="1"/>
    <col min="1036" max="1036" width="36" style="74" customWidth="1"/>
    <col min="1037" max="1037" width="11.109375" style="74" customWidth="1"/>
    <col min="1038" max="1038" width="12.44140625" style="74" customWidth="1"/>
    <col min="1039" max="1039" width="13.88671875" style="74" customWidth="1"/>
    <col min="1040" max="1040" width="7.6640625" style="74" customWidth="1"/>
    <col min="1041" max="1041" width="13" style="74" customWidth="1"/>
    <col min="1042" max="1042" width="11.5546875" style="74" customWidth="1"/>
    <col min="1043" max="1043" width="13.33203125" style="74" customWidth="1"/>
    <col min="1044" max="1044" width="19.44140625" style="74" customWidth="1"/>
    <col min="1045" max="1045" width="18.88671875" style="74" customWidth="1"/>
    <col min="1046" max="1282" width="9" style="74" customWidth="1"/>
    <col min="1283" max="1283" width="4.109375" style="74" customWidth="1"/>
    <col min="1284" max="1284" width="13.33203125" style="74" customWidth="1"/>
    <col min="1285" max="1285" width="9.5546875" style="74" customWidth="1"/>
    <col min="1286" max="1286" width="15" style="74" customWidth="1"/>
    <col min="1287" max="1288" width="13" style="74" customWidth="1"/>
    <col min="1289" max="1289" width="4.33203125" style="74" customWidth="1"/>
    <col min="1290" max="1290" width="4.88671875" style="74" customWidth="1"/>
    <col min="1291" max="1291" width="9.5546875" style="74" customWidth="1"/>
    <col min="1292" max="1292" width="36" style="74" customWidth="1"/>
    <col min="1293" max="1293" width="11.109375" style="74" customWidth="1"/>
    <col min="1294" max="1294" width="12.44140625" style="74" customWidth="1"/>
    <col min="1295" max="1295" width="13.88671875" style="74" customWidth="1"/>
    <col min="1296" max="1296" width="7.6640625" style="74" customWidth="1"/>
    <col min="1297" max="1297" width="13" style="74" customWidth="1"/>
    <col min="1298" max="1298" width="11.5546875" style="74" customWidth="1"/>
    <col min="1299" max="1299" width="13.33203125" style="74" customWidth="1"/>
    <col min="1300" max="1300" width="19.44140625" style="74" customWidth="1"/>
    <col min="1301" max="1301" width="18.88671875" style="74" customWidth="1"/>
    <col min="1302" max="1538" width="9" style="74" customWidth="1"/>
    <col min="1539" max="1539" width="4.109375" style="74" customWidth="1"/>
    <col min="1540" max="1540" width="13.33203125" style="74" customWidth="1"/>
    <col min="1541" max="1541" width="9.5546875" style="74" customWidth="1"/>
    <col min="1542" max="1542" width="15" style="74" customWidth="1"/>
    <col min="1543" max="1544" width="13" style="74" customWidth="1"/>
    <col min="1545" max="1545" width="4.33203125" style="74" customWidth="1"/>
    <col min="1546" max="1546" width="4.88671875" style="74" customWidth="1"/>
    <col min="1547" max="1547" width="9.5546875" style="74" customWidth="1"/>
    <col min="1548" max="1548" width="36" style="74" customWidth="1"/>
    <col min="1549" max="1549" width="11.109375" style="74" customWidth="1"/>
    <col min="1550" max="1550" width="12.44140625" style="74" customWidth="1"/>
    <col min="1551" max="1551" width="13.88671875" style="74" customWidth="1"/>
    <col min="1552" max="1552" width="7.6640625" style="74" customWidth="1"/>
    <col min="1553" max="1553" width="13" style="74" customWidth="1"/>
    <col min="1554" max="1554" width="11.5546875" style="74" customWidth="1"/>
    <col min="1555" max="1555" width="13.33203125" style="74" customWidth="1"/>
    <col min="1556" max="1556" width="19.44140625" style="74" customWidth="1"/>
    <col min="1557" max="1557" width="18.88671875" style="74" customWidth="1"/>
    <col min="1558" max="1794" width="9" style="74" customWidth="1"/>
    <col min="1795" max="1795" width="4.109375" style="74" customWidth="1"/>
    <col min="1796" max="1796" width="13.33203125" style="74" customWidth="1"/>
    <col min="1797" max="1797" width="9.5546875" style="74" customWidth="1"/>
    <col min="1798" max="1798" width="15" style="74" customWidth="1"/>
    <col min="1799" max="1800" width="13" style="74" customWidth="1"/>
    <col min="1801" max="1801" width="4.33203125" style="74" customWidth="1"/>
    <col min="1802" max="1802" width="4.88671875" style="74" customWidth="1"/>
    <col min="1803" max="1803" width="9.5546875" style="74" customWidth="1"/>
    <col min="1804" max="1804" width="36" style="74" customWidth="1"/>
    <col min="1805" max="1805" width="11.109375" style="74" customWidth="1"/>
    <col min="1806" max="1806" width="12.44140625" style="74" customWidth="1"/>
    <col min="1807" max="1807" width="13.88671875" style="74" customWidth="1"/>
    <col min="1808" max="1808" width="7.6640625" style="74" customWidth="1"/>
    <col min="1809" max="1809" width="13" style="74" customWidth="1"/>
    <col min="1810" max="1810" width="11.5546875" style="74" customWidth="1"/>
    <col min="1811" max="1811" width="13.33203125" style="74" customWidth="1"/>
    <col min="1812" max="1812" width="19.44140625" style="74" customWidth="1"/>
    <col min="1813" max="1813" width="18.88671875" style="74" customWidth="1"/>
    <col min="1814" max="2050" width="9" style="74" customWidth="1"/>
    <col min="2051" max="2051" width="4.109375" style="74" customWidth="1"/>
    <col min="2052" max="2052" width="13.33203125" style="74" customWidth="1"/>
    <col min="2053" max="2053" width="9.5546875" style="74" customWidth="1"/>
    <col min="2054" max="2054" width="15" style="74" customWidth="1"/>
    <col min="2055" max="2056" width="13" style="74" customWidth="1"/>
    <col min="2057" max="2057" width="4.33203125" style="74" customWidth="1"/>
    <col min="2058" max="2058" width="4.88671875" style="74" customWidth="1"/>
    <col min="2059" max="2059" width="9.5546875" style="74" customWidth="1"/>
    <col min="2060" max="2060" width="36" style="74" customWidth="1"/>
    <col min="2061" max="2061" width="11.109375" style="74" customWidth="1"/>
    <col min="2062" max="2062" width="12.44140625" style="74" customWidth="1"/>
    <col min="2063" max="2063" width="13.88671875" style="74" customWidth="1"/>
    <col min="2064" max="2064" width="7.6640625" style="74" customWidth="1"/>
    <col min="2065" max="2065" width="13" style="74" customWidth="1"/>
    <col min="2066" max="2066" width="11.5546875" style="74" customWidth="1"/>
    <col min="2067" max="2067" width="13.33203125" style="74" customWidth="1"/>
    <col min="2068" max="2068" width="19.44140625" style="74" customWidth="1"/>
    <col min="2069" max="2069" width="18.88671875" style="74" customWidth="1"/>
    <col min="2070" max="2306" width="9" style="74" customWidth="1"/>
    <col min="2307" max="2307" width="4.109375" style="74" customWidth="1"/>
    <col min="2308" max="2308" width="13.33203125" style="74" customWidth="1"/>
    <col min="2309" max="2309" width="9.5546875" style="74" customWidth="1"/>
    <col min="2310" max="2310" width="15" style="74" customWidth="1"/>
    <col min="2311" max="2312" width="13" style="74" customWidth="1"/>
    <col min="2313" max="2313" width="4.33203125" style="74" customWidth="1"/>
    <col min="2314" max="2314" width="4.88671875" style="74" customWidth="1"/>
    <col min="2315" max="2315" width="9.5546875" style="74" customWidth="1"/>
    <col min="2316" max="2316" width="36" style="74" customWidth="1"/>
    <col min="2317" max="2317" width="11.109375" style="74" customWidth="1"/>
    <col min="2318" max="2318" width="12.44140625" style="74" customWidth="1"/>
    <col min="2319" max="2319" width="13.88671875" style="74" customWidth="1"/>
    <col min="2320" max="2320" width="7.6640625" style="74" customWidth="1"/>
    <col min="2321" max="2321" width="13" style="74" customWidth="1"/>
    <col min="2322" max="2322" width="11.5546875" style="74" customWidth="1"/>
    <col min="2323" max="2323" width="13.33203125" style="74" customWidth="1"/>
    <col min="2324" max="2324" width="19.44140625" style="74" customWidth="1"/>
    <col min="2325" max="2325" width="18.88671875" style="74" customWidth="1"/>
    <col min="2326" max="2562" width="9" style="74" customWidth="1"/>
    <col min="2563" max="2563" width="4.109375" style="74" customWidth="1"/>
    <col min="2564" max="2564" width="13.33203125" style="74" customWidth="1"/>
    <col min="2565" max="2565" width="9.5546875" style="74" customWidth="1"/>
    <col min="2566" max="2566" width="15" style="74" customWidth="1"/>
    <col min="2567" max="2568" width="13" style="74" customWidth="1"/>
    <col min="2569" max="2569" width="4.33203125" style="74" customWidth="1"/>
    <col min="2570" max="2570" width="4.88671875" style="74" customWidth="1"/>
    <col min="2571" max="2571" width="9.5546875" style="74" customWidth="1"/>
    <col min="2572" max="2572" width="36" style="74" customWidth="1"/>
    <col min="2573" max="2573" width="11.109375" style="74" customWidth="1"/>
    <col min="2574" max="2574" width="12.44140625" style="74" customWidth="1"/>
    <col min="2575" max="2575" width="13.88671875" style="74" customWidth="1"/>
    <col min="2576" max="2576" width="7.6640625" style="74" customWidth="1"/>
    <col min="2577" max="2577" width="13" style="74" customWidth="1"/>
    <col min="2578" max="2578" width="11.5546875" style="74" customWidth="1"/>
    <col min="2579" max="2579" width="13.33203125" style="74" customWidth="1"/>
    <col min="2580" max="2580" width="19.44140625" style="74" customWidth="1"/>
    <col min="2581" max="2581" width="18.88671875" style="74" customWidth="1"/>
    <col min="2582" max="2818" width="9" style="74" customWidth="1"/>
    <col min="2819" max="2819" width="4.109375" style="74" customWidth="1"/>
    <col min="2820" max="2820" width="13.33203125" style="74" customWidth="1"/>
    <col min="2821" max="2821" width="9.5546875" style="74" customWidth="1"/>
    <col min="2822" max="2822" width="15" style="74" customWidth="1"/>
    <col min="2823" max="2824" width="13" style="74" customWidth="1"/>
    <col min="2825" max="2825" width="4.33203125" style="74" customWidth="1"/>
    <col min="2826" max="2826" width="4.88671875" style="74" customWidth="1"/>
    <col min="2827" max="2827" width="9.5546875" style="74" customWidth="1"/>
    <col min="2828" max="2828" width="36" style="74" customWidth="1"/>
    <col min="2829" max="2829" width="11.109375" style="74" customWidth="1"/>
    <col min="2830" max="2830" width="12.44140625" style="74" customWidth="1"/>
    <col min="2831" max="2831" width="13.88671875" style="74" customWidth="1"/>
    <col min="2832" max="2832" width="7.6640625" style="74" customWidth="1"/>
    <col min="2833" max="2833" width="13" style="74" customWidth="1"/>
    <col min="2834" max="2834" width="11.5546875" style="74" customWidth="1"/>
    <col min="2835" max="2835" width="13.33203125" style="74" customWidth="1"/>
    <col min="2836" max="2836" width="19.44140625" style="74" customWidth="1"/>
    <col min="2837" max="2837" width="18.88671875" style="74" customWidth="1"/>
    <col min="2838" max="3074" width="9" style="74" customWidth="1"/>
    <col min="3075" max="3075" width="4.109375" style="74" customWidth="1"/>
    <col min="3076" max="3076" width="13.33203125" style="74" customWidth="1"/>
    <col min="3077" max="3077" width="9.5546875" style="74" customWidth="1"/>
    <col min="3078" max="3078" width="15" style="74" customWidth="1"/>
    <col min="3079" max="3080" width="13" style="74" customWidth="1"/>
    <col min="3081" max="3081" width="4.33203125" style="74" customWidth="1"/>
    <col min="3082" max="3082" width="4.88671875" style="74" customWidth="1"/>
    <col min="3083" max="3083" width="9.5546875" style="74" customWidth="1"/>
    <col min="3084" max="3084" width="36" style="74" customWidth="1"/>
    <col min="3085" max="3085" width="11.109375" style="74" customWidth="1"/>
    <col min="3086" max="3086" width="12.44140625" style="74" customWidth="1"/>
    <col min="3087" max="3087" width="13.88671875" style="74" customWidth="1"/>
    <col min="3088" max="3088" width="7.6640625" style="74" customWidth="1"/>
    <col min="3089" max="3089" width="13" style="74" customWidth="1"/>
    <col min="3090" max="3090" width="11.5546875" style="74" customWidth="1"/>
    <col min="3091" max="3091" width="13.33203125" style="74" customWidth="1"/>
    <col min="3092" max="3092" width="19.44140625" style="74" customWidth="1"/>
    <col min="3093" max="3093" width="18.88671875" style="74" customWidth="1"/>
    <col min="3094" max="3330" width="9" style="74" customWidth="1"/>
    <col min="3331" max="3331" width="4.109375" style="74" customWidth="1"/>
    <col min="3332" max="3332" width="13.33203125" style="74" customWidth="1"/>
    <col min="3333" max="3333" width="9.5546875" style="74" customWidth="1"/>
    <col min="3334" max="3334" width="15" style="74" customWidth="1"/>
    <col min="3335" max="3336" width="13" style="74" customWidth="1"/>
    <col min="3337" max="3337" width="4.33203125" style="74" customWidth="1"/>
    <col min="3338" max="3338" width="4.88671875" style="74" customWidth="1"/>
    <col min="3339" max="3339" width="9.5546875" style="74" customWidth="1"/>
    <col min="3340" max="3340" width="36" style="74" customWidth="1"/>
    <col min="3341" max="3341" width="11.109375" style="74" customWidth="1"/>
    <col min="3342" max="3342" width="12.44140625" style="74" customWidth="1"/>
    <col min="3343" max="3343" width="13.88671875" style="74" customWidth="1"/>
    <col min="3344" max="3344" width="7.6640625" style="74" customWidth="1"/>
    <col min="3345" max="3345" width="13" style="74" customWidth="1"/>
    <col min="3346" max="3346" width="11.5546875" style="74" customWidth="1"/>
    <col min="3347" max="3347" width="13.33203125" style="74" customWidth="1"/>
    <col min="3348" max="3348" width="19.44140625" style="74" customWidth="1"/>
    <col min="3349" max="3349" width="18.88671875" style="74" customWidth="1"/>
    <col min="3350" max="3586" width="9" style="74" customWidth="1"/>
    <col min="3587" max="3587" width="4.109375" style="74" customWidth="1"/>
    <col min="3588" max="3588" width="13.33203125" style="74" customWidth="1"/>
    <col min="3589" max="3589" width="9.5546875" style="74" customWidth="1"/>
    <col min="3590" max="3590" width="15" style="74" customWidth="1"/>
    <col min="3591" max="3592" width="13" style="74" customWidth="1"/>
    <col min="3593" max="3593" width="4.33203125" style="74" customWidth="1"/>
    <col min="3594" max="3594" width="4.88671875" style="74" customWidth="1"/>
    <col min="3595" max="3595" width="9.5546875" style="74" customWidth="1"/>
    <col min="3596" max="3596" width="36" style="74" customWidth="1"/>
    <col min="3597" max="3597" width="11.109375" style="74" customWidth="1"/>
    <col min="3598" max="3598" width="12.44140625" style="74" customWidth="1"/>
    <col min="3599" max="3599" width="13.88671875" style="74" customWidth="1"/>
    <col min="3600" max="3600" width="7.6640625" style="74" customWidth="1"/>
    <col min="3601" max="3601" width="13" style="74" customWidth="1"/>
    <col min="3602" max="3602" width="11.5546875" style="74" customWidth="1"/>
    <col min="3603" max="3603" width="13.33203125" style="74" customWidth="1"/>
    <col min="3604" max="3604" width="19.44140625" style="74" customWidth="1"/>
    <col min="3605" max="3605" width="18.88671875" style="74" customWidth="1"/>
    <col min="3606" max="3842" width="9" style="74" customWidth="1"/>
    <col min="3843" max="3843" width="4.109375" style="74" customWidth="1"/>
    <col min="3844" max="3844" width="13.33203125" style="74" customWidth="1"/>
    <col min="3845" max="3845" width="9.5546875" style="74" customWidth="1"/>
    <col min="3846" max="3846" width="15" style="74" customWidth="1"/>
    <col min="3847" max="3848" width="13" style="74" customWidth="1"/>
    <col min="3849" max="3849" width="4.33203125" style="74" customWidth="1"/>
    <col min="3850" max="3850" width="4.88671875" style="74" customWidth="1"/>
    <col min="3851" max="3851" width="9.5546875" style="74" customWidth="1"/>
    <col min="3852" max="3852" width="36" style="74" customWidth="1"/>
    <col min="3853" max="3853" width="11.109375" style="74" customWidth="1"/>
    <col min="3854" max="3854" width="12.44140625" style="74" customWidth="1"/>
    <col min="3855" max="3855" width="13.88671875" style="74" customWidth="1"/>
    <col min="3856" max="3856" width="7.6640625" style="74" customWidth="1"/>
    <col min="3857" max="3857" width="13" style="74" customWidth="1"/>
    <col min="3858" max="3858" width="11.5546875" style="74" customWidth="1"/>
    <col min="3859" max="3859" width="13.33203125" style="74" customWidth="1"/>
    <col min="3860" max="3860" width="19.44140625" style="74" customWidth="1"/>
    <col min="3861" max="3861" width="18.88671875" style="74" customWidth="1"/>
    <col min="3862" max="4098" width="9" style="74" customWidth="1"/>
    <col min="4099" max="4099" width="4.109375" style="74" customWidth="1"/>
    <col min="4100" max="4100" width="13.33203125" style="74" customWidth="1"/>
    <col min="4101" max="4101" width="9.5546875" style="74" customWidth="1"/>
    <col min="4102" max="4102" width="15" style="74" customWidth="1"/>
    <col min="4103" max="4104" width="13" style="74" customWidth="1"/>
    <col min="4105" max="4105" width="4.33203125" style="74" customWidth="1"/>
    <col min="4106" max="4106" width="4.88671875" style="74" customWidth="1"/>
    <col min="4107" max="4107" width="9.5546875" style="74" customWidth="1"/>
    <col min="4108" max="4108" width="36" style="74" customWidth="1"/>
    <col min="4109" max="4109" width="11.109375" style="74" customWidth="1"/>
    <col min="4110" max="4110" width="12.44140625" style="74" customWidth="1"/>
    <col min="4111" max="4111" width="13.88671875" style="74" customWidth="1"/>
    <col min="4112" max="4112" width="7.6640625" style="74" customWidth="1"/>
    <col min="4113" max="4113" width="13" style="74" customWidth="1"/>
    <col min="4114" max="4114" width="11.5546875" style="74" customWidth="1"/>
    <col min="4115" max="4115" width="13.33203125" style="74" customWidth="1"/>
    <col min="4116" max="4116" width="19.44140625" style="74" customWidth="1"/>
    <col min="4117" max="4117" width="18.88671875" style="74" customWidth="1"/>
    <col min="4118" max="4354" width="9" style="74" customWidth="1"/>
    <col min="4355" max="4355" width="4.109375" style="74" customWidth="1"/>
    <col min="4356" max="4356" width="13.33203125" style="74" customWidth="1"/>
    <col min="4357" max="4357" width="9.5546875" style="74" customWidth="1"/>
    <col min="4358" max="4358" width="15" style="74" customWidth="1"/>
    <col min="4359" max="4360" width="13" style="74" customWidth="1"/>
    <col min="4361" max="4361" width="4.33203125" style="74" customWidth="1"/>
    <col min="4362" max="4362" width="4.88671875" style="74" customWidth="1"/>
    <col min="4363" max="4363" width="9.5546875" style="74" customWidth="1"/>
    <col min="4364" max="4364" width="36" style="74" customWidth="1"/>
    <col min="4365" max="4365" width="11.109375" style="74" customWidth="1"/>
    <col min="4366" max="4366" width="12.44140625" style="74" customWidth="1"/>
    <col min="4367" max="4367" width="13.88671875" style="74" customWidth="1"/>
    <col min="4368" max="4368" width="7.6640625" style="74" customWidth="1"/>
    <col min="4369" max="4369" width="13" style="74" customWidth="1"/>
    <col min="4370" max="4370" width="11.5546875" style="74" customWidth="1"/>
    <col min="4371" max="4371" width="13.33203125" style="74" customWidth="1"/>
    <col min="4372" max="4372" width="19.44140625" style="74" customWidth="1"/>
    <col min="4373" max="4373" width="18.88671875" style="74" customWidth="1"/>
    <col min="4374" max="4610" width="9" style="74" customWidth="1"/>
    <col min="4611" max="4611" width="4.109375" style="74" customWidth="1"/>
    <col min="4612" max="4612" width="13.33203125" style="74" customWidth="1"/>
    <col min="4613" max="4613" width="9.5546875" style="74" customWidth="1"/>
    <col min="4614" max="4614" width="15" style="74" customWidth="1"/>
    <col min="4615" max="4616" width="13" style="74" customWidth="1"/>
    <col min="4617" max="4617" width="4.33203125" style="74" customWidth="1"/>
    <col min="4618" max="4618" width="4.88671875" style="74" customWidth="1"/>
    <col min="4619" max="4619" width="9.5546875" style="74" customWidth="1"/>
    <col min="4620" max="4620" width="36" style="74" customWidth="1"/>
    <col min="4621" max="4621" width="11.109375" style="74" customWidth="1"/>
    <col min="4622" max="4622" width="12.44140625" style="74" customWidth="1"/>
    <col min="4623" max="4623" width="13.88671875" style="74" customWidth="1"/>
    <col min="4624" max="4624" width="7.6640625" style="74" customWidth="1"/>
    <col min="4625" max="4625" width="13" style="74" customWidth="1"/>
    <col min="4626" max="4626" width="11.5546875" style="74" customWidth="1"/>
    <col min="4627" max="4627" width="13.33203125" style="74" customWidth="1"/>
    <col min="4628" max="4628" width="19.44140625" style="74" customWidth="1"/>
    <col min="4629" max="4629" width="18.88671875" style="74" customWidth="1"/>
    <col min="4630" max="4866" width="9" style="74" customWidth="1"/>
    <col min="4867" max="4867" width="4.109375" style="74" customWidth="1"/>
    <col min="4868" max="4868" width="13.33203125" style="74" customWidth="1"/>
    <col min="4869" max="4869" width="9.5546875" style="74" customWidth="1"/>
    <col min="4870" max="4870" width="15" style="74" customWidth="1"/>
    <col min="4871" max="4872" width="13" style="74" customWidth="1"/>
    <col min="4873" max="4873" width="4.33203125" style="74" customWidth="1"/>
    <col min="4874" max="4874" width="4.88671875" style="74" customWidth="1"/>
    <col min="4875" max="4875" width="9.5546875" style="74" customWidth="1"/>
    <col min="4876" max="4876" width="36" style="74" customWidth="1"/>
    <col min="4877" max="4877" width="11.109375" style="74" customWidth="1"/>
    <col min="4878" max="4878" width="12.44140625" style="74" customWidth="1"/>
    <col min="4879" max="4879" width="13.88671875" style="74" customWidth="1"/>
    <col min="4880" max="4880" width="7.6640625" style="74" customWidth="1"/>
    <col min="4881" max="4881" width="13" style="74" customWidth="1"/>
    <col min="4882" max="4882" width="11.5546875" style="74" customWidth="1"/>
    <col min="4883" max="4883" width="13.33203125" style="74" customWidth="1"/>
    <col min="4884" max="4884" width="19.44140625" style="74" customWidth="1"/>
    <col min="4885" max="4885" width="18.88671875" style="74" customWidth="1"/>
    <col min="4886" max="5122" width="9" style="74" customWidth="1"/>
    <col min="5123" max="5123" width="4.109375" style="74" customWidth="1"/>
    <col min="5124" max="5124" width="13.33203125" style="74" customWidth="1"/>
    <col min="5125" max="5125" width="9.5546875" style="74" customWidth="1"/>
    <col min="5126" max="5126" width="15" style="74" customWidth="1"/>
    <col min="5127" max="5128" width="13" style="74" customWidth="1"/>
    <col min="5129" max="5129" width="4.33203125" style="74" customWidth="1"/>
    <col min="5130" max="5130" width="4.88671875" style="74" customWidth="1"/>
    <col min="5131" max="5131" width="9.5546875" style="74" customWidth="1"/>
    <col min="5132" max="5132" width="36" style="74" customWidth="1"/>
    <col min="5133" max="5133" width="11.109375" style="74" customWidth="1"/>
    <col min="5134" max="5134" width="12.44140625" style="74" customWidth="1"/>
    <col min="5135" max="5135" width="13.88671875" style="74" customWidth="1"/>
    <col min="5136" max="5136" width="7.6640625" style="74" customWidth="1"/>
    <col min="5137" max="5137" width="13" style="74" customWidth="1"/>
    <col min="5138" max="5138" width="11.5546875" style="74" customWidth="1"/>
    <col min="5139" max="5139" width="13.33203125" style="74" customWidth="1"/>
    <col min="5140" max="5140" width="19.44140625" style="74" customWidth="1"/>
    <col min="5141" max="5141" width="18.88671875" style="74" customWidth="1"/>
    <col min="5142" max="5378" width="9" style="74" customWidth="1"/>
    <col min="5379" max="5379" width="4.109375" style="74" customWidth="1"/>
    <col min="5380" max="5380" width="13.33203125" style="74" customWidth="1"/>
    <col min="5381" max="5381" width="9.5546875" style="74" customWidth="1"/>
    <col min="5382" max="5382" width="15" style="74" customWidth="1"/>
    <col min="5383" max="5384" width="13" style="74" customWidth="1"/>
    <col min="5385" max="5385" width="4.33203125" style="74" customWidth="1"/>
    <col min="5386" max="5386" width="4.88671875" style="74" customWidth="1"/>
    <col min="5387" max="5387" width="9.5546875" style="74" customWidth="1"/>
    <col min="5388" max="5388" width="36" style="74" customWidth="1"/>
    <col min="5389" max="5389" width="11.109375" style="74" customWidth="1"/>
    <col min="5390" max="5390" width="12.44140625" style="74" customWidth="1"/>
    <col min="5391" max="5391" width="13.88671875" style="74" customWidth="1"/>
    <col min="5392" max="5392" width="7.6640625" style="74" customWidth="1"/>
    <col min="5393" max="5393" width="13" style="74" customWidth="1"/>
    <col min="5394" max="5394" width="11.5546875" style="74" customWidth="1"/>
    <col min="5395" max="5395" width="13.33203125" style="74" customWidth="1"/>
    <col min="5396" max="5396" width="19.44140625" style="74" customWidth="1"/>
    <col min="5397" max="5397" width="18.88671875" style="74" customWidth="1"/>
    <col min="5398" max="5634" width="9" style="74" customWidth="1"/>
    <col min="5635" max="5635" width="4.109375" style="74" customWidth="1"/>
    <col min="5636" max="5636" width="13.33203125" style="74" customWidth="1"/>
    <col min="5637" max="5637" width="9.5546875" style="74" customWidth="1"/>
    <col min="5638" max="5638" width="15" style="74" customWidth="1"/>
    <col min="5639" max="5640" width="13" style="74" customWidth="1"/>
    <col min="5641" max="5641" width="4.33203125" style="74" customWidth="1"/>
    <col min="5642" max="5642" width="4.88671875" style="74" customWidth="1"/>
    <col min="5643" max="5643" width="9.5546875" style="74" customWidth="1"/>
    <col min="5644" max="5644" width="36" style="74" customWidth="1"/>
    <col min="5645" max="5645" width="11.109375" style="74" customWidth="1"/>
    <col min="5646" max="5646" width="12.44140625" style="74" customWidth="1"/>
    <col min="5647" max="5647" width="13.88671875" style="74" customWidth="1"/>
    <col min="5648" max="5648" width="7.6640625" style="74" customWidth="1"/>
    <col min="5649" max="5649" width="13" style="74" customWidth="1"/>
    <col min="5650" max="5650" width="11.5546875" style="74" customWidth="1"/>
    <col min="5651" max="5651" width="13.33203125" style="74" customWidth="1"/>
    <col min="5652" max="5652" width="19.44140625" style="74" customWidth="1"/>
    <col min="5653" max="5653" width="18.88671875" style="74" customWidth="1"/>
    <col min="5654" max="5890" width="9" style="74" customWidth="1"/>
    <col min="5891" max="5891" width="4.109375" style="74" customWidth="1"/>
    <col min="5892" max="5892" width="13.33203125" style="74" customWidth="1"/>
    <col min="5893" max="5893" width="9.5546875" style="74" customWidth="1"/>
    <col min="5894" max="5894" width="15" style="74" customWidth="1"/>
    <col min="5895" max="5896" width="13" style="74" customWidth="1"/>
    <col min="5897" max="5897" width="4.33203125" style="74" customWidth="1"/>
    <col min="5898" max="5898" width="4.88671875" style="74" customWidth="1"/>
    <col min="5899" max="5899" width="9.5546875" style="74" customWidth="1"/>
    <col min="5900" max="5900" width="36" style="74" customWidth="1"/>
    <col min="5901" max="5901" width="11.109375" style="74" customWidth="1"/>
    <col min="5902" max="5902" width="12.44140625" style="74" customWidth="1"/>
    <col min="5903" max="5903" width="13.88671875" style="74" customWidth="1"/>
    <col min="5904" max="5904" width="7.6640625" style="74" customWidth="1"/>
    <col min="5905" max="5905" width="13" style="74" customWidth="1"/>
    <col min="5906" max="5906" width="11.5546875" style="74" customWidth="1"/>
    <col min="5907" max="5907" width="13.33203125" style="74" customWidth="1"/>
    <col min="5908" max="5908" width="19.44140625" style="74" customWidth="1"/>
    <col min="5909" max="5909" width="18.88671875" style="74" customWidth="1"/>
    <col min="5910" max="6146" width="9" style="74" customWidth="1"/>
    <col min="6147" max="6147" width="4.109375" style="74" customWidth="1"/>
    <col min="6148" max="6148" width="13.33203125" style="74" customWidth="1"/>
    <col min="6149" max="6149" width="9.5546875" style="74" customWidth="1"/>
    <col min="6150" max="6150" width="15" style="74" customWidth="1"/>
    <col min="6151" max="6152" width="13" style="74" customWidth="1"/>
    <col min="6153" max="6153" width="4.33203125" style="74" customWidth="1"/>
    <col min="6154" max="6154" width="4.88671875" style="74" customWidth="1"/>
    <col min="6155" max="6155" width="9.5546875" style="74" customWidth="1"/>
    <col min="6156" max="6156" width="36" style="74" customWidth="1"/>
    <col min="6157" max="6157" width="11.109375" style="74" customWidth="1"/>
    <col min="6158" max="6158" width="12.44140625" style="74" customWidth="1"/>
    <col min="6159" max="6159" width="13.88671875" style="74" customWidth="1"/>
    <col min="6160" max="6160" width="7.6640625" style="74" customWidth="1"/>
    <col min="6161" max="6161" width="13" style="74" customWidth="1"/>
    <col min="6162" max="6162" width="11.5546875" style="74" customWidth="1"/>
    <col min="6163" max="6163" width="13.33203125" style="74" customWidth="1"/>
    <col min="6164" max="6164" width="19.44140625" style="74" customWidth="1"/>
    <col min="6165" max="6165" width="18.88671875" style="74" customWidth="1"/>
    <col min="6166" max="6402" width="9" style="74" customWidth="1"/>
    <col min="6403" max="6403" width="4.109375" style="74" customWidth="1"/>
    <col min="6404" max="6404" width="13.33203125" style="74" customWidth="1"/>
    <col min="6405" max="6405" width="9.5546875" style="74" customWidth="1"/>
    <col min="6406" max="6406" width="15" style="74" customWidth="1"/>
    <col min="6407" max="6408" width="13" style="74" customWidth="1"/>
    <col min="6409" max="6409" width="4.33203125" style="74" customWidth="1"/>
    <col min="6410" max="6410" width="4.88671875" style="74" customWidth="1"/>
    <col min="6411" max="6411" width="9.5546875" style="74" customWidth="1"/>
    <col min="6412" max="6412" width="36" style="74" customWidth="1"/>
    <col min="6413" max="6413" width="11.109375" style="74" customWidth="1"/>
    <col min="6414" max="6414" width="12.44140625" style="74" customWidth="1"/>
    <col min="6415" max="6415" width="13.88671875" style="74" customWidth="1"/>
    <col min="6416" max="6416" width="7.6640625" style="74" customWidth="1"/>
    <col min="6417" max="6417" width="13" style="74" customWidth="1"/>
    <col min="6418" max="6418" width="11.5546875" style="74" customWidth="1"/>
    <col min="6419" max="6419" width="13.33203125" style="74" customWidth="1"/>
    <col min="6420" max="6420" width="19.44140625" style="74" customWidth="1"/>
    <col min="6421" max="6421" width="18.88671875" style="74" customWidth="1"/>
    <col min="6422" max="6658" width="9" style="74" customWidth="1"/>
    <col min="6659" max="6659" width="4.109375" style="74" customWidth="1"/>
    <col min="6660" max="6660" width="13.33203125" style="74" customWidth="1"/>
    <col min="6661" max="6661" width="9.5546875" style="74" customWidth="1"/>
    <col min="6662" max="6662" width="15" style="74" customWidth="1"/>
    <col min="6663" max="6664" width="13" style="74" customWidth="1"/>
    <col min="6665" max="6665" width="4.33203125" style="74" customWidth="1"/>
    <col min="6666" max="6666" width="4.88671875" style="74" customWidth="1"/>
    <col min="6667" max="6667" width="9.5546875" style="74" customWidth="1"/>
    <col min="6668" max="6668" width="36" style="74" customWidth="1"/>
    <col min="6669" max="6669" width="11.109375" style="74" customWidth="1"/>
    <col min="6670" max="6670" width="12.44140625" style="74" customWidth="1"/>
    <col min="6671" max="6671" width="13.88671875" style="74" customWidth="1"/>
    <col min="6672" max="6672" width="7.6640625" style="74" customWidth="1"/>
    <col min="6673" max="6673" width="13" style="74" customWidth="1"/>
    <col min="6674" max="6674" width="11.5546875" style="74" customWidth="1"/>
    <col min="6675" max="6675" width="13.33203125" style="74" customWidth="1"/>
    <col min="6676" max="6676" width="19.44140625" style="74" customWidth="1"/>
    <col min="6677" max="6677" width="18.88671875" style="74" customWidth="1"/>
    <col min="6678" max="6914" width="9" style="74" customWidth="1"/>
    <col min="6915" max="6915" width="4.109375" style="74" customWidth="1"/>
    <col min="6916" max="6916" width="13.33203125" style="74" customWidth="1"/>
    <col min="6917" max="6917" width="9.5546875" style="74" customWidth="1"/>
    <col min="6918" max="6918" width="15" style="74" customWidth="1"/>
    <col min="6919" max="6920" width="13" style="74" customWidth="1"/>
    <col min="6921" max="6921" width="4.33203125" style="74" customWidth="1"/>
    <col min="6922" max="6922" width="4.88671875" style="74" customWidth="1"/>
    <col min="6923" max="6923" width="9.5546875" style="74" customWidth="1"/>
    <col min="6924" max="6924" width="36" style="74" customWidth="1"/>
    <col min="6925" max="6925" width="11.109375" style="74" customWidth="1"/>
    <col min="6926" max="6926" width="12.44140625" style="74" customWidth="1"/>
    <col min="6927" max="6927" width="13.88671875" style="74" customWidth="1"/>
    <col min="6928" max="6928" width="7.6640625" style="74" customWidth="1"/>
    <col min="6929" max="6929" width="13" style="74" customWidth="1"/>
    <col min="6930" max="6930" width="11.5546875" style="74" customWidth="1"/>
    <col min="6931" max="6931" width="13.33203125" style="74" customWidth="1"/>
    <col min="6932" max="6932" width="19.44140625" style="74" customWidth="1"/>
    <col min="6933" max="6933" width="18.88671875" style="74" customWidth="1"/>
    <col min="6934" max="7170" width="9" style="74" customWidth="1"/>
    <col min="7171" max="7171" width="4.109375" style="74" customWidth="1"/>
    <col min="7172" max="7172" width="13.33203125" style="74" customWidth="1"/>
    <col min="7173" max="7173" width="9.5546875" style="74" customWidth="1"/>
    <col min="7174" max="7174" width="15" style="74" customWidth="1"/>
    <col min="7175" max="7176" width="13" style="74" customWidth="1"/>
    <col min="7177" max="7177" width="4.33203125" style="74" customWidth="1"/>
    <col min="7178" max="7178" width="4.88671875" style="74" customWidth="1"/>
    <col min="7179" max="7179" width="9.5546875" style="74" customWidth="1"/>
    <col min="7180" max="7180" width="36" style="74" customWidth="1"/>
    <col min="7181" max="7181" width="11.109375" style="74" customWidth="1"/>
    <col min="7182" max="7182" width="12.44140625" style="74" customWidth="1"/>
    <col min="7183" max="7183" width="13.88671875" style="74" customWidth="1"/>
    <col min="7184" max="7184" width="7.6640625" style="74" customWidth="1"/>
    <col min="7185" max="7185" width="13" style="74" customWidth="1"/>
    <col min="7186" max="7186" width="11.5546875" style="74" customWidth="1"/>
    <col min="7187" max="7187" width="13.33203125" style="74" customWidth="1"/>
    <col min="7188" max="7188" width="19.44140625" style="74" customWidth="1"/>
    <col min="7189" max="7189" width="18.88671875" style="74" customWidth="1"/>
    <col min="7190" max="7426" width="9" style="74" customWidth="1"/>
    <col min="7427" max="7427" width="4.109375" style="74" customWidth="1"/>
    <col min="7428" max="7428" width="13.33203125" style="74" customWidth="1"/>
    <col min="7429" max="7429" width="9.5546875" style="74" customWidth="1"/>
    <col min="7430" max="7430" width="15" style="74" customWidth="1"/>
    <col min="7431" max="7432" width="13" style="74" customWidth="1"/>
    <col min="7433" max="7433" width="4.33203125" style="74" customWidth="1"/>
    <col min="7434" max="7434" width="4.88671875" style="74" customWidth="1"/>
    <col min="7435" max="7435" width="9.5546875" style="74" customWidth="1"/>
    <col min="7436" max="7436" width="36" style="74" customWidth="1"/>
    <col min="7437" max="7437" width="11.109375" style="74" customWidth="1"/>
    <col min="7438" max="7438" width="12.44140625" style="74" customWidth="1"/>
    <col min="7439" max="7439" width="13.88671875" style="74" customWidth="1"/>
    <col min="7440" max="7440" width="7.6640625" style="74" customWidth="1"/>
    <col min="7441" max="7441" width="13" style="74" customWidth="1"/>
    <col min="7442" max="7442" width="11.5546875" style="74" customWidth="1"/>
    <col min="7443" max="7443" width="13.33203125" style="74" customWidth="1"/>
    <col min="7444" max="7444" width="19.44140625" style="74" customWidth="1"/>
    <col min="7445" max="7445" width="18.88671875" style="74" customWidth="1"/>
    <col min="7446" max="7682" width="9" style="74" customWidth="1"/>
    <col min="7683" max="7683" width="4.109375" style="74" customWidth="1"/>
    <col min="7684" max="7684" width="13.33203125" style="74" customWidth="1"/>
    <col min="7685" max="7685" width="9.5546875" style="74" customWidth="1"/>
    <col min="7686" max="7686" width="15" style="74" customWidth="1"/>
    <col min="7687" max="7688" width="13" style="74" customWidth="1"/>
    <col min="7689" max="7689" width="4.33203125" style="74" customWidth="1"/>
    <col min="7690" max="7690" width="4.88671875" style="74" customWidth="1"/>
    <col min="7691" max="7691" width="9.5546875" style="74" customWidth="1"/>
    <col min="7692" max="7692" width="36" style="74" customWidth="1"/>
    <col min="7693" max="7693" width="11.109375" style="74" customWidth="1"/>
    <col min="7694" max="7694" width="12.44140625" style="74" customWidth="1"/>
    <col min="7695" max="7695" width="13.88671875" style="74" customWidth="1"/>
    <col min="7696" max="7696" width="7.6640625" style="74" customWidth="1"/>
    <col min="7697" max="7697" width="13" style="74" customWidth="1"/>
    <col min="7698" max="7698" width="11.5546875" style="74" customWidth="1"/>
    <col min="7699" max="7699" width="13.33203125" style="74" customWidth="1"/>
    <col min="7700" max="7700" width="19.44140625" style="74" customWidth="1"/>
    <col min="7701" max="7701" width="18.88671875" style="74" customWidth="1"/>
    <col min="7702" max="7938" width="9" style="74" customWidth="1"/>
    <col min="7939" max="7939" width="4.109375" style="74" customWidth="1"/>
    <col min="7940" max="7940" width="13.33203125" style="74" customWidth="1"/>
    <col min="7941" max="7941" width="9.5546875" style="74" customWidth="1"/>
    <col min="7942" max="7942" width="15" style="74" customWidth="1"/>
    <col min="7943" max="7944" width="13" style="74" customWidth="1"/>
    <col min="7945" max="7945" width="4.33203125" style="74" customWidth="1"/>
    <col min="7946" max="7946" width="4.88671875" style="74" customWidth="1"/>
    <col min="7947" max="7947" width="9.5546875" style="74" customWidth="1"/>
    <col min="7948" max="7948" width="36" style="74" customWidth="1"/>
    <col min="7949" max="7949" width="11.109375" style="74" customWidth="1"/>
    <col min="7950" max="7950" width="12.44140625" style="74" customWidth="1"/>
    <col min="7951" max="7951" width="13.88671875" style="74" customWidth="1"/>
    <col min="7952" max="7952" width="7.6640625" style="74" customWidth="1"/>
    <col min="7953" max="7953" width="13" style="74" customWidth="1"/>
    <col min="7954" max="7954" width="11.5546875" style="74" customWidth="1"/>
    <col min="7955" max="7955" width="13.33203125" style="74" customWidth="1"/>
    <col min="7956" max="7956" width="19.44140625" style="74" customWidth="1"/>
    <col min="7957" max="7957" width="18.88671875" style="74" customWidth="1"/>
    <col min="7958" max="8194" width="9" style="74" customWidth="1"/>
    <col min="8195" max="8195" width="4.109375" style="74" customWidth="1"/>
    <col min="8196" max="8196" width="13.33203125" style="74" customWidth="1"/>
    <col min="8197" max="8197" width="9.5546875" style="74" customWidth="1"/>
    <col min="8198" max="8198" width="15" style="74" customWidth="1"/>
    <col min="8199" max="8200" width="13" style="74" customWidth="1"/>
    <col min="8201" max="8201" width="4.33203125" style="74" customWidth="1"/>
    <col min="8202" max="8202" width="4.88671875" style="74" customWidth="1"/>
    <col min="8203" max="8203" width="9.5546875" style="74" customWidth="1"/>
    <col min="8204" max="8204" width="36" style="74" customWidth="1"/>
    <col min="8205" max="8205" width="11.109375" style="74" customWidth="1"/>
    <col min="8206" max="8206" width="12.44140625" style="74" customWidth="1"/>
    <col min="8207" max="8207" width="13.88671875" style="74" customWidth="1"/>
    <col min="8208" max="8208" width="7.6640625" style="74" customWidth="1"/>
    <col min="8209" max="8209" width="13" style="74" customWidth="1"/>
    <col min="8210" max="8210" width="11.5546875" style="74" customWidth="1"/>
    <col min="8211" max="8211" width="13.33203125" style="74" customWidth="1"/>
    <col min="8212" max="8212" width="19.44140625" style="74" customWidth="1"/>
    <col min="8213" max="8213" width="18.88671875" style="74" customWidth="1"/>
    <col min="8214" max="8450" width="9" style="74" customWidth="1"/>
    <col min="8451" max="8451" width="4.109375" style="74" customWidth="1"/>
    <col min="8452" max="8452" width="13.33203125" style="74" customWidth="1"/>
    <col min="8453" max="8453" width="9.5546875" style="74" customWidth="1"/>
    <col min="8454" max="8454" width="15" style="74" customWidth="1"/>
    <col min="8455" max="8456" width="13" style="74" customWidth="1"/>
    <col min="8457" max="8457" width="4.33203125" style="74" customWidth="1"/>
    <col min="8458" max="8458" width="4.88671875" style="74" customWidth="1"/>
    <col min="8459" max="8459" width="9.5546875" style="74" customWidth="1"/>
    <col min="8460" max="8460" width="36" style="74" customWidth="1"/>
    <col min="8461" max="8461" width="11.109375" style="74" customWidth="1"/>
    <col min="8462" max="8462" width="12.44140625" style="74" customWidth="1"/>
    <col min="8463" max="8463" width="13.88671875" style="74" customWidth="1"/>
    <col min="8464" max="8464" width="7.6640625" style="74" customWidth="1"/>
    <col min="8465" max="8465" width="13" style="74" customWidth="1"/>
    <col min="8466" max="8466" width="11.5546875" style="74" customWidth="1"/>
    <col min="8467" max="8467" width="13.33203125" style="74" customWidth="1"/>
    <col min="8468" max="8468" width="19.44140625" style="74" customWidth="1"/>
    <col min="8469" max="8469" width="18.88671875" style="74" customWidth="1"/>
    <col min="8470" max="8706" width="9" style="74" customWidth="1"/>
    <col min="8707" max="8707" width="4.109375" style="74" customWidth="1"/>
    <col min="8708" max="8708" width="13.33203125" style="74" customWidth="1"/>
    <col min="8709" max="8709" width="9.5546875" style="74" customWidth="1"/>
    <col min="8710" max="8710" width="15" style="74" customWidth="1"/>
    <col min="8711" max="8712" width="13" style="74" customWidth="1"/>
    <col min="8713" max="8713" width="4.33203125" style="74" customWidth="1"/>
    <col min="8714" max="8714" width="4.88671875" style="74" customWidth="1"/>
    <col min="8715" max="8715" width="9.5546875" style="74" customWidth="1"/>
    <col min="8716" max="8716" width="36" style="74" customWidth="1"/>
    <col min="8717" max="8717" width="11.109375" style="74" customWidth="1"/>
    <col min="8718" max="8718" width="12.44140625" style="74" customWidth="1"/>
    <col min="8719" max="8719" width="13.88671875" style="74" customWidth="1"/>
    <col min="8720" max="8720" width="7.6640625" style="74" customWidth="1"/>
    <col min="8721" max="8721" width="13" style="74" customWidth="1"/>
    <col min="8722" max="8722" width="11.5546875" style="74" customWidth="1"/>
    <col min="8723" max="8723" width="13.33203125" style="74" customWidth="1"/>
    <col min="8724" max="8724" width="19.44140625" style="74" customWidth="1"/>
    <col min="8725" max="8725" width="18.88671875" style="74" customWidth="1"/>
    <col min="8726" max="8962" width="9" style="74" customWidth="1"/>
    <col min="8963" max="8963" width="4.109375" style="74" customWidth="1"/>
    <col min="8964" max="8964" width="13.33203125" style="74" customWidth="1"/>
    <col min="8965" max="8965" width="9.5546875" style="74" customWidth="1"/>
    <col min="8966" max="8966" width="15" style="74" customWidth="1"/>
    <col min="8967" max="8968" width="13" style="74" customWidth="1"/>
    <col min="8969" max="8969" width="4.33203125" style="74" customWidth="1"/>
    <col min="8970" max="8970" width="4.88671875" style="74" customWidth="1"/>
    <col min="8971" max="8971" width="9.5546875" style="74" customWidth="1"/>
    <col min="8972" max="8972" width="36" style="74" customWidth="1"/>
    <col min="8973" max="8973" width="11.109375" style="74" customWidth="1"/>
    <col min="8974" max="8974" width="12.44140625" style="74" customWidth="1"/>
    <col min="8975" max="8975" width="13.88671875" style="74" customWidth="1"/>
    <col min="8976" max="8976" width="7.6640625" style="74" customWidth="1"/>
    <col min="8977" max="8977" width="13" style="74" customWidth="1"/>
    <col min="8978" max="8978" width="11.5546875" style="74" customWidth="1"/>
    <col min="8979" max="8979" width="13.33203125" style="74" customWidth="1"/>
    <col min="8980" max="8980" width="19.44140625" style="74" customWidth="1"/>
    <col min="8981" max="8981" width="18.88671875" style="74" customWidth="1"/>
    <col min="8982" max="9218" width="9" style="74" customWidth="1"/>
    <col min="9219" max="9219" width="4.109375" style="74" customWidth="1"/>
    <col min="9220" max="9220" width="13.33203125" style="74" customWidth="1"/>
    <col min="9221" max="9221" width="9.5546875" style="74" customWidth="1"/>
    <col min="9222" max="9222" width="15" style="74" customWidth="1"/>
    <col min="9223" max="9224" width="13" style="74" customWidth="1"/>
    <col min="9225" max="9225" width="4.33203125" style="74" customWidth="1"/>
    <col min="9226" max="9226" width="4.88671875" style="74" customWidth="1"/>
    <col min="9227" max="9227" width="9.5546875" style="74" customWidth="1"/>
    <col min="9228" max="9228" width="36" style="74" customWidth="1"/>
    <col min="9229" max="9229" width="11.109375" style="74" customWidth="1"/>
    <col min="9230" max="9230" width="12.44140625" style="74" customWidth="1"/>
    <col min="9231" max="9231" width="13.88671875" style="74" customWidth="1"/>
    <col min="9232" max="9232" width="7.6640625" style="74" customWidth="1"/>
    <col min="9233" max="9233" width="13" style="74" customWidth="1"/>
    <col min="9234" max="9234" width="11.5546875" style="74" customWidth="1"/>
    <col min="9235" max="9235" width="13.33203125" style="74" customWidth="1"/>
    <col min="9236" max="9236" width="19.44140625" style="74" customWidth="1"/>
    <col min="9237" max="9237" width="18.88671875" style="74" customWidth="1"/>
    <col min="9238" max="9474" width="9" style="74" customWidth="1"/>
    <col min="9475" max="9475" width="4.109375" style="74" customWidth="1"/>
    <col min="9476" max="9476" width="13.33203125" style="74" customWidth="1"/>
    <col min="9477" max="9477" width="9.5546875" style="74" customWidth="1"/>
    <col min="9478" max="9478" width="15" style="74" customWidth="1"/>
    <col min="9479" max="9480" width="13" style="74" customWidth="1"/>
    <col min="9481" max="9481" width="4.33203125" style="74" customWidth="1"/>
    <col min="9482" max="9482" width="4.88671875" style="74" customWidth="1"/>
    <col min="9483" max="9483" width="9.5546875" style="74" customWidth="1"/>
    <col min="9484" max="9484" width="36" style="74" customWidth="1"/>
    <col min="9485" max="9485" width="11.109375" style="74" customWidth="1"/>
    <col min="9486" max="9486" width="12.44140625" style="74" customWidth="1"/>
    <col min="9487" max="9487" width="13.88671875" style="74" customWidth="1"/>
    <col min="9488" max="9488" width="7.6640625" style="74" customWidth="1"/>
    <col min="9489" max="9489" width="13" style="74" customWidth="1"/>
    <col min="9490" max="9490" width="11.5546875" style="74" customWidth="1"/>
    <col min="9491" max="9491" width="13.33203125" style="74" customWidth="1"/>
    <col min="9492" max="9492" width="19.44140625" style="74" customWidth="1"/>
    <col min="9493" max="9493" width="18.88671875" style="74" customWidth="1"/>
    <col min="9494" max="9730" width="9" style="74" customWidth="1"/>
    <col min="9731" max="9731" width="4.109375" style="74" customWidth="1"/>
    <col min="9732" max="9732" width="13.33203125" style="74" customWidth="1"/>
    <col min="9733" max="9733" width="9.5546875" style="74" customWidth="1"/>
    <col min="9734" max="9734" width="15" style="74" customWidth="1"/>
    <col min="9735" max="9736" width="13" style="74" customWidth="1"/>
    <col min="9737" max="9737" width="4.33203125" style="74" customWidth="1"/>
    <col min="9738" max="9738" width="4.88671875" style="74" customWidth="1"/>
    <col min="9739" max="9739" width="9.5546875" style="74" customWidth="1"/>
    <col min="9740" max="9740" width="36" style="74" customWidth="1"/>
    <col min="9741" max="9741" width="11.109375" style="74" customWidth="1"/>
    <col min="9742" max="9742" width="12.44140625" style="74" customWidth="1"/>
    <col min="9743" max="9743" width="13.88671875" style="74" customWidth="1"/>
    <col min="9744" max="9744" width="7.6640625" style="74" customWidth="1"/>
    <col min="9745" max="9745" width="13" style="74" customWidth="1"/>
    <col min="9746" max="9746" width="11.5546875" style="74" customWidth="1"/>
    <col min="9747" max="9747" width="13.33203125" style="74" customWidth="1"/>
    <col min="9748" max="9748" width="19.44140625" style="74" customWidth="1"/>
    <col min="9749" max="9749" width="18.88671875" style="74" customWidth="1"/>
    <col min="9750" max="9986" width="9" style="74" customWidth="1"/>
    <col min="9987" max="9987" width="4.109375" style="74" customWidth="1"/>
    <col min="9988" max="9988" width="13.33203125" style="74" customWidth="1"/>
    <col min="9989" max="9989" width="9.5546875" style="74" customWidth="1"/>
    <col min="9990" max="9990" width="15" style="74" customWidth="1"/>
    <col min="9991" max="9992" width="13" style="74" customWidth="1"/>
    <col min="9993" max="9993" width="4.33203125" style="74" customWidth="1"/>
    <col min="9994" max="9994" width="4.88671875" style="74" customWidth="1"/>
    <col min="9995" max="9995" width="9.5546875" style="74" customWidth="1"/>
    <col min="9996" max="9996" width="36" style="74" customWidth="1"/>
    <col min="9997" max="9997" width="11.109375" style="74" customWidth="1"/>
    <col min="9998" max="9998" width="12.44140625" style="74" customWidth="1"/>
    <col min="9999" max="9999" width="13.88671875" style="74" customWidth="1"/>
    <col min="10000" max="10000" width="7.6640625" style="74" customWidth="1"/>
    <col min="10001" max="10001" width="13" style="74" customWidth="1"/>
    <col min="10002" max="10002" width="11.5546875" style="74" customWidth="1"/>
    <col min="10003" max="10003" width="13.33203125" style="74" customWidth="1"/>
    <col min="10004" max="10004" width="19.44140625" style="74" customWidth="1"/>
    <col min="10005" max="10005" width="18.88671875" style="74" customWidth="1"/>
    <col min="10006" max="10242" width="9" style="74" customWidth="1"/>
    <col min="10243" max="10243" width="4.109375" style="74" customWidth="1"/>
    <col min="10244" max="10244" width="13.33203125" style="74" customWidth="1"/>
    <col min="10245" max="10245" width="9.5546875" style="74" customWidth="1"/>
    <col min="10246" max="10246" width="15" style="74" customWidth="1"/>
    <col min="10247" max="10248" width="13" style="74" customWidth="1"/>
    <col min="10249" max="10249" width="4.33203125" style="74" customWidth="1"/>
    <col min="10250" max="10250" width="4.88671875" style="74" customWidth="1"/>
    <col min="10251" max="10251" width="9.5546875" style="74" customWidth="1"/>
    <col min="10252" max="10252" width="36" style="74" customWidth="1"/>
    <col min="10253" max="10253" width="11.109375" style="74" customWidth="1"/>
    <col min="10254" max="10254" width="12.44140625" style="74" customWidth="1"/>
    <col min="10255" max="10255" width="13.88671875" style="74" customWidth="1"/>
    <col min="10256" max="10256" width="7.6640625" style="74" customWidth="1"/>
    <col min="10257" max="10257" width="13" style="74" customWidth="1"/>
    <col min="10258" max="10258" width="11.5546875" style="74" customWidth="1"/>
    <col min="10259" max="10259" width="13.33203125" style="74" customWidth="1"/>
    <col min="10260" max="10260" width="19.44140625" style="74" customWidth="1"/>
    <col min="10261" max="10261" width="18.88671875" style="74" customWidth="1"/>
    <col min="10262" max="10498" width="9" style="74" customWidth="1"/>
    <col min="10499" max="10499" width="4.109375" style="74" customWidth="1"/>
    <col min="10500" max="10500" width="13.33203125" style="74" customWidth="1"/>
    <col min="10501" max="10501" width="9.5546875" style="74" customWidth="1"/>
    <col min="10502" max="10502" width="15" style="74" customWidth="1"/>
    <col min="10503" max="10504" width="13" style="74" customWidth="1"/>
    <col min="10505" max="10505" width="4.33203125" style="74" customWidth="1"/>
    <col min="10506" max="10506" width="4.88671875" style="74" customWidth="1"/>
    <col min="10507" max="10507" width="9.5546875" style="74" customWidth="1"/>
    <col min="10508" max="10508" width="36" style="74" customWidth="1"/>
    <col min="10509" max="10509" width="11.109375" style="74" customWidth="1"/>
    <col min="10510" max="10510" width="12.44140625" style="74" customWidth="1"/>
    <col min="10511" max="10511" width="13.88671875" style="74" customWidth="1"/>
    <col min="10512" max="10512" width="7.6640625" style="74" customWidth="1"/>
    <col min="10513" max="10513" width="13" style="74" customWidth="1"/>
    <col min="10514" max="10514" width="11.5546875" style="74" customWidth="1"/>
    <col min="10515" max="10515" width="13.33203125" style="74" customWidth="1"/>
    <col min="10516" max="10516" width="19.44140625" style="74" customWidth="1"/>
    <col min="10517" max="10517" width="18.88671875" style="74" customWidth="1"/>
    <col min="10518" max="10754" width="9" style="74" customWidth="1"/>
    <col min="10755" max="10755" width="4.109375" style="74" customWidth="1"/>
    <col min="10756" max="10756" width="13.33203125" style="74" customWidth="1"/>
    <col min="10757" max="10757" width="9.5546875" style="74" customWidth="1"/>
    <col min="10758" max="10758" width="15" style="74" customWidth="1"/>
    <col min="10759" max="10760" width="13" style="74" customWidth="1"/>
    <col min="10761" max="10761" width="4.33203125" style="74" customWidth="1"/>
    <col min="10762" max="10762" width="4.88671875" style="74" customWidth="1"/>
    <col min="10763" max="10763" width="9.5546875" style="74" customWidth="1"/>
    <col min="10764" max="10764" width="36" style="74" customWidth="1"/>
    <col min="10765" max="10765" width="11.109375" style="74" customWidth="1"/>
    <col min="10766" max="10766" width="12.44140625" style="74" customWidth="1"/>
    <col min="10767" max="10767" width="13.88671875" style="74" customWidth="1"/>
    <col min="10768" max="10768" width="7.6640625" style="74" customWidth="1"/>
    <col min="10769" max="10769" width="13" style="74" customWidth="1"/>
    <col min="10770" max="10770" width="11.5546875" style="74" customWidth="1"/>
    <col min="10771" max="10771" width="13.33203125" style="74" customWidth="1"/>
    <col min="10772" max="10772" width="19.44140625" style="74" customWidth="1"/>
    <col min="10773" max="10773" width="18.88671875" style="74" customWidth="1"/>
    <col min="10774" max="11010" width="9" style="74" customWidth="1"/>
    <col min="11011" max="11011" width="4.109375" style="74" customWidth="1"/>
    <col min="11012" max="11012" width="13.33203125" style="74" customWidth="1"/>
    <col min="11013" max="11013" width="9.5546875" style="74" customWidth="1"/>
    <col min="11014" max="11014" width="15" style="74" customWidth="1"/>
    <col min="11015" max="11016" width="13" style="74" customWidth="1"/>
    <col min="11017" max="11017" width="4.33203125" style="74" customWidth="1"/>
    <col min="11018" max="11018" width="4.88671875" style="74" customWidth="1"/>
    <col min="11019" max="11019" width="9.5546875" style="74" customWidth="1"/>
    <col min="11020" max="11020" width="36" style="74" customWidth="1"/>
    <col min="11021" max="11021" width="11.109375" style="74" customWidth="1"/>
    <col min="11022" max="11022" width="12.44140625" style="74" customWidth="1"/>
    <col min="11023" max="11023" width="13.88671875" style="74" customWidth="1"/>
    <col min="11024" max="11024" width="7.6640625" style="74" customWidth="1"/>
    <col min="11025" max="11025" width="13" style="74" customWidth="1"/>
    <col min="11026" max="11026" width="11.5546875" style="74" customWidth="1"/>
    <col min="11027" max="11027" width="13.33203125" style="74" customWidth="1"/>
    <col min="11028" max="11028" width="19.44140625" style="74" customWidth="1"/>
    <col min="11029" max="11029" width="18.88671875" style="74" customWidth="1"/>
    <col min="11030" max="11266" width="9" style="74" customWidth="1"/>
    <col min="11267" max="11267" width="4.109375" style="74" customWidth="1"/>
    <col min="11268" max="11268" width="13.33203125" style="74" customWidth="1"/>
    <col min="11269" max="11269" width="9.5546875" style="74" customWidth="1"/>
    <col min="11270" max="11270" width="15" style="74" customWidth="1"/>
    <col min="11271" max="11272" width="13" style="74" customWidth="1"/>
    <col min="11273" max="11273" width="4.33203125" style="74" customWidth="1"/>
    <col min="11274" max="11274" width="4.88671875" style="74" customWidth="1"/>
    <col min="11275" max="11275" width="9.5546875" style="74" customWidth="1"/>
    <col min="11276" max="11276" width="36" style="74" customWidth="1"/>
    <col min="11277" max="11277" width="11.109375" style="74" customWidth="1"/>
    <col min="11278" max="11278" width="12.44140625" style="74" customWidth="1"/>
    <col min="11279" max="11279" width="13.88671875" style="74" customWidth="1"/>
    <col min="11280" max="11280" width="7.6640625" style="74" customWidth="1"/>
    <col min="11281" max="11281" width="13" style="74" customWidth="1"/>
    <col min="11282" max="11282" width="11.5546875" style="74" customWidth="1"/>
    <col min="11283" max="11283" width="13.33203125" style="74" customWidth="1"/>
    <col min="11284" max="11284" width="19.44140625" style="74" customWidth="1"/>
    <col min="11285" max="11285" width="18.88671875" style="74" customWidth="1"/>
    <col min="11286" max="11522" width="9" style="74" customWidth="1"/>
    <col min="11523" max="11523" width="4.109375" style="74" customWidth="1"/>
    <col min="11524" max="11524" width="13.33203125" style="74" customWidth="1"/>
    <col min="11525" max="11525" width="9.5546875" style="74" customWidth="1"/>
    <col min="11526" max="11526" width="15" style="74" customWidth="1"/>
    <col min="11527" max="11528" width="13" style="74" customWidth="1"/>
    <col min="11529" max="11529" width="4.33203125" style="74" customWidth="1"/>
    <col min="11530" max="11530" width="4.88671875" style="74" customWidth="1"/>
    <col min="11531" max="11531" width="9.5546875" style="74" customWidth="1"/>
    <col min="11532" max="11532" width="36" style="74" customWidth="1"/>
    <col min="11533" max="11533" width="11.109375" style="74" customWidth="1"/>
    <col min="11534" max="11534" width="12.44140625" style="74" customWidth="1"/>
    <col min="11535" max="11535" width="13.88671875" style="74" customWidth="1"/>
    <col min="11536" max="11536" width="7.6640625" style="74" customWidth="1"/>
    <col min="11537" max="11537" width="13" style="74" customWidth="1"/>
    <col min="11538" max="11538" width="11.5546875" style="74" customWidth="1"/>
    <col min="11539" max="11539" width="13.33203125" style="74" customWidth="1"/>
    <col min="11540" max="11540" width="19.44140625" style="74" customWidth="1"/>
    <col min="11541" max="11541" width="18.88671875" style="74" customWidth="1"/>
    <col min="11542" max="11778" width="9" style="74" customWidth="1"/>
    <col min="11779" max="11779" width="4.109375" style="74" customWidth="1"/>
    <col min="11780" max="11780" width="13.33203125" style="74" customWidth="1"/>
    <col min="11781" max="11781" width="9.5546875" style="74" customWidth="1"/>
    <col min="11782" max="11782" width="15" style="74" customWidth="1"/>
    <col min="11783" max="11784" width="13" style="74" customWidth="1"/>
    <col min="11785" max="11785" width="4.33203125" style="74" customWidth="1"/>
    <col min="11786" max="11786" width="4.88671875" style="74" customWidth="1"/>
    <col min="11787" max="11787" width="9.5546875" style="74" customWidth="1"/>
    <col min="11788" max="11788" width="36" style="74" customWidth="1"/>
    <col min="11789" max="11789" width="11.109375" style="74" customWidth="1"/>
    <col min="11790" max="11790" width="12.44140625" style="74" customWidth="1"/>
    <col min="11791" max="11791" width="13.88671875" style="74" customWidth="1"/>
    <col min="11792" max="11792" width="7.6640625" style="74" customWidth="1"/>
    <col min="11793" max="11793" width="13" style="74" customWidth="1"/>
    <col min="11794" max="11794" width="11.5546875" style="74" customWidth="1"/>
    <col min="11795" max="11795" width="13.33203125" style="74" customWidth="1"/>
    <col min="11796" max="11796" width="19.44140625" style="74" customWidth="1"/>
    <col min="11797" max="11797" width="18.88671875" style="74" customWidth="1"/>
    <col min="11798" max="12034" width="9" style="74" customWidth="1"/>
    <col min="12035" max="12035" width="4.109375" style="74" customWidth="1"/>
    <col min="12036" max="12036" width="13.33203125" style="74" customWidth="1"/>
    <col min="12037" max="12037" width="9.5546875" style="74" customWidth="1"/>
    <col min="12038" max="12038" width="15" style="74" customWidth="1"/>
    <col min="12039" max="12040" width="13" style="74" customWidth="1"/>
    <col min="12041" max="12041" width="4.33203125" style="74" customWidth="1"/>
    <col min="12042" max="12042" width="4.88671875" style="74" customWidth="1"/>
    <col min="12043" max="12043" width="9.5546875" style="74" customWidth="1"/>
    <col min="12044" max="12044" width="36" style="74" customWidth="1"/>
    <col min="12045" max="12045" width="11.109375" style="74" customWidth="1"/>
    <col min="12046" max="12046" width="12.44140625" style="74" customWidth="1"/>
    <col min="12047" max="12047" width="13.88671875" style="74" customWidth="1"/>
    <col min="12048" max="12048" width="7.6640625" style="74" customWidth="1"/>
    <col min="12049" max="12049" width="13" style="74" customWidth="1"/>
    <col min="12050" max="12050" width="11.5546875" style="74" customWidth="1"/>
    <col min="12051" max="12051" width="13.33203125" style="74" customWidth="1"/>
    <col min="12052" max="12052" width="19.44140625" style="74" customWidth="1"/>
    <col min="12053" max="12053" width="18.88671875" style="74" customWidth="1"/>
    <col min="12054" max="12290" width="9" style="74" customWidth="1"/>
    <col min="12291" max="12291" width="4.109375" style="74" customWidth="1"/>
    <col min="12292" max="12292" width="13.33203125" style="74" customWidth="1"/>
    <col min="12293" max="12293" width="9.5546875" style="74" customWidth="1"/>
    <col min="12294" max="12294" width="15" style="74" customWidth="1"/>
    <col min="12295" max="12296" width="13" style="74" customWidth="1"/>
    <col min="12297" max="12297" width="4.33203125" style="74" customWidth="1"/>
    <col min="12298" max="12298" width="4.88671875" style="74" customWidth="1"/>
    <col min="12299" max="12299" width="9.5546875" style="74" customWidth="1"/>
    <col min="12300" max="12300" width="36" style="74" customWidth="1"/>
    <col min="12301" max="12301" width="11.109375" style="74" customWidth="1"/>
    <col min="12302" max="12302" width="12.44140625" style="74" customWidth="1"/>
    <col min="12303" max="12303" width="13.88671875" style="74" customWidth="1"/>
    <col min="12304" max="12304" width="7.6640625" style="74" customWidth="1"/>
    <col min="12305" max="12305" width="13" style="74" customWidth="1"/>
    <col min="12306" max="12306" width="11.5546875" style="74" customWidth="1"/>
    <col min="12307" max="12307" width="13.33203125" style="74" customWidth="1"/>
    <col min="12308" max="12308" width="19.44140625" style="74" customWidth="1"/>
    <col min="12309" max="12309" width="18.88671875" style="74" customWidth="1"/>
    <col min="12310" max="12546" width="9" style="74" customWidth="1"/>
    <col min="12547" max="12547" width="4.109375" style="74" customWidth="1"/>
    <col min="12548" max="12548" width="13.33203125" style="74" customWidth="1"/>
    <col min="12549" max="12549" width="9.5546875" style="74" customWidth="1"/>
    <col min="12550" max="12550" width="15" style="74" customWidth="1"/>
    <col min="12551" max="12552" width="13" style="74" customWidth="1"/>
    <col min="12553" max="12553" width="4.33203125" style="74" customWidth="1"/>
    <col min="12554" max="12554" width="4.88671875" style="74" customWidth="1"/>
    <col min="12555" max="12555" width="9.5546875" style="74" customWidth="1"/>
    <col min="12556" max="12556" width="36" style="74" customWidth="1"/>
    <col min="12557" max="12557" width="11.109375" style="74" customWidth="1"/>
    <col min="12558" max="12558" width="12.44140625" style="74" customWidth="1"/>
    <col min="12559" max="12559" width="13.88671875" style="74" customWidth="1"/>
    <col min="12560" max="12560" width="7.6640625" style="74" customWidth="1"/>
    <col min="12561" max="12561" width="13" style="74" customWidth="1"/>
    <col min="12562" max="12562" width="11.5546875" style="74" customWidth="1"/>
    <col min="12563" max="12563" width="13.33203125" style="74" customWidth="1"/>
    <col min="12564" max="12564" width="19.44140625" style="74" customWidth="1"/>
    <col min="12565" max="12565" width="18.88671875" style="74" customWidth="1"/>
    <col min="12566" max="12802" width="9" style="74" customWidth="1"/>
    <col min="12803" max="12803" width="4.109375" style="74" customWidth="1"/>
    <col min="12804" max="12804" width="13.33203125" style="74" customWidth="1"/>
    <col min="12805" max="12805" width="9.5546875" style="74" customWidth="1"/>
    <col min="12806" max="12806" width="15" style="74" customWidth="1"/>
    <col min="12807" max="12808" width="13" style="74" customWidth="1"/>
    <col min="12809" max="12809" width="4.33203125" style="74" customWidth="1"/>
    <col min="12810" max="12810" width="4.88671875" style="74" customWidth="1"/>
    <col min="12811" max="12811" width="9.5546875" style="74" customWidth="1"/>
    <col min="12812" max="12812" width="36" style="74" customWidth="1"/>
    <col min="12813" max="12813" width="11.109375" style="74" customWidth="1"/>
    <col min="12814" max="12814" width="12.44140625" style="74" customWidth="1"/>
    <col min="12815" max="12815" width="13.88671875" style="74" customWidth="1"/>
    <col min="12816" max="12816" width="7.6640625" style="74" customWidth="1"/>
    <col min="12817" max="12817" width="13" style="74" customWidth="1"/>
    <col min="12818" max="12818" width="11.5546875" style="74" customWidth="1"/>
    <col min="12819" max="12819" width="13.33203125" style="74" customWidth="1"/>
    <col min="12820" max="12820" width="19.44140625" style="74" customWidth="1"/>
    <col min="12821" max="12821" width="18.88671875" style="74" customWidth="1"/>
    <col min="12822" max="13058" width="9" style="74" customWidth="1"/>
    <col min="13059" max="13059" width="4.109375" style="74" customWidth="1"/>
    <col min="13060" max="13060" width="13.33203125" style="74" customWidth="1"/>
    <col min="13061" max="13061" width="9.5546875" style="74" customWidth="1"/>
    <col min="13062" max="13062" width="15" style="74" customWidth="1"/>
    <col min="13063" max="13064" width="13" style="74" customWidth="1"/>
    <col min="13065" max="13065" width="4.33203125" style="74" customWidth="1"/>
    <col min="13066" max="13066" width="4.88671875" style="74" customWidth="1"/>
    <col min="13067" max="13067" width="9.5546875" style="74" customWidth="1"/>
    <col min="13068" max="13068" width="36" style="74" customWidth="1"/>
    <col min="13069" max="13069" width="11.109375" style="74" customWidth="1"/>
    <col min="13070" max="13070" width="12.44140625" style="74" customWidth="1"/>
    <col min="13071" max="13071" width="13.88671875" style="74" customWidth="1"/>
    <col min="13072" max="13072" width="7.6640625" style="74" customWidth="1"/>
    <col min="13073" max="13073" width="13" style="74" customWidth="1"/>
    <col min="13074" max="13074" width="11.5546875" style="74" customWidth="1"/>
    <col min="13075" max="13075" width="13.33203125" style="74" customWidth="1"/>
    <col min="13076" max="13076" width="19.44140625" style="74" customWidth="1"/>
    <col min="13077" max="13077" width="18.88671875" style="74" customWidth="1"/>
    <col min="13078" max="13314" width="9" style="74" customWidth="1"/>
    <col min="13315" max="13315" width="4.109375" style="74" customWidth="1"/>
    <col min="13316" max="13316" width="13.33203125" style="74" customWidth="1"/>
    <col min="13317" max="13317" width="9.5546875" style="74" customWidth="1"/>
    <col min="13318" max="13318" width="15" style="74" customWidth="1"/>
    <col min="13319" max="13320" width="13" style="74" customWidth="1"/>
    <col min="13321" max="13321" width="4.33203125" style="74" customWidth="1"/>
    <col min="13322" max="13322" width="4.88671875" style="74" customWidth="1"/>
    <col min="13323" max="13323" width="9.5546875" style="74" customWidth="1"/>
    <col min="13324" max="13324" width="36" style="74" customWidth="1"/>
    <col min="13325" max="13325" width="11.109375" style="74" customWidth="1"/>
    <col min="13326" max="13326" width="12.44140625" style="74" customWidth="1"/>
    <col min="13327" max="13327" width="13.88671875" style="74" customWidth="1"/>
    <col min="13328" max="13328" width="7.6640625" style="74" customWidth="1"/>
    <col min="13329" max="13329" width="13" style="74" customWidth="1"/>
    <col min="13330" max="13330" width="11.5546875" style="74" customWidth="1"/>
    <col min="13331" max="13331" width="13.33203125" style="74" customWidth="1"/>
    <col min="13332" max="13332" width="19.44140625" style="74" customWidth="1"/>
    <col min="13333" max="13333" width="18.88671875" style="74" customWidth="1"/>
    <col min="13334" max="13570" width="9" style="74" customWidth="1"/>
    <col min="13571" max="13571" width="4.109375" style="74" customWidth="1"/>
    <col min="13572" max="13572" width="13.33203125" style="74" customWidth="1"/>
    <col min="13573" max="13573" width="9.5546875" style="74" customWidth="1"/>
    <col min="13574" max="13574" width="15" style="74" customWidth="1"/>
    <col min="13575" max="13576" width="13" style="74" customWidth="1"/>
    <col min="13577" max="13577" width="4.33203125" style="74" customWidth="1"/>
    <col min="13578" max="13578" width="4.88671875" style="74" customWidth="1"/>
    <col min="13579" max="13579" width="9.5546875" style="74" customWidth="1"/>
    <col min="13580" max="13580" width="36" style="74" customWidth="1"/>
    <col min="13581" max="13581" width="11.109375" style="74" customWidth="1"/>
    <col min="13582" max="13582" width="12.44140625" style="74" customWidth="1"/>
    <col min="13583" max="13583" width="13.88671875" style="74" customWidth="1"/>
    <col min="13584" max="13584" width="7.6640625" style="74" customWidth="1"/>
    <col min="13585" max="13585" width="13" style="74" customWidth="1"/>
    <col min="13586" max="13586" width="11.5546875" style="74" customWidth="1"/>
    <col min="13587" max="13587" width="13.33203125" style="74" customWidth="1"/>
    <col min="13588" max="13588" width="19.44140625" style="74" customWidth="1"/>
    <col min="13589" max="13589" width="18.88671875" style="74" customWidth="1"/>
    <col min="13590" max="13826" width="9" style="74" customWidth="1"/>
    <col min="13827" max="13827" width="4.109375" style="74" customWidth="1"/>
    <col min="13828" max="13828" width="13.33203125" style="74" customWidth="1"/>
    <col min="13829" max="13829" width="9.5546875" style="74" customWidth="1"/>
    <col min="13830" max="13830" width="15" style="74" customWidth="1"/>
    <col min="13831" max="13832" width="13" style="74" customWidth="1"/>
    <col min="13833" max="13833" width="4.33203125" style="74" customWidth="1"/>
    <col min="13834" max="13834" width="4.88671875" style="74" customWidth="1"/>
    <col min="13835" max="13835" width="9.5546875" style="74" customWidth="1"/>
    <col min="13836" max="13836" width="36" style="74" customWidth="1"/>
    <col min="13837" max="13837" width="11.109375" style="74" customWidth="1"/>
    <col min="13838" max="13838" width="12.44140625" style="74" customWidth="1"/>
    <col min="13839" max="13839" width="13.88671875" style="74" customWidth="1"/>
    <col min="13840" max="13840" width="7.6640625" style="74" customWidth="1"/>
    <col min="13841" max="13841" width="13" style="74" customWidth="1"/>
    <col min="13842" max="13842" width="11.5546875" style="74" customWidth="1"/>
    <col min="13843" max="13843" width="13.33203125" style="74" customWidth="1"/>
    <col min="13844" max="13844" width="19.44140625" style="74" customWidth="1"/>
    <col min="13845" max="13845" width="18.88671875" style="74" customWidth="1"/>
    <col min="13846" max="14082" width="9" style="74" customWidth="1"/>
    <col min="14083" max="14083" width="4.109375" style="74" customWidth="1"/>
    <col min="14084" max="14084" width="13.33203125" style="74" customWidth="1"/>
    <col min="14085" max="14085" width="9.5546875" style="74" customWidth="1"/>
    <col min="14086" max="14086" width="15" style="74" customWidth="1"/>
    <col min="14087" max="14088" width="13" style="74" customWidth="1"/>
    <col min="14089" max="14089" width="4.33203125" style="74" customWidth="1"/>
    <col min="14090" max="14090" width="4.88671875" style="74" customWidth="1"/>
    <col min="14091" max="14091" width="9.5546875" style="74" customWidth="1"/>
    <col min="14092" max="14092" width="36" style="74" customWidth="1"/>
    <col min="14093" max="14093" width="11.109375" style="74" customWidth="1"/>
    <col min="14094" max="14094" width="12.44140625" style="74" customWidth="1"/>
    <col min="14095" max="14095" width="13.88671875" style="74" customWidth="1"/>
    <col min="14096" max="14096" width="7.6640625" style="74" customWidth="1"/>
    <col min="14097" max="14097" width="13" style="74" customWidth="1"/>
    <col min="14098" max="14098" width="11.5546875" style="74" customWidth="1"/>
    <col min="14099" max="14099" width="13.33203125" style="74" customWidth="1"/>
    <col min="14100" max="14100" width="19.44140625" style="74" customWidth="1"/>
    <col min="14101" max="14101" width="18.88671875" style="74" customWidth="1"/>
    <col min="14102" max="14338" width="9" style="74" customWidth="1"/>
    <col min="14339" max="14339" width="4.109375" style="74" customWidth="1"/>
    <col min="14340" max="14340" width="13.33203125" style="74" customWidth="1"/>
    <col min="14341" max="14341" width="9.5546875" style="74" customWidth="1"/>
    <col min="14342" max="14342" width="15" style="74" customWidth="1"/>
    <col min="14343" max="14344" width="13" style="74" customWidth="1"/>
    <col min="14345" max="14345" width="4.33203125" style="74" customWidth="1"/>
    <col min="14346" max="14346" width="4.88671875" style="74" customWidth="1"/>
    <col min="14347" max="14347" width="9.5546875" style="74" customWidth="1"/>
    <col min="14348" max="14348" width="36" style="74" customWidth="1"/>
    <col min="14349" max="14349" width="11.109375" style="74" customWidth="1"/>
    <col min="14350" max="14350" width="12.44140625" style="74" customWidth="1"/>
    <col min="14351" max="14351" width="13.88671875" style="74" customWidth="1"/>
    <col min="14352" max="14352" width="7.6640625" style="74" customWidth="1"/>
    <col min="14353" max="14353" width="13" style="74" customWidth="1"/>
    <col min="14354" max="14354" width="11.5546875" style="74" customWidth="1"/>
    <col min="14355" max="14355" width="13.33203125" style="74" customWidth="1"/>
    <col min="14356" max="14356" width="19.44140625" style="74" customWidth="1"/>
    <col min="14357" max="14357" width="18.88671875" style="74" customWidth="1"/>
    <col min="14358" max="14594" width="9" style="74" customWidth="1"/>
    <col min="14595" max="14595" width="4.109375" style="74" customWidth="1"/>
    <col min="14596" max="14596" width="13.33203125" style="74" customWidth="1"/>
    <col min="14597" max="14597" width="9.5546875" style="74" customWidth="1"/>
    <col min="14598" max="14598" width="15" style="74" customWidth="1"/>
    <col min="14599" max="14600" width="13" style="74" customWidth="1"/>
    <col min="14601" max="14601" width="4.33203125" style="74" customWidth="1"/>
    <col min="14602" max="14602" width="4.88671875" style="74" customWidth="1"/>
    <col min="14603" max="14603" width="9.5546875" style="74" customWidth="1"/>
    <col min="14604" max="14604" width="36" style="74" customWidth="1"/>
    <col min="14605" max="14605" width="11.109375" style="74" customWidth="1"/>
    <col min="14606" max="14606" width="12.44140625" style="74" customWidth="1"/>
    <col min="14607" max="14607" width="13.88671875" style="74" customWidth="1"/>
    <col min="14608" max="14608" width="7.6640625" style="74" customWidth="1"/>
    <col min="14609" max="14609" width="13" style="74" customWidth="1"/>
    <col min="14610" max="14610" width="11.5546875" style="74" customWidth="1"/>
    <col min="14611" max="14611" width="13.33203125" style="74" customWidth="1"/>
    <col min="14612" max="14612" width="19.44140625" style="74" customWidth="1"/>
    <col min="14613" max="14613" width="18.88671875" style="74" customWidth="1"/>
    <col min="14614" max="14850" width="9" style="74" customWidth="1"/>
    <col min="14851" max="14851" width="4.109375" style="74" customWidth="1"/>
    <col min="14852" max="14852" width="13.33203125" style="74" customWidth="1"/>
    <col min="14853" max="14853" width="9.5546875" style="74" customWidth="1"/>
    <col min="14854" max="14854" width="15" style="74" customWidth="1"/>
    <col min="14855" max="14856" width="13" style="74" customWidth="1"/>
    <col min="14857" max="14857" width="4.33203125" style="74" customWidth="1"/>
    <col min="14858" max="14858" width="4.88671875" style="74" customWidth="1"/>
    <col min="14859" max="14859" width="9.5546875" style="74" customWidth="1"/>
    <col min="14860" max="14860" width="36" style="74" customWidth="1"/>
    <col min="14861" max="14861" width="11.109375" style="74" customWidth="1"/>
    <col min="14862" max="14862" width="12.44140625" style="74" customWidth="1"/>
    <col min="14863" max="14863" width="13.88671875" style="74" customWidth="1"/>
    <col min="14864" max="14864" width="7.6640625" style="74" customWidth="1"/>
    <col min="14865" max="14865" width="13" style="74" customWidth="1"/>
    <col min="14866" max="14866" width="11.5546875" style="74" customWidth="1"/>
    <col min="14867" max="14867" width="13.33203125" style="74" customWidth="1"/>
    <col min="14868" max="14868" width="19.44140625" style="74" customWidth="1"/>
    <col min="14869" max="14869" width="18.88671875" style="74" customWidth="1"/>
    <col min="14870" max="15106" width="9" style="74" customWidth="1"/>
    <col min="15107" max="15107" width="4.109375" style="74" customWidth="1"/>
    <col min="15108" max="15108" width="13.33203125" style="74" customWidth="1"/>
    <col min="15109" max="15109" width="9.5546875" style="74" customWidth="1"/>
    <col min="15110" max="15110" width="15" style="74" customWidth="1"/>
    <col min="15111" max="15112" width="13" style="74" customWidth="1"/>
    <col min="15113" max="15113" width="4.33203125" style="74" customWidth="1"/>
    <col min="15114" max="15114" width="4.88671875" style="74" customWidth="1"/>
    <col min="15115" max="15115" width="9.5546875" style="74" customWidth="1"/>
    <col min="15116" max="15116" width="36" style="74" customWidth="1"/>
    <col min="15117" max="15117" width="11.109375" style="74" customWidth="1"/>
    <col min="15118" max="15118" width="12.44140625" style="74" customWidth="1"/>
    <col min="15119" max="15119" width="13.88671875" style="74" customWidth="1"/>
    <col min="15120" max="15120" width="7.6640625" style="74" customWidth="1"/>
    <col min="15121" max="15121" width="13" style="74" customWidth="1"/>
    <col min="15122" max="15122" width="11.5546875" style="74" customWidth="1"/>
    <col min="15123" max="15123" width="13.33203125" style="74" customWidth="1"/>
    <col min="15124" max="15124" width="19.44140625" style="74" customWidth="1"/>
    <col min="15125" max="15125" width="18.88671875" style="74" customWidth="1"/>
    <col min="15126" max="15362" width="9" style="74" customWidth="1"/>
    <col min="15363" max="15363" width="4.109375" style="74" customWidth="1"/>
    <col min="15364" max="15364" width="13.33203125" style="74" customWidth="1"/>
    <col min="15365" max="15365" width="9.5546875" style="74" customWidth="1"/>
    <col min="15366" max="15366" width="15" style="74" customWidth="1"/>
    <col min="15367" max="15368" width="13" style="74" customWidth="1"/>
    <col min="15369" max="15369" width="4.33203125" style="74" customWidth="1"/>
    <col min="15370" max="15370" width="4.88671875" style="74" customWidth="1"/>
    <col min="15371" max="15371" width="9.5546875" style="74" customWidth="1"/>
    <col min="15372" max="15372" width="36" style="74" customWidth="1"/>
    <col min="15373" max="15373" width="11.109375" style="74" customWidth="1"/>
    <col min="15374" max="15374" width="12.44140625" style="74" customWidth="1"/>
    <col min="15375" max="15375" width="13.88671875" style="74" customWidth="1"/>
    <col min="15376" max="15376" width="7.6640625" style="74" customWidth="1"/>
    <col min="15377" max="15377" width="13" style="74" customWidth="1"/>
    <col min="15378" max="15378" width="11.5546875" style="74" customWidth="1"/>
    <col min="15379" max="15379" width="13.33203125" style="74" customWidth="1"/>
    <col min="15380" max="15380" width="19.44140625" style="74" customWidth="1"/>
    <col min="15381" max="15381" width="18.88671875" style="74" customWidth="1"/>
    <col min="15382" max="15618" width="9" style="74" customWidth="1"/>
    <col min="15619" max="15619" width="4.109375" style="74" customWidth="1"/>
    <col min="15620" max="15620" width="13.33203125" style="74" customWidth="1"/>
    <col min="15621" max="15621" width="9.5546875" style="74" customWidth="1"/>
    <col min="15622" max="15622" width="15" style="74" customWidth="1"/>
    <col min="15623" max="15624" width="13" style="74" customWidth="1"/>
    <col min="15625" max="15625" width="4.33203125" style="74" customWidth="1"/>
    <col min="15626" max="15626" width="4.88671875" style="74" customWidth="1"/>
    <col min="15627" max="15627" width="9.5546875" style="74" customWidth="1"/>
    <col min="15628" max="15628" width="36" style="74" customWidth="1"/>
    <col min="15629" max="15629" width="11.109375" style="74" customWidth="1"/>
    <col min="15630" max="15630" width="12.44140625" style="74" customWidth="1"/>
    <col min="15631" max="15631" width="13.88671875" style="74" customWidth="1"/>
    <col min="15632" max="15632" width="7.6640625" style="74" customWidth="1"/>
    <col min="15633" max="15633" width="13" style="74" customWidth="1"/>
    <col min="15634" max="15634" width="11.5546875" style="74" customWidth="1"/>
    <col min="15635" max="15635" width="13.33203125" style="74" customWidth="1"/>
    <col min="15636" max="15636" width="19.44140625" style="74" customWidth="1"/>
    <col min="15637" max="15637" width="18.88671875" style="74" customWidth="1"/>
    <col min="15638" max="15874" width="9" style="74" customWidth="1"/>
    <col min="15875" max="15875" width="4.109375" style="74" customWidth="1"/>
    <col min="15876" max="15876" width="13.33203125" style="74" customWidth="1"/>
    <col min="15877" max="15877" width="9.5546875" style="74" customWidth="1"/>
    <col min="15878" max="15878" width="15" style="74" customWidth="1"/>
    <col min="15879" max="15880" width="13" style="74" customWidth="1"/>
    <col min="15881" max="15881" width="4.33203125" style="74" customWidth="1"/>
    <col min="15882" max="15882" width="4.88671875" style="74" customWidth="1"/>
    <col min="15883" max="15883" width="9.5546875" style="74" customWidth="1"/>
    <col min="15884" max="15884" width="36" style="74" customWidth="1"/>
    <col min="15885" max="15885" width="11.109375" style="74" customWidth="1"/>
    <col min="15886" max="15886" width="12.44140625" style="74" customWidth="1"/>
    <col min="15887" max="15887" width="13.88671875" style="74" customWidth="1"/>
    <col min="15888" max="15888" width="7.6640625" style="74" customWidth="1"/>
    <col min="15889" max="15889" width="13" style="74" customWidth="1"/>
    <col min="15890" max="15890" width="11.5546875" style="74" customWidth="1"/>
    <col min="15891" max="15891" width="13.33203125" style="74" customWidth="1"/>
    <col min="15892" max="15892" width="19.44140625" style="74" customWidth="1"/>
    <col min="15893" max="15893" width="18.88671875" style="74" customWidth="1"/>
    <col min="15894" max="16130" width="9" style="74" customWidth="1"/>
    <col min="16131" max="16131" width="4.109375" style="74" customWidth="1"/>
    <col min="16132" max="16132" width="13.33203125" style="74" customWidth="1"/>
    <col min="16133" max="16133" width="9.5546875" style="74" customWidth="1"/>
    <col min="16134" max="16134" width="15" style="74" customWidth="1"/>
    <col min="16135" max="16136" width="13" style="74" customWidth="1"/>
    <col min="16137" max="16137" width="4.33203125" style="74" customWidth="1"/>
    <col min="16138" max="16138" width="4.88671875" style="74" customWidth="1"/>
    <col min="16139" max="16139" width="9.5546875" style="74" customWidth="1"/>
    <col min="16140" max="16140" width="36" style="74" customWidth="1"/>
    <col min="16141" max="16141" width="11.109375" style="74" customWidth="1"/>
    <col min="16142" max="16142" width="12.44140625" style="74" customWidth="1"/>
    <col min="16143" max="16143" width="13.88671875" style="74" customWidth="1"/>
    <col min="16144" max="16144" width="7.6640625" style="74" customWidth="1"/>
    <col min="16145" max="16145" width="13" style="74" customWidth="1"/>
    <col min="16146" max="16146" width="11.5546875" style="74" customWidth="1"/>
    <col min="16147" max="16147" width="13.33203125" style="74" customWidth="1"/>
    <col min="16148" max="16148" width="19.44140625" style="74" customWidth="1"/>
    <col min="16149" max="16149" width="18.88671875" style="74" customWidth="1"/>
    <col min="16150" max="16384" width="9" style="74" customWidth="1"/>
  </cols>
  <sheetData>
    <row r="1" spans="1:22" ht="14.25" customHeight="1">
      <c r="R1" s="709" t="s">
        <v>0</v>
      </c>
      <c r="S1" s="698"/>
      <c r="T1" s="698"/>
      <c r="U1" s="30"/>
    </row>
    <row r="2" spans="1:22" ht="40.5" customHeight="1">
      <c r="B2" s="44"/>
      <c r="C2" s="44"/>
      <c r="D2" s="77"/>
      <c r="E2" s="697" t="s">
        <v>1</v>
      </c>
      <c r="F2" s="698"/>
      <c r="G2" s="699"/>
      <c r="H2" s="699"/>
      <c r="I2" s="699"/>
      <c r="J2" s="698"/>
      <c r="K2" s="700"/>
      <c r="L2" s="700"/>
      <c r="M2" s="701"/>
      <c r="N2" s="701"/>
      <c r="O2" s="701"/>
      <c r="P2" s="701"/>
      <c r="Q2" s="701"/>
      <c r="R2" s="701"/>
      <c r="S2" s="698"/>
      <c r="T2" s="698"/>
      <c r="U2" s="30"/>
    </row>
    <row r="3" spans="1:22" ht="20.399999999999999" customHeight="1">
      <c r="B3" s="45"/>
      <c r="C3" s="45"/>
      <c r="D3" s="78"/>
      <c r="E3" s="710" t="s">
        <v>2</v>
      </c>
      <c r="F3" s="698"/>
      <c r="G3" s="699"/>
      <c r="H3" s="699"/>
      <c r="I3" s="699"/>
      <c r="J3" s="698"/>
      <c r="K3" s="700"/>
      <c r="L3" s="700"/>
      <c r="M3" s="701"/>
      <c r="N3" s="701"/>
      <c r="O3" s="701"/>
      <c r="P3" s="701"/>
      <c r="Q3" s="78"/>
      <c r="R3" s="701"/>
      <c r="S3" s="698"/>
      <c r="T3" s="698"/>
      <c r="U3" s="30"/>
    </row>
    <row r="4" spans="1:22" ht="15.6" customHeight="1">
      <c r="A4" s="2"/>
      <c r="B4" s="50"/>
      <c r="C4" s="2"/>
      <c r="D4" s="3"/>
      <c r="E4" s="3"/>
      <c r="F4" s="3"/>
      <c r="G4" s="2"/>
      <c r="H4" s="2"/>
      <c r="I4" s="2"/>
      <c r="J4" s="2"/>
      <c r="K4" s="79"/>
      <c r="L4" s="79"/>
      <c r="M4" s="80"/>
      <c r="N4" s="80"/>
      <c r="O4" s="80"/>
      <c r="P4" s="80"/>
      <c r="Q4" s="80"/>
      <c r="R4" s="701"/>
      <c r="S4" s="698"/>
      <c r="T4" s="698"/>
      <c r="U4" s="30"/>
    </row>
    <row r="5" spans="1:22" s="81" customFormat="1" ht="15.6" customHeight="1">
      <c r="A5" s="4"/>
      <c r="B5" s="50" t="s">
        <v>3</v>
      </c>
      <c r="C5" s="64" t="s">
        <v>4</v>
      </c>
      <c r="G5" s="56"/>
      <c r="H5" s="4"/>
      <c r="I5" s="4"/>
      <c r="J5" s="5"/>
      <c r="K5" s="82"/>
      <c r="L5" s="82"/>
      <c r="M5" s="83"/>
      <c r="N5" s="83"/>
      <c r="O5" s="83"/>
      <c r="P5" s="83"/>
      <c r="Q5" s="83"/>
      <c r="R5" s="76"/>
      <c r="S5" s="76"/>
      <c r="T5" s="76"/>
      <c r="U5" s="76"/>
    </row>
    <row r="6" spans="1:22" s="81" customFormat="1" ht="15.6" customHeight="1">
      <c r="A6" s="4"/>
      <c r="B6" s="50" t="s">
        <v>5</v>
      </c>
      <c r="C6" s="25" t="s">
        <v>6</v>
      </c>
      <c r="G6" s="84"/>
      <c r="H6" s="4"/>
      <c r="I6" s="4"/>
      <c r="J6" s="5"/>
      <c r="K6" s="82"/>
      <c r="L6" s="82"/>
      <c r="M6" s="83"/>
      <c r="N6" s="83"/>
      <c r="O6" s="83"/>
      <c r="P6" s="83"/>
      <c r="Q6" s="83"/>
      <c r="R6" s="76"/>
      <c r="S6" s="76"/>
      <c r="T6" s="76"/>
      <c r="U6" s="76"/>
    </row>
    <row r="7" spans="1:22" s="81" customFormat="1" ht="15.6" customHeight="1">
      <c r="A7" s="4"/>
      <c r="B7" s="50" t="s">
        <v>7</v>
      </c>
      <c r="C7" s="25" t="s">
        <v>8</v>
      </c>
      <c r="G7" s="58"/>
      <c r="H7" s="4"/>
      <c r="I7" s="4"/>
      <c r="J7" s="5"/>
      <c r="K7" s="82"/>
      <c r="L7" s="82"/>
      <c r="M7" s="83"/>
      <c r="N7" s="83"/>
      <c r="O7" s="83"/>
      <c r="P7" s="83"/>
      <c r="Q7" s="83"/>
      <c r="R7" s="83"/>
      <c r="S7" s="5"/>
      <c r="T7" s="7"/>
      <c r="U7" s="7"/>
    </row>
    <row r="8" spans="1:22" ht="15.6" customHeight="1">
      <c r="A8" s="2"/>
      <c r="B8" s="50"/>
      <c r="C8" s="2"/>
      <c r="D8" s="3"/>
      <c r="E8" s="3"/>
      <c r="F8" s="3"/>
      <c r="G8" s="2"/>
      <c r="H8" s="2"/>
      <c r="I8" s="2"/>
      <c r="J8" s="2"/>
      <c r="K8" s="79"/>
      <c r="L8" s="79"/>
      <c r="M8" s="80"/>
      <c r="N8" s="80"/>
      <c r="O8" s="80"/>
      <c r="P8" s="80"/>
      <c r="Q8" s="80"/>
      <c r="R8" s="80"/>
      <c r="S8" s="2"/>
      <c r="T8" s="8"/>
      <c r="U8" s="8"/>
    </row>
    <row r="9" spans="1:22" ht="14.25" customHeight="1">
      <c r="A9" s="713" t="s">
        <v>9</v>
      </c>
      <c r="B9" s="713" t="s">
        <v>10</v>
      </c>
      <c r="C9" s="713" t="s">
        <v>11</v>
      </c>
      <c r="D9" s="713" t="s">
        <v>12</v>
      </c>
      <c r="E9" s="713" t="s">
        <v>13</v>
      </c>
      <c r="F9" s="713" t="s">
        <v>14</v>
      </c>
      <c r="G9" s="711" t="s">
        <v>15</v>
      </c>
      <c r="H9" s="704"/>
      <c r="I9" s="704"/>
      <c r="J9" s="705"/>
      <c r="K9" s="708"/>
      <c r="L9" s="704"/>
      <c r="M9" s="704"/>
      <c r="N9" s="704"/>
      <c r="O9" s="704"/>
      <c r="P9" s="704"/>
      <c r="Q9" s="704"/>
      <c r="R9" s="704"/>
      <c r="S9" s="705"/>
      <c r="T9" s="718" t="s">
        <v>16</v>
      </c>
      <c r="U9" s="85"/>
    </row>
    <row r="10" spans="1:22" ht="39.6" customHeight="1">
      <c r="A10" s="714"/>
      <c r="B10" s="714"/>
      <c r="C10" s="714"/>
      <c r="D10" s="714"/>
      <c r="E10" s="714"/>
      <c r="F10" s="714"/>
      <c r="G10" s="9" t="s">
        <v>17</v>
      </c>
      <c r="H10" s="9" t="s">
        <v>18</v>
      </c>
      <c r="I10" s="9" t="s">
        <v>19</v>
      </c>
      <c r="J10" s="9" t="s">
        <v>20</v>
      </c>
      <c r="K10" s="708" t="s">
        <v>21</v>
      </c>
      <c r="L10" s="705"/>
      <c r="M10" s="23" t="s">
        <v>13</v>
      </c>
      <c r="N10" s="23" t="s">
        <v>22</v>
      </c>
      <c r="O10" s="23" t="s">
        <v>23</v>
      </c>
      <c r="P10" s="708" t="s">
        <v>24</v>
      </c>
      <c r="Q10" s="705"/>
      <c r="R10" s="23" t="s">
        <v>25</v>
      </c>
      <c r="S10" s="23" t="s">
        <v>26</v>
      </c>
      <c r="T10" s="714"/>
      <c r="U10" s="85"/>
    </row>
    <row r="11" spans="1:22" ht="41.4" hidden="1" customHeight="1">
      <c r="A11" s="31"/>
      <c r="B11" s="31" t="s">
        <v>27</v>
      </c>
      <c r="C11" s="31" t="s">
        <v>28</v>
      </c>
      <c r="D11" s="31" t="s">
        <v>29</v>
      </c>
      <c r="E11" s="31" t="s">
        <v>30</v>
      </c>
      <c r="F11" s="31" t="s">
        <v>31</v>
      </c>
      <c r="G11" s="31" t="s">
        <v>32</v>
      </c>
      <c r="H11" s="31" t="s">
        <v>33</v>
      </c>
      <c r="I11" s="31" t="s">
        <v>34</v>
      </c>
      <c r="J11" s="31" t="s">
        <v>35</v>
      </c>
      <c r="K11" s="713" t="s">
        <v>36</v>
      </c>
      <c r="L11" s="705"/>
      <c r="M11" s="31" t="s">
        <v>37</v>
      </c>
      <c r="N11" s="31" t="s">
        <v>38</v>
      </c>
      <c r="O11" s="31" t="s">
        <v>39</v>
      </c>
      <c r="P11" s="31" t="s">
        <v>40</v>
      </c>
      <c r="Q11" s="31" t="s">
        <v>40</v>
      </c>
      <c r="R11" s="31" t="s">
        <v>41</v>
      </c>
      <c r="S11" s="31" t="s">
        <v>42</v>
      </c>
      <c r="T11" s="31" t="s">
        <v>43</v>
      </c>
      <c r="U11" s="85"/>
    </row>
    <row r="12" spans="1:22" s="124" customFormat="1" ht="51" customHeight="1">
      <c r="A12" s="125">
        <v>1</v>
      </c>
      <c r="B12" s="131" t="s">
        <v>44</v>
      </c>
      <c r="C12" s="132">
        <v>45625</v>
      </c>
      <c r="D12" s="126">
        <v>35448042</v>
      </c>
      <c r="E12" s="126" t="s">
        <v>45</v>
      </c>
      <c r="F12" s="127" t="s">
        <v>46</v>
      </c>
      <c r="G12" s="128">
        <v>1</v>
      </c>
      <c r="H12" s="128"/>
      <c r="I12" s="128"/>
      <c r="J12" s="129"/>
      <c r="K12" s="123" t="s">
        <v>47</v>
      </c>
      <c r="L12" s="133" t="s">
        <v>48</v>
      </c>
      <c r="M12" s="134"/>
      <c r="N12" s="135"/>
      <c r="O12" s="136">
        <f>600000*1</f>
        <v>600000</v>
      </c>
      <c r="P12" s="137">
        <v>0.08</v>
      </c>
      <c r="Q12" s="122">
        <f>+O12*0.08</f>
        <v>48000</v>
      </c>
      <c r="R12" s="122">
        <f>+O12+Q12</f>
        <v>648000</v>
      </c>
      <c r="S12" s="130">
        <f>+SUM(R12:R12)</f>
        <v>648000</v>
      </c>
      <c r="T12" s="121" t="s">
        <v>49</v>
      </c>
      <c r="U12" s="138" t="s">
        <v>50</v>
      </c>
      <c r="V12" s="123" t="s">
        <v>51</v>
      </c>
    </row>
    <row r="13" spans="1:22" ht="18.75" customHeight="1">
      <c r="A13" s="716" t="s">
        <v>26</v>
      </c>
      <c r="B13" s="704"/>
      <c r="C13" s="704"/>
      <c r="D13" s="704"/>
      <c r="E13" s="704"/>
      <c r="F13" s="705"/>
      <c r="G13" s="86">
        <f>+SUM(G12:G12)</f>
        <v>1</v>
      </c>
      <c r="H13" s="86">
        <f>+SUM(H12:H12)</f>
        <v>0</v>
      </c>
      <c r="I13" s="86"/>
      <c r="J13" s="87"/>
      <c r="K13" s="88"/>
      <c r="L13" s="89"/>
      <c r="M13" s="90"/>
      <c r="N13" s="91"/>
      <c r="O13" s="105">
        <f>+SUM(O12:O12)</f>
        <v>600000</v>
      </c>
      <c r="P13" s="88"/>
      <c r="Q13" s="105">
        <f>+SUM(Q12:Q12)</f>
        <v>48000</v>
      </c>
      <c r="R13" s="105">
        <f>+SUM(R12:R12)</f>
        <v>648000</v>
      </c>
      <c r="S13" s="88">
        <f>SUM(S8:S12)</f>
        <v>648000</v>
      </c>
      <c r="T13" s="14"/>
      <c r="U13" s="14"/>
    </row>
    <row r="14" spans="1:22" ht="15.6" customHeight="1">
      <c r="A14" s="15"/>
      <c r="B14" s="51"/>
      <c r="C14" s="52"/>
      <c r="D14" s="16"/>
      <c r="E14" s="16"/>
      <c r="F14" s="16"/>
      <c r="G14" s="15"/>
      <c r="H14" s="15"/>
      <c r="I14" s="15"/>
      <c r="J14" s="15"/>
      <c r="K14" s="92"/>
      <c r="L14" s="92"/>
      <c r="M14" s="93"/>
      <c r="N14" s="93"/>
      <c r="O14" s="93"/>
      <c r="P14" s="93"/>
      <c r="Q14" s="93"/>
      <c r="R14" s="93"/>
      <c r="S14" s="15"/>
      <c r="T14" s="94"/>
      <c r="U14" s="94"/>
    </row>
    <row r="15" spans="1:22" ht="15.6" customHeight="1">
      <c r="A15" s="15"/>
      <c r="B15" s="51"/>
      <c r="C15" s="52"/>
      <c r="D15" s="16"/>
      <c r="E15" s="16"/>
      <c r="F15" s="16"/>
      <c r="G15" s="717"/>
      <c r="H15" s="699"/>
      <c r="I15" s="699"/>
      <c r="J15" s="698"/>
      <c r="K15" s="700"/>
      <c r="L15" s="700"/>
      <c r="M15" s="701"/>
      <c r="N15" s="701"/>
      <c r="O15" s="717"/>
      <c r="P15" s="701"/>
      <c r="Q15" s="701"/>
      <c r="R15" s="701"/>
      <c r="S15" s="698"/>
      <c r="T15" s="698"/>
      <c r="U15" s="29"/>
    </row>
    <row r="16" spans="1:22" ht="27.6" customHeight="1">
      <c r="A16" s="15"/>
      <c r="B16" s="51"/>
      <c r="C16" s="95"/>
      <c r="D16" s="96"/>
      <c r="E16" s="97"/>
      <c r="F16" s="706" t="s">
        <v>52</v>
      </c>
      <c r="G16" s="699"/>
      <c r="H16" s="699"/>
      <c r="I16" s="699"/>
      <c r="J16" s="707"/>
      <c r="K16" s="703">
        <f>+K17+K18</f>
        <v>648000</v>
      </c>
      <c r="L16" s="704"/>
      <c r="M16" s="704"/>
      <c r="N16" s="705"/>
      <c r="O16" s="98"/>
      <c r="P16" s="98"/>
      <c r="Q16" s="98"/>
      <c r="R16" s="99">
        <f>+S13-K16</f>
        <v>0</v>
      </c>
      <c r="S16" s="26"/>
      <c r="T16" s="29"/>
      <c r="U16" s="29"/>
    </row>
    <row r="17" spans="1:21" ht="29.1" customHeight="1">
      <c r="A17" s="15"/>
      <c r="B17" s="51"/>
      <c r="C17" s="48"/>
      <c r="D17" s="100"/>
      <c r="E17" s="100"/>
      <c r="F17" s="712" t="s">
        <v>53</v>
      </c>
      <c r="G17" s="699"/>
      <c r="H17" s="699"/>
      <c r="I17" s="699"/>
      <c r="J17" s="707"/>
      <c r="K17" s="703">
        <f>SUMIF($T:$T,"Phí dịch vụ",$R:$R)</f>
        <v>648000</v>
      </c>
      <c r="L17" s="704"/>
      <c r="M17" s="704"/>
      <c r="N17" s="705"/>
      <c r="O17" s="98"/>
      <c r="P17" s="98"/>
      <c r="Q17" s="98"/>
      <c r="R17" s="98"/>
      <c r="S17" s="29"/>
      <c r="T17" s="29"/>
      <c r="U17" s="29"/>
    </row>
    <row r="18" spans="1:21" ht="32.1" customHeight="1">
      <c r="A18" s="15"/>
      <c r="B18" s="51"/>
      <c r="C18" s="37"/>
      <c r="D18" s="101"/>
      <c r="E18" s="101"/>
      <c r="F18" s="712" t="s">
        <v>54</v>
      </c>
      <c r="G18" s="699"/>
      <c r="H18" s="699"/>
      <c r="I18" s="699"/>
      <c r="J18" s="707"/>
      <c r="K18" s="703">
        <f>SUMIF($T:$T,"Phí chi hộ",$R:$R)</f>
        <v>0</v>
      </c>
      <c r="L18" s="704"/>
      <c r="M18" s="704"/>
      <c r="N18" s="705"/>
      <c r="O18" s="98"/>
      <c r="P18" s="98"/>
      <c r="Q18" s="98"/>
      <c r="R18" s="98"/>
      <c r="S18" s="29"/>
      <c r="T18" s="29"/>
      <c r="U18" s="29"/>
    </row>
    <row r="19" spans="1:21" ht="15.6" customHeight="1">
      <c r="A19" s="15"/>
      <c r="B19" s="17"/>
      <c r="C19" s="54" t="s">
        <v>55</v>
      </c>
      <c r="D19" s="18"/>
      <c r="E19" s="18"/>
      <c r="F19" s="18"/>
      <c r="G19" s="17"/>
      <c r="H19" s="17"/>
      <c r="I19" s="17"/>
      <c r="J19" s="17"/>
      <c r="K19" s="92"/>
      <c r="L19" s="92"/>
      <c r="M19" s="93"/>
      <c r="N19" s="702" t="s">
        <v>56</v>
      </c>
      <c r="O19" s="701"/>
      <c r="P19" s="701"/>
      <c r="Q19" s="701"/>
      <c r="R19" s="701"/>
      <c r="S19" s="698"/>
      <c r="T19" s="698"/>
      <c r="U19" s="28"/>
    </row>
    <row r="20" spans="1:21" ht="15.6" customHeight="1">
      <c r="A20" s="15"/>
      <c r="B20" s="17"/>
      <c r="C20" s="54" t="s">
        <v>57</v>
      </c>
      <c r="D20" s="18"/>
      <c r="E20" s="18"/>
      <c r="F20" s="18"/>
      <c r="G20" s="17"/>
      <c r="H20" s="17"/>
      <c r="I20" s="17"/>
      <c r="J20" s="17"/>
      <c r="K20" s="92"/>
      <c r="L20" s="92"/>
      <c r="M20" s="93"/>
      <c r="N20" s="93"/>
      <c r="O20" s="715" t="s">
        <v>58</v>
      </c>
      <c r="P20" s="701"/>
      <c r="Q20" s="701"/>
      <c r="R20" s="701"/>
      <c r="S20" s="698"/>
      <c r="T20" s="24"/>
      <c r="U20" s="24"/>
    </row>
    <row r="21" spans="1:21">
      <c r="A21" s="15"/>
      <c r="B21" s="17"/>
      <c r="C21" s="54" t="s">
        <v>59</v>
      </c>
      <c r="D21" s="18"/>
      <c r="E21" s="18"/>
      <c r="F21" s="18"/>
      <c r="G21" s="17"/>
      <c r="H21" s="17"/>
      <c r="I21" s="17"/>
      <c r="J21" s="17"/>
      <c r="K21" s="92"/>
      <c r="L21" s="92"/>
      <c r="M21" s="93"/>
      <c r="N21" s="93"/>
      <c r="O21" s="15"/>
      <c r="P21" s="15"/>
      <c r="Q21" s="15"/>
      <c r="R21" s="15"/>
      <c r="S21" s="15"/>
      <c r="T21" s="15"/>
      <c r="U21" s="15"/>
    </row>
    <row r="22" spans="1:21">
      <c r="A22" s="15"/>
      <c r="B22" s="17"/>
      <c r="C22" s="54" t="s">
        <v>60</v>
      </c>
      <c r="D22" s="18"/>
      <c r="E22" s="18"/>
      <c r="F22" s="18"/>
      <c r="G22" s="17"/>
      <c r="H22" s="17"/>
      <c r="I22" s="17"/>
      <c r="J22" s="17"/>
      <c r="K22" s="92"/>
      <c r="L22" s="92"/>
      <c r="M22" s="93"/>
      <c r="N22" s="93"/>
      <c r="O22" s="15"/>
      <c r="P22" s="15"/>
      <c r="Q22" s="15"/>
      <c r="R22" s="15"/>
      <c r="S22" s="15"/>
      <c r="T22" s="15"/>
      <c r="U22" s="15"/>
    </row>
    <row r="23" spans="1:21">
      <c r="A23" s="15"/>
      <c r="B23" s="17"/>
      <c r="C23" s="54" t="s">
        <v>61</v>
      </c>
      <c r="D23" s="18"/>
      <c r="E23" s="18"/>
      <c r="F23" s="18"/>
      <c r="G23" s="17"/>
      <c r="H23" s="17"/>
      <c r="I23" s="17"/>
      <c r="J23" s="17"/>
      <c r="K23" s="92"/>
      <c r="L23" s="92"/>
      <c r="M23" s="93"/>
      <c r="N23" s="93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2"/>
      <c r="L24" s="92"/>
      <c r="M24" s="93"/>
      <c r="N24" s="93"/>
      <c r="O24" s="93"/>
      <c r="P24" s="93"/>
      <c r="Q24" s="93"/>
      <c r="R24" s="93"/>
      <c r="S24" s="15"/>
      <c r="T24" s="94"/>
      <c r="U24" s="94"/>
    </row>
    <row r="25" spans="1:21" ht="15.75" customHeight="1">
      <c r="A25" s="15"/>
      <c r="B25" s="17"/>
      <c r="C25" s="18"/>
      <c r="D25" s="19" t="s">
        <v>62</v>
      </c>
      <c r="E25" s="19"/>
      <c r="F25" s="19"/>
      <c r="G25" s="49"/>
      <c r="H25" s="49"/>
      <c r="I25" s="49"/>
      <c r="J25" s="19"/>
      <c r="K25" s="92"/>
      <c r="L25" s="92"/>
      <c r="M25" s="93"/>
      <c r="N25" s="102"/>
      <c r="O25" s="702" t="s">
        <v>63</v>
      </c>
      <c r="P25" s="701"/>
      <c r="Q25" s="701"/>
      <c r="R25" s="701"/>
      <c r="S25" s="698"/>
      <c r="T25" s="102"/>
      <c r="U25" s="102"/>
    </row>
    <row r="26" spans="1:21" ht="15.6" customHeight="1">
      <c r="A26" s="15"/>
      <c r="B26" s="702" t="s">
        <v>64</v>
      </c>
      <c r="C26" s="699"/>
      <c r="D26" s="698"/>
      <c r="E26" s="698"/>
      <c r="F26" s="698"/>
      <c r="G26" s="699"/>
      <c r="H26" s="699"/>
      <c r="I26" s="28"/>
      <c r="J26" s="28"/>
      <c r="K26" s="92"/>
      <c r="L26" s="92"/>
      <c r="M26" s="93"/>
      <c r="N26" s="93"/>
      <c r="O26" s="15"/>
      <c r="P26" s="15"/>
      <c r="Q26" s="15"/>
      <c r="R26" s="15"/>
      <c r="S26" s="15"/>
      <c r="T26" s="15"/>
      <c r="U26" s="15"/>
    </row>
    <row r="27" spans="1:21" ht="15.6" customHeight="1">
      <c r="A27" s="15"/>
      <c r="B27" s="715" t="s">
        <v>58</v>
      </c>
      <c r="C27" s="699"/>
      <c r="D27" s="698"/>
      <c r="E27" s="698"/>
      <c r="F27" s="698"/>
      <c r="G27" s="699"/>
      <c r="H27" s="699"/>
      <c r="I27" s="27"/>
      <c r="J27" s="27"/>
      <c r="K27" s="92"/>
      <c r="L27" s="92"/>
      <c r="M27" s="93"/>
      <c r="N27" s="93"/>
      <c r="O27" s="93"/>
      <c r="P27" s="93"/>
      <c r="Q27" s="93"/>
      <c r="R27" s="93"/>
      <c r="S27" s="15"/>
      <c r="T27" s="94"/>
      <c r="U27" s="94"/>
    </row>
    <row r="28" spans="1:21" ht="15.6" customHeight="1">
      <c r="A28" s="15"/>
      <c r="B28" s="51"/>
      <c r="C28" s="52"/>
      <c r="D28" s="16"/>
      <c r="E28" s="16"/>
      <c r="F28" s="16"/>
      <c r="G28" s="15"/>
      <c r="H28" s="15"/>
      <c r="I28" s="15"/>
      <c r="J28" s="15"/>
      <c r="K28" s="92"/>
      <c r="L28" s="92"/>
      <c r="M28" s="93"/>
      <c r="N28" s="93"/>
      <c r="O28" s="93"/>
      <c r="P28" s="93"/>
      <c r="Q28" s="93"/>
      <c r="R28" s="93"/>
      <c r="S28" s="15"/>
      <c r="T28" s="94"/>
      <c r="U28" s="94"/>
    </row>
    <row r="29" spans="1:21" ht="15.6" customHeight="1">
      <c r="A29" s="15"/>
      <c r="B29" s="51"/>
      <c r="C29" s="52"/>
      <c r="D29" s="16"/>
      <c r="E29" s="16"/>
      <c r="F29" s="16"/>
      <c r="G29" s="15"/>
      <c r="H29" s="15"/>
      <c r="I29" s="15"/>
      <c r="J29" s="15"/>
      <c r="K29" s="92"/>
      <c r="L29" s="92"/>
      <c r="M29" s="93"/>
      <c r="N29" s="93"/>
      <c r="O29" s="93"/>
      <c r="P29" s="93"/>
      <c r="Q29" s="93"/>
      <c r="R29" s="93"/>
      <c r="S29" s="15"/>
      <c r="T29" s="94"/>
      <c r="U29" s="94"/>
    </row>
    <row r="30" spans="1:21" ht="15.6" customHeight="1">
      <c r="A30" s="2"/>
      <c r="B30" s="50"/>
      <c r="C30" s="2"/>
      <c r="D30" s="3"/>
      <c r="E30" s="3"/>
      <c r="F30" s="3"/>
      <c r="G30" s="2"/>
      <c r="H30" s="2"/>
      <c r="I30" s="2"/>
      <c r="J30" s="2"/>
      <c r="K30" s="79"/>
      <c r="L30" s="79"/>
      <c r="M30" s="80"/>
      <c r="N30" s="80"/>
      <c r="O30" s="80"/>
      <c r="P30" s="80"/>
      <c r="Q30" s="80"/>
      <c r="R30" s="80"/>
      <c r="S30" s="2"/>
      <c r="T30" s="8"/>
      <c r="U30" s="8"/>
    </row>
    <row r="31" spans="1:21" ht="15" customHeight="1">
      <c r="B31" s="103"/>
      <c r="J31" s="73"/>
      <c r="M31" s="104"/>
      <c r="N31" s="104"/>
      <c r="O31" s="104"/>
      <c r="P31" s="104"/>
      <c r="Q31" s="104"/>
      <c r="R31" s="104"/>
      <c r="S31" s="73"/>
    </row>
    <row r="32" spans="1:21" ht="15" customHeight="1">
      <c r="B32" s="103"/>
      <c r="J32" s="73"/>
      <c r="M32" s="104"/>
      <c r="N32" s="104"/>
      <c r="O32" s="104"/>
      <c r="P32" s="104"/>
      <c r="Q32" s="104"/>
      <c r="R32" s="104"/>
      <c r="S32" s="73"/>
    </row>
    <row r="33" spans="2:19" ht="15" customHeight="1">
      <c r="B33" s="103"/>
      <c r="J33" s="73"/>
      <c r="M33" s="104"/>
      <c r="N33" s="104"/>
      <c r="O33" s="104"/>
      <c r="P33" s="104"/>
      <c r="Q33" s="104"/>
      <c r="R33" s="104"/>
      <c r="S33" s="73"/>
    </row>
    <row r="34" spans="2:19" ht="15" customHeight="1">
      <c r="B34" s="103"/>
      <c r="J34" s="73"/>
      <c r="M34" s="104"/>
      <c r="N34" s="104"/>
      <c r="O34" s="104"/>
      <c r="P34" s="104"/>
      <c r="Q34" s="104"/>
      <c r="R34" s="104"/>
      <c r="S34" s="73"/>
    </row>
    <row r="35" spans="2:19" ht="15" customHeight="1">
      <c r="B35" s="103"/>
      <c r="J35" s="73"/>
      <c r="M35" s="104"/>
      <c r="N35" s="104"/>
      <c r="O35" s="104"/>
      <c r="P35" s="104"/>
      <c r="Q35" s="104"/>
      <c r="R35" s="104"/>
      <c r="S35" s="73"/>
    </row>
    <row r="36" spans="2:19" ht="15" customHeight="1">
      <c r="B36" s="103"/>
      <c r="J36" s="73"/>
      <c r="M36" s="104"/>
      <c r="N36" s="104"/>
      <c r="O36" s="104"/>
      <c r="P36" s="104"/>
      <c r="Q36" s="104"/>
      <c r="R36" s="104"/>
      <c r="S36" s="73"/>
    </row>
  </sheetData>
  <mergeCells count="29">
    <mergeCell ref="O25:S25"/>
    <mergeCell ref="G15:N15"/>
    <mergeCell ref="O15:T15"/>
    <mergeCell ref="A9:A10"/>
    <mergeCell ref="K9:S9"/>
    <mergeCell ref="K10:L10"/>
    <mergeCell ref="C9:C10"/>
    <mergeCell ref="T9:T10"/>
    <mergeCell ref="K11:L11"/>
    <mergeCell ref="E9:E10"/>
    <mergeCell ref="K18:N18"/>
    <mergeCell ref="O20:S20"/>
    <mergeCell ref="B9:B10"/>
    <mergeCell ref="D9:D10"/>
    <mergeCell ref="B27:H27"/>
    <mergeCell ref="A13:F13"/>
    <mergeCell ref="F9:F10"/>
    <mergeCell ref="B26:H26"/>
    <mergeCell ref="E2:Q2"/>
    <mergeCell ref="N19:T19"/>
    <mergeCell ref="K17:N17"/>
    <mergeCell ref="F16:J16"/>
    <mergeCell ref="P10:Q10"/>
    <mergeCell ref="R1:T4"/>
    <mergeCell ref="E3:P3"/>
    <mergeCell ref="G9:J9"/>
    <mergeCell ref="K16:N16"/>
    <mergeCell ref="F18:J18"/>
    <mergeCell ref="F17:J17"/>
  </mergeCells>
  <conditionalFormatting sqref="C19:C25">
    <cfRule type="duplicateValues" dxfId="26" priority="7"/>
  </conditionalFormatting>
  <conditionalFormatting sqref="M1:M11 M13:M1048576">
    <cfRule type="duplicateValues" dxfId="25" priority="24"/>
  </conditionalFormatting>
  <conditionalFormatting sqref="M12">
    <cfRule type="duplicateValues" dxfId="24" priority="38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19"/>
  <sheetViews>
    <sheetView tabSelected="1" zoomScale="70" zoomScaleNormal="70" workbookViewId="0">
      <pane xSplit="3" ySplit="12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I17" sqref="I17"/>
    </sheetView>
  </sheetViews>
  <sheetFormatPr defaultRowHeight="13.8"/>
  <cols>
    <col min="1" max="1" width="4.109375" style="20" customWidth="1"/>
    <col min="2" max="2" width="26" style="20" bestFit="1" customWidth="1"/>
    <col min="3" max="3" width="11.5546875" style="108" customWidth="1"/>
    <col min="4" max="4" width="20.88671875" style="20" customWidth="1"/>
    <col min="5" max="5" width="18.5546875" style="20" customWidth="1"/>
    <col min="6" max="6" width="16.109375" style="20" customWidth="1"/>
    <col min="7" max="9" width="18.5546875" style="20" customWidth="1"/>
    <col min="10" max="10" width="14.88671875" style="22" customWidth="1"/>
    <col min="11" max="11" width="5.88671875" style="20" customWidth="1"/>
    <col min="12" max="12" width="4.88671875" style="20" customWidth="1"/>
    <col min="13" max="13" width="8" style="20" customWidth="1"/>
    <col min="14" max="14" width="9.109375" style="20" customWidth="1"/>
    <col min="15" max="15" width="10.6640625" style="21" customWidth="1"/>
    <col min="16" max="16" width="26.88671875" style="22" customWidth="1"/>
    <col min="17" max="17" width="21.33203125" style="21" customWidth="1"/>
    <col min="18" max="18" width="9.44140625" style="21" bestFit="1" customWidth="1"/>
    <col min="19" max="19" width="10.44140625" style="21" bestFit="1" customWidth="1"/>
    <col min="20" max="20" width="15.6640625" style="21" bestFit="1" customWidth="1"/>
    <col min="21" max="21" width="7.6640625" style="21" customWidth="1"/>
    <col min="22" max="22" width="14.44140625" style="21" bestFit="1" customWidth="1"/>
    <col min="23" max="23" width="15.5546875" style="21" customWidth="1"/>
    <col min="24" max="24" width="15.6640625" style="21" bestFit="1" customWidth="1"/>
    <col min="25" max="25" width="15.33203125" style="22" customWidth="1"/>
    <col min="26" max="26" width="10.109375" style="21" customWidth="1"/>
    <col min="27" max="27" width="35" style="65" customWidth="1"/>
    <col min="28" max="28" width="12.109375" style="21" customWidth="1"/>
    <col min="29" max="264" width="9.109375" style="348" customWidth="1"/>
    <col min="265" max="265" width="4.109375" style="348" customWidth="1"/>
    <col min="266" max="266" width="13.6640625" style="348" customWidth="1"/>
    <col min="267" max="267" width="9.5546875" style="348" customWidth="1"/>
    <col min="268" max="268" width="15" style="348" customWidth="1"/>
    <col min="269" max="269" width="13.6640625" style="348" customWidth="1"/>
    <col min="270" max="270" width="14" style="348" customWidth="1"/>
    <col min="271" max="271" width="4.33203125" style="348" customWidth="1"/>
    <col min="272" max="272" width="4.88671875" style="348" customWidth="1"/>
    <col min="273" max="273" width="9.5546875" style="348" customWidth="1"/>
    <col min="274" max="274" width="20.109375" style="348" customWidth="1"/>
    <col min="275" max="275" width="11.109375" style="348" customWidth="1"/>
    <col min="276" max="276" width="12.44140625" style="348" customWidth="1"/>
    <col min="277" max="277" width="13.88671875" style="348" customWidth="1"/>
    <col min="278" max="278" width="7.6640625" style="348" customWidth="1"/>
    <col min="279" max="279" width="9" style="348" customWidth="1"/>
    <col min="280" max="280" width="11.5546875" style="348" customWidth="1"/>
    <col min="281" max="281" width="13.33203125" style="348" customWidth="1"/>
    <col min="282" max="282" width="29" style="348" customWidth="1"/>
    <col min="283" max="283" width="13.6640625" style="348" customWidth="1"/>
    <col min="284" max="520" width="9.109375" style="348" customWidth="1"/>
    <col min="521" max="521" width="4.109375" style="348" customWidth="1"/>
    <col min="522" max="522" width="13.6640625" style="348" customWidth="1"/>
    <col min="523" max="523" width="9.5546875" style="348" customWidth="1"/>
    <col min="524" max="524" width="15" style="348" customWidth="1"/>
    <col min="525" max="525" width="13.6640625" style="348" customWidth="1"/>
    <col min="526" max="526" width="14" style="348" customWidth="1"/>
    <col min="527" max="527" width="4.33203125" style="348" customWidth="1"/>
    <col min="528" max="528" width="4.88671875" style="348" customWidth="1"/>
    <col min="529" max="529" width="9.5546875" style="348" customWidth="1"/>
    <col min="530" max="530" width="20.109375" style="348" customWidth="1"/>
    <col min="531" max="531" width="11.109375" style="348" customWidth="1"/>
    <col min="532" max="532" width="12.44140625" style="348" customWidth="1"/>
    <col min="533" max="533" width="13.88671875" style="348" customWidth="1"/>
    <col min="534" max="534" width="7.6640625" style="348" customWidth="1"/>
    <col min="535" max="535" width="9" style="348" customWidth="1"/>
    <col min="536" max="536" width="11.5546875" style="348" customWidth="1"/>
    <col min="537" max="537" width="13.33203125" style="348" customWidth="1"/>
    <col min="538" max="538" width="29" style="348" customWidth="1"/>
    <col min="539" max="539" width="13.6640625" style="348" customWidth="1"/>
    <col min="540" max="776" width="9.109375" style="348" customWidth="1"/>
    <col min="777" max="777" width="4.109375" style="348" customWidth="1"/>
    <col min="778" max="778" width="13.6640625" style="348" customWidth="1"/>
    <col min="779" max="779" width="9.5546875" style="348" customWidth="1"/>
    <col min="780" max="780" width="15" style="348" customWidth="1"/>
    <col min="781" max="781" width="13.6640625" style="348" customWidth="1"/>
    <col min="782" max="782" width="14" style="348" customWidth="1"/>
    <col min="783" max="783" width="4.33203125" style="348" customWidth="1"/>
    <col min="784" max="784" width="4.88671875" style="348" customWidth="1"/>
    <col min="785" max="785" width="9.5546875" style="348" customWidth="1"/>
    <col min="786" max="786" width="20.109375" style="348" customWidth="1"/>
    <col min="787" max="787" width="11.109375" style="348" customWidth="1"/>
    <col min="788" max="788" width="12.44140625" style="348" customWidth="1"/>
    <col min="789" max="789" width="13.88671875" style="348" customWidth="1"/>
    <col min="790" max="790" width="7.6640625" style="348" customWidth="1"/>
    <col min="791" max="791" width="9" style="348" customWidth="1"/>
    <col min="792" max="792" width="11.5546875" style="348" customWidth="1"/>
    <col min="793" max="793" width="13.33203125" style="348" customWidth="1"/>
    <col min="794" max="794" width="29" style="348" customWidth="1"/>
    <col min="795" max="795" width="13.6640625" style="348" customWidth="1"/>
    <col min="796" max="1032" width="9.109375" style="348" customWidth="1"/>
    <col min="1033" max="1033" width="4.109375" style="348" customWidth="1"/>
    <col min="1034" max="1034" width="13.6640625" style="348" customWidth="1"/>
    <col min="1035" max="1035" width="9.5546875" style="348" customWidth="1"/>
    <col min="1036" max="1036" width="15" style="348" customWidth="1"/>
    <col min="1037" max="1037" width="13.6640625" style="348" customWidth="1"/>
    <col min="1038" max="1038" width="14" style="348" customWidth="1"/>
    <col min="1039" max="1039" width="4.33203125" style="348" customWidth="1"/>
    <col min="1040" max="1040" width="4.88671875" style="348" customWidth="1"/>
    <col min="1041" max="1041" width="9.5546875" style="348" customWidth="1"/>
    <col min="1042" max="1042" width="20.109375" style="348" customWidth="1"/>
    <col min="1043" max="1043" width="11.109375" style="348" customWidth="1"/>
    <col min="1044" max="1044" width="12.44140625" style="348" customWidth="1"/>
    <col min="1045" max="1045" width="13.88671875" style="348" customWidth="1"/>
    <col min="1046" max="1046" width="7.6640625" style="348" customWidth="1"/>
    <col min="1047" max="1047" width="9" style="348" customWidth="1"/>
    <col min="1048" max="1048" width="11.5546875" style="348" customWidth="1"/>
    <col min="1049" max="1049" width="13.33203125" style="348" customWidth="1"/>
    <col min="1050" max="1050" width="29" style="348" customWidth="1"/>
    <col min="1051" max="1051" width="13.6640625" style="348" customWidth="1"/>
    <col min="1052" max="1288" width="9.109375" style="348" customWidth="1"/>
    <col min="1289" max="1289" width="4.109375" style="348" customWidth="1"/>
    <col min="1290" max="1290" width="13.6640625" style="348" customWidth="1"/>
    <col min="1291" max="1291" width="9.5546875" style="348" customWidth="1"/>
    <col min="1292" max="1292" width="15" style="348" customWidth="1"/>
    <col min="1293" max="1293" width="13.6640625" style="348" customWidth="1"/>
    <col min="1294" max="1294" width="14" style="348" customWidth="1"/>
    <col min="1295" max="1295" width="4.33203125" style="348" customWidth="1"/>
    <col min="1296" max="1296" width="4.88671875" style="348" customWidth="1"/>
    <col min="1297" max="1297" width="9.5546875" style="348" customWidth="1"/>
    <col min="1298" max="1298" width="20.109375" style="348" customWidth="1"/>
    <col min="1299" max="1299" width="11.109375" style="348" customWidth="1"/>
    <col min="1300" max="1300" width="12.44140625" style="348" customWidth="1"/>
    <col min="1301" max="1301" width="13.88671875" style="348" customWidth="1"/>
    <col min="1302" max="1302" width="7.6640625" style="348" customWidth="1"/>
    <col min="1303" max="1303" width="9" style="348" customWidth="1"/>
    <col min="1304" max="1304" width="11.5546875" style="348" customWidth="1"/>
    <col min="1305" max="1305" width="13.33203125" style="348" customWidth="1"/>
    <col min="1306" max="1306" width="29" style="348" customWidth="1"/>
    <col min="1307" max="1307" width="13.6640625" style="348" customWidth="1"/>
    <col min="1308" max="1544" width="9.109375" style="348" customWidth="1"/>
    <col min="1545" max="1545" width="4.109375" style="348" customWidth="1"/>
    <col min="1546" max="1546" width="13.6640625" style="348" customWidth="1"/>
    <col min="1547" max="1547" width="9.5546875" style="348" customWidth="1"/>
    <col min="1548" max="1548" width="15" style="348" customWidth="1"/>
    <col min="1549" max="1549" width="13.6640625" style="348" customWidth="1"/>
    <col min="1550" max="1550" width="14" style="348" customWidth="1"/>
    <col min="1551" max="1551" width="4.33203125" style="348" customWidth="1"/>
    <col min="1552" max="1552" width="4.88671875" style="348" customWidth="1"/>
    <col min="1553" max="1553" width="9.5546875" style="348" customWidth="1"/>
    <col min="1554" max="1554" width="20.109375" style="348" customWidth="1"/>
    <col min="1555" max="1555" width="11.109375" style="348" customWidth="1"/>
    <col min="1556" max="1556" width="12.44140625" style="348" customWidth="1"/>
    <col min="1557" max="1557" width="13.88671875" style="348" customWidth="1"/>
    <col min="1558" max="1558" width="7.6640625" style="348" customWidth="1"/>
    <col min="1559" max="1559" width="9" style="348" customWidth="1"/>
    <col min="1560" max="1560" width="11.5546875" style="348" customWidth="1"/>
    <col min="1561" max="1561" width="13.33203125" style="348" customWidth="1"/>
    <col min="1562" max="1562" width="29" style="348" customWidth="1"/>
    <col min="1563" max="1563" width="13.6640625" style="348" customWidth="1"/>
    <col min="1564" max="1800" width="9.109375" style="348" customWidth="1"/>
    <col min="1801" max="1801" width="4.109375" style="348" customWidth="1"/>
    <col min="1802" max="1802" width="13.6640625" style="348" customWidth="1"/>
    <col min="1803" max="1803" width="9.5546875" style="348" customWidth="1"/>
    <col min="1804" max="1804" width="15" style="348" customWidth="1"/>
    <col min="1805" max="1805" width="13.6640625" style="348" customWidth="1"/>
    <col min="1806" max="1806" width="14" style="348" customWidth="1"/>
    <col min="1807" max="1807" width="4.33203125" style="348" customWidth="1"/>
    <col min="1808" max="1808" width="4.88671875" style="348" customWidth="1"/>
    <col min="1809" max="1809" width="9.5546875" style="348" customWidth="1"/>
    <col min="1810" max="1810" width="20.109375" style="348" customWidth="1"/>
    <col min="1811" max="1811" width="11.109375" style="348" customWidth="1"/>
    <col min="1812" max="1812" width="12.44140625" style="348" customWidth="1"/>
    <col min="1813" max="1813" width="13.88671875" style="348" customWidth="1"/>
    <col min="1814" max="1814" width="7.6640625" style="348" customWidth="1"/>
    <col min="1815" max="1815" width="9" style="348" customWidth="1"/>
    <col min="1816" max="1816" width="11.5546875" style="348" customWidth="1"/>
    <col min="1817" max="1817" width="13.33203125" style="348" customWidth="1"/>
    <col min="1818" max="1818" width="29" style="348" customWidth="1"/>
    <col min="1819" max="1819" width="13.6640625" style="348" customWidth="1"/>
    <col min="1820" max="2056" width="9.109375" style="348" customWidth="1"/>
    <col min="2057" max="2057" width="4.109375" style="348" customWidth="1"/>
    <col min="2058" max="2058" width="13.6640625" style="348" customWidth="1"/>
    <col min="2059" max="2059" width="9.5546875" style="348" customWidth="1"/>
    <col min="2060" max="2060" width="15" style="348" customWidth="1"/>
    <col min="2061" max="2061" width="13.6640625" style="348" customWidth="1"/>
    <col min="2062" max="2062" width="14" style="348" customWidth="1"/>
    <col min="2063" max="2063" width="4.33203125" style="348" customWidth="1"/>
    <col min="2064" max="2064" width="4.88671875" style="348" customWidth="1"/>
    <col min="2065" max="2065" width="9.5546875" style="348" customWidth="1"/>
    <col min="2066" max="2066" width="20.109375" style="348" customWidth="1"/>
    <col min="2067" max="2067" width="11.109375" style="348" customWidth="1"/>
    <col min="2068" max="2068" width="12.44140625" style="348" customWidth="1"/>
    <col min="2069" max="2069" width="13.88671875" style="348" customWidth="1"/>
    <col min="2070" max="2070" width="7.6640625" style="348" customWidth="1"/>
    <col min="2071" max="2071" width="9" style="348" customWidth="1"/>
    <col min="2072" max="2072" width="11.5546875" style="348" customWidth="1"/>
    <col min="2073" max="2073" width="13.33203125" style="348" customWidth="1"/>
    <col min="2074" max="2074" width="29" style="348" customWidth="1"/>
    <col min="2075" max="2075" width="13.6640625" style="348" customWidth="1"/>
    <col min="2076" max="2312" width="9.109375" style="348" customWidth="1"/>
    <col min="2313" max="2313" width="4.109375" style="348" customWidth="1"/>
    <col min="2314" max="2314" width="13.6640625" style="348" customWidth="1"/>
    <col min="2315" max="2315" width="9.5546875" style="348" customWidth="1"/>
    <col min="2316" max="2316" width="15" style="348" customWidth="1"/>
    <col min="2317" max="2317" width="13.6640625" style="348" customWidth="1"/>
    <col min="2318" max="2318" width="14" style="348" customWidth="1"/>
    <col min="2319" max="2319" width="4.33203125" style="348" customWidth="1"/>
    <col min="2320" max="2320" width="4.88671875" style="348" customWidth="1"/>
    <col min="2321" max="2321" width="9.5546875" style="348" customWidth="1"/>
    <col min="2322" max="2322" width="20.109375" style="348" customWidth="1"/>
    <col min="2323" max="2323" width="11.109375" style="348" customWidth="1"/>
    <col min="2324" max="2324" width="12.44140625" style="348" customWidth="1"/>
    <col min="2325" max="2325" width="13.88671875" style="348" customWidth="1"/>
    <col min="2326" max="2326" width="7.6640625" style="348" customWidth="1"/>
    <col min="2327" max="2327" width="9" style="348" customWidth="1"/>
    <col min="2328" max="2328" width="11.5546875" style="348" customWidth="1"/>
    <col min="2329" max="2329" width="13.33203125" style="348" customWidth="1"/>
    <col min="2330" max="2330" width="29" style="348" customWidth="1"/>
    <col min="2331" max="2331" width="13.6640625" style="348" customWidth="1"/>
    <col min="2332" max="2568" width="9.109375" style="348" customWidth="1"/>
    <col min="2569" max="2569" width="4.109375" style="348" customWidth="1"/>
    <col min="2570" max="2570" width="13.6640625" style="348" customWidth="1"/>
    <col min="2571" max="2571" width="9.5546875" style="348" customWidth="1"/>
    <col min="2572" max="2572" width="15" style="348" customWidth="1"/>
    <col min="2573" max="2573" width="13.6640625" style="348" customWidth="1"/>
    <col min="2574" max="2574" width="14" style="348" customWidth="1"/>
    <col min="2575" max="2575" width="4.33203125" style="348" customWidth="1"/>
    <col min="2576" max="2576" width="4.88671875" style="348" customWidth="1"/>
    <col min="2577" max="2577" width="9.5546875" style="348" customWidth="1"/>
    <col min="2578" max="2578" width="20.109375" style="348" customWidth="1"/>
    <col min="2579" max="2579" width="11.109375" style="348" customWidth="1"/>
    <col min="2580" max="2580" width="12.44140625" style="348" customWidth="1"/>
    <col min="2581" max="2581" width="13.88671875" style="348" customWidth="1"/>
    <col min="2582" max="2582" width="7.6640625" style="348" customWidth="1"/>
    <col min="2583" max="2583" width="9" style="348" customWidth="1"/>
    <col min="2584" max="2584" width="11.5546875" style="348" customWidth="1"/>
    <col min="2585" max="2585" width="13.33203125" style="348" customWidth="1"/>
    <col min="2586" max="2586" width="29" style="348" customWidth="1"/>
    <col min="2587" max="2587" width="13.6640625" style="348" customWidth="1"/>
    <col min="2588" max="2824" width="9.109375" style="348" customWidth="1"/>
    <col min="2825" max="2825" width="4.109375" style="348" customWidth="1"/>
    <col min="2826" max="2826" width="13.6640625" style="348" customWidth="1"/>
    <col min="2827" max="2827" width="9.5546875" style="348" customWidth="1"/>
    <col min="2828" max="2828" width="15" style="348" customWidth="1"/>
    <col min="2829" max="2829" width="13.6640625" style="348" customWidth="1"/>
    <col min="2830" max="2830" width="14" style="348" customWidth="1"/>
    <col min="2831" max="2831" width="4.33203125" style="348" customWidth="1"/>
    <col min="2832" max="2832" width="4.88671875" style="348" customWidth="1"/>
    <col min="2833" max="2833" width="9.5546875" style="348" customWidth="1"/>
    <col min="2834" max="2834" width="20.109375" style="348" customWidth="1"/>
    <col min="2835" max="2835" width="11.109375" style="348" customWidth="1"/>
    <col min="2836" max="2836" width="12.44140625" style="348" customWidth="1"/>
    <col min="2837" max="2837" width="13.88671875" style="348" customWidth="1"/>
    <col min="2838" max="2838" width="7.6640625" style="348" customWidth="1"/>
    <col min="2839" max="2839" width="9" style="348" customWidth="1"/>
    <col min="2840" max="2840" width="11.5546875" style="348" customWidth="1"/>
    <col min="2841" max="2841" width="13.33203125" style="348" customWidth="1"/>
    <col min="2842" max="2842" width="29" style="348" customWidth="1"/>
    <col min="2843" max="2843" width="13.6640625" style="348" customWidth="1"/>
    <col min="2844" max="3080" width="9.109375" style="348" customWidth="1"/>
    <col min="3081" max="3081" width="4.109375" style="348" customWidth="1"/>
    <col min="3082" max="3082" width="13.6640625" style="348" customWidth="1"/>
    <col min="3083" max="3083" width="9.5546875" style="348" customWidth="1"/>
    <col min="3084" max="3084" width="15" style="348" customWidth="1"/>
    <col min="3085" max="3085" width="13.6640625" style="348" customWidth="1"/>
    <col min="3086" max="3086" width="14" style="348" customWidth="1"/>
    <col min="3087" max="3087" width="4.33203125" style="348" customWidth="1"/>
    <col min="3088" max="3088" width="4.88671875" style="348" customWidth="1"/>
    <col min="3089" max="3089" width="9.5546875" style="348" customWidth="1"/>
    <col min="3090" max="3090" width="20.109375" style="348" customWidth="1"/>
    <col min="3091" max="3091" width="11.109375" style="348" customWidth="1"/>
    <col min="3092" max="3092" width="12.44140625" style="348" customWidth="1"/>
    <col min="3093" max="3093" width="13.88671875" style="348" customWidth="1"/>
    <col min="3094" max="3094" width="7.6640625" style="348" customWidth="1"/>
    <col min="3095" max="3095" width="9" style="348" customWidth="1"/>
    <col min="3096" max="3096" width="11.5546875" style="348" customWidth="1"/>
    <col min="3097" max="3097" width="13.33203125" style="348" customWidth="1"/>
    <col min="3098" max="3098" width="29" style="348" customWidth="1"/>
    <col min="3099" max="3099" width="13.6640625" style="348" customWidth="1"/>
    <col min="3100" max="3336" width="9.109375" style="348" customWidth="1"/>
    <col min="3337" max="3337" width="4.109375" style="348" customWidth="1"/>
    <col min="3338" max="3338" width="13.6640625" style="348" customWidth="1"/>
    <col min="3339" max="3339" width="9.5546875" style="348" customWidth="1"/>
    <col min="3340" max="3340" width="15" style="348" customWidth="1"/>
    <col min="3341" max="3341" width="13.6640625" style="348" customWidth="1"/>
    <col min="3342" max="3342" width="14" style="348" customWidth="1"/>
    <col min="3343" max="3343" width="4.33203125" style="348" customWidth="1"/>
    <col min="3344" max="3344" width="4.88671875" style="348" customWidth="1"/>
    <col min="3345" max="3345" width="9.5546875" style="348" customWidth="1"/>
    <col min="3346" max="3346" width="20.109375" style="348" customWidth="1"/>
    <col min="3347" max="3347" width="11.109375" style="348" customWidth="1"/>
    <col min="3348" max="3348" width="12.44140625" style="348" customWidth="1"/>
    <col min="3349" max="3349" width="13.88671875" style="348" customWidth="1"/>
    <col min="3350" max="3350" width="7.6640625" style="348" customWidth="1"/>
    <col min="3351" max="3351" width="9" style="348" customWidth="1"/>
    <col min="3352" max="3352" width="11.5546875" style="348" customWidth="1"/>
    <col min="3353" max="3353" width="13.33203125" style="348" customWidth="1"/>
    <col min="3354" max="3354" width="29" style="348" customWidth="1"/>
    <col min="3355" max="3355" width="13.6640625" style="348" customWidth="1"/>
    <col min="3356" max="3592" width="9.109375" style="348" customWidth="1"/>
    <col min="3593" max="3593" width="4.109375" style="348" customWidth="1"/>
    <col min="3594" max="3594" width="13.6640625" style="348" customWidth="1"/>
    <col min="3595" max="3595" width="9.5546875" style="348" customWidth="1"/>
    <col min="3596" max="3596" width="15" style="348" customWidth="1"/>
    <col min="3597" max="3597" width="13.6640625" style="348" customWidth="1"/>
    <col min="3598" max="3598" width="14" style="348" customWidth="1"/>
    <col min="3599" max="3599" width="4.33203125" style="348" customWidth="1"/>
    <col min="3600" max="3600" width="4.88671875" style="348" customWidth="1"/>
    <col min="3601" max="3601" width="9.5546875" style="348" customWidth="1"/>
    <col min="3602" max="3602" width="20.109375" style="348" customWidth="1"/>
    <col min="3603" max="3603" width="11.109375" style="348" customWidth="1"/>
    <col min="3604" max="3604" width="12.44140625" style="348" customWidth="1"/>
    <col min="3605" max="3605" width="13.88671875" style="348" customWidth="1"/>
    <col min="3606" max="3606" width="7.6640625" style="348" customWidth="1"/>
    <col min="3607" max="3607" width="9" style="348" customWidth="1"/>
    <col min="3608" max="3608" width="11.5546875" style="348" customWidth="1"/>
    <col min="3609" max="3609" width="13.33203125" style="348" customWidth="1"/>
    <col min="3610" max="3610" width="29" style="348" customWidth="1"/>
    <col min="3611" max="3611" width="13.6640625" style="348" customWidth="1"/>
    <col min="3612" max="3848" width="9.109375" style="348" customWidth="1"/>
    <col min="3849" max="3849" width="4.109375" style="348" customWidth="1"/>
    <col min="3850" max="3850" width="13.6640625" style="348" customWidth="1"/>
    <col min="3851" max="3851" width="9.5546875" style="348" customWidth="1"/>
    <col min="3852" max="3852" width="15" style="348" customWidth="1"/>
    <col min="3853" max="3853" width="13.6640625" style="348" customWidth="1"/>
    <col min="3854" max="3854" width="14" style="348" customWidth="1"/>
    <col min="3855" max="3855" width="4.33203125" style="348" customWidth="1"/>
    <col min="3856" max="3856" width="4.88671875" style="348" customWidth="1"/>
    <col min="3857" max="3857" width="9.5546875" style="348" customWidth="1"/>
    <col min="3858" max="3858" width="20.109375" style="348" customWidth="1"/>
    <col min="3859" max="3859" width="11.109375" style="348" customWidth="1"/>
    <col min="3860" max="3860" width="12.44140625" style="348" customWidth="1"/>
    <col min="3861" max="3861" width="13.88671875" style="348" customWidth="1"/>
    <col min="3862" max="3862" width="7.6640625" style="348" customWidth="1"/>
    <col min="3863" max="3863" width="9" style="348" customWidth="1"/>
    <col min="3864" max="3864" width="11.5546875" style="348" customWidth="1"/>
    <col min="3865" max="3865" width="13.33203125" style="348" customWidth="1"/>
    <col min="3866" max="3866" width="29" style="348" customWidth="1"/>
    <col min="3867" max="3867" width="13.6640625" style="348" customWidth="1"/>
    <col min="3868" max="4104" width="9.109375" style="348" customWidth="1"/>
    <col min="4105" max="4105" width="4.109375" style="348" customWidth="1"/>
    <col min="4106" max="4106" width="13.6640625" style="348" customWidth="1"/>
    <col min="4107" max="4107" width="9.5546875" style="348" customWidth="1"/>
    <col min="4108" max="4108" width="15" style="348" customWidth="1"/>
    <col min="4109" max="4109" width="13.6640625" style="348" customWidth="1"/>
    <col min="4110" max="4110" width="14" style="348" customWidth="1"/>
    <col min="4111" max="4111" width="4.33203125" style="348" customWidth="1"/>
    <col min="4112" max="4112" width="4.88671875" style="348" customWidth="1"/>
    <col min="4113" max="4113" width="9.5546875" style="348" customWidth="1"/>
    <col min="4114" max="4114" width="20.109375" style="348" customWidth="1"/>
    <col min="4115" max="4115" width="11.109375" style="348" customWidth="1"/>
    <col min="4116" max="4116" width="12.44140625" style="348" customWidth="1"/>
    <col min="4117" max="4117" width="13.88671875" style="348" customWidth="1"/>
    <col min="4118" max="4118" width="7.6640625" style="348" customWidth="1"/>
    <col min="4119" max="4119" width="9" style="348" customWidth="1"/>
    <col min="4120" max="4120" width="11.5546875" style="348" customWidth="1"/>
    <col min="4121" max="4121" width="13.33203125" style="348" customWidth="1"/>
    <col min="4122" max="4122" width="29" style="348" customWidth="1"/>
    <col min="4123" max="4123" width="13.6640625" style="348" customWidth="1"/>
    <col min="4124" max="4360" width="9.109375" style="348" customWidth="1"/>
    <col min="4361" max="4361" width="4.109375" style="348" customWidth="1"/>
    <col min="4362" max="4362" width="13.6640625" style="348" customWidth="1"/>
    <col min="4363" max="4363" width="9.5546875" style="348" customWidth="1"/>
    <col min="4364" max="4364" width="15" style="348" customWidth="1"/>
    <col min="4365" max="4365" width="13.6640625" style="348" customWidth="1"/>
    <col min="4366" max="4366" width="14" style="348" customWidth="1"/>
    <col min="4367" max="4367" width="4.33203125" style="348" customWidth="1"/>
    <col min="4368" max="4368" width="4.88671875" style="348" customWidth="1"/>
    <col min="4369" max="4369" width="9.5546875" style="348" customWidth="1"/>
    <col min="4370" max="4370" width="20.109375" style="348" customWidth="1"/>
    <col min="4371" max="4371" width="11.109375" style="348" customWidth="1"/>
    <col min="4372" max="4372" width="12.44140625" style="348" customWidth="1"/>
    <col min="4373" max="4373" width="13.88671875" style="348" customWidth="1"/>
    <col min="4374" max="4374" width="7.6640625" style="348" customWidth="1"/>
    <col min="4375" max="4375" width="9" style="348" customWidth="1"/>
    <col min="4376" max="4376" width="11.5546875" style="348" customWidth="1"/>
    <col min="4377" max="4377" width="13.33203125" style="348" customWidth="1"/>
    <col min="4378" max="4378" width="29" style="348" customWidth="1"/>
    <col min="4379" max="4379" width="13.6640625" style="348" customWidth="1"/>
    <col min="4380" max="4616" width="9.109375" style="348" customWidth="1"/>
    <col min="4617" max="4617" width="4.109375" style="348" customWidth="1"/>
    <col min="4618" max="4618" width="13.6640625" style="348" customWidth="1"/>
    <col min="4619" max="4619" width="9.5546875" style="348" customWidth="1"/>
    <col min="4620" max="4620" width="15" style="348" customWidth="1"/>
    <col min="4621" max="4621" width="13.6640625" style="348" customWidth="1"/>
    <col min="4622" max="4622" width="14" style="348" customWidth="1"/>
    <col min="4623" max="4623" width="4.33203125" style="348" customWidth="1"/>
    <col min="4624" max="4624" width="4.88671875" style="348" customWidth="1"/>
    <col min="4625" max="4625" width="9.5546875" style="348" customWidth="1"/>
    <col min="4626" max="4626" width="20.109375" style="348" customWidth="1"/>
    <col min="4627" max="4627" width="11.109375" style="348" customWidth="1"/>
    <col min="4628" max="4628" width="12.44140625" style="348" customWidth="1"/>
    <col min="4629" max="4629" width="13.88671875" style="348" customWidth="1"/>
    <col min="4630" max="4630" width="7.6640625" style="348" customWidth="1"/>
    <col min="4631" max="4631" width="9" style="348" customWidth="1"/>
    <col min="4632" max="4632" width="11.5546875" style="348" customWidth="1"/>
    <col min="4633" max="4633" width="13.33203125" style="348" customWidth="1"/>
    <col min="4634" max="4634" width="29" style="348" customWidth="1"/>
    <col min="4635" max="4635" width="13.6640625" style="348" customWidth="1"/>
    <col min="4636" max="4872" width="9.109375" style="348" customWidth="1"/>
    <col min="4873" max="4873" width="4.109375" style="348" customWidth="1"/>
    <col min="4874" max="4874" width="13.6640625" style="348" customWidth="1"/>
    <col min="4875" max="4875" width="9.5546875" style="348" customWidth="1"/>
    <col min="4876" max="4876" width="15" style="348" customWidth="1"/>
    <col min="4877" max="4877" width="13.6640625" style="348" customWidth="1"/>
    <col min="4878" max="4878" width="14" style="348" customWidth="1"/>
    <col min="4879" max="4879" width="4.33203125" style="348" customWidth="1"/>
    <col min="4880" max="4880" width="4.88671875" style="348" customWidth="1"/>
    <col min="4881" max="4881" width="9.5546875" style="348" customWidth="1"/>
    <col min="4882" max="4882" width="20.109375" style="348" customWidth="1"/>
    <col min="4883" max="4883" width="11.109375" style="348" customWidth="1"/>
    <col min="4884" max="4884" width="12.44140625" style="348" customWidth="1"/>
    <col min="4885" max="4885" width="13.88671875" style="348" customWidth="1"/>
    <col min="4886" max="4886" width="7.6640625" style="348" customWidth="1"/>
    <col min="4887" max="4887" width="9" style="348" customWidth="1"/>
    <col min="4888" max="4888" width="11.5546875" style="348" customWidth="1"/>
    <col min="4889" max="4889" width="13.33203125" style="348" customWidth="1"/>
    <col min="4890" max="4890" width="29" style="348" customWidth="1"/>
    <col min="4891" max="4891" width="13.6640625" style="348" customWidth="1"/>
    <col min="4892" max="5128" width="9.109375" style="348" customWidth="1"/>
    <col min="5129" max="5129" width="4.109375" style="348" customWidth="1"/>
    <col min="5130" max="5130" width="13.6640625" style="348" customWidth="1"/>
    <col min="5131" max="5131" width="9.5546875" style="348" customWidth="1"/>
    <col min="5132" max="5132" width="15" style="348" customWidth="1"/>
    <col min="5133" max="5133" width="13.6640625" style="348" customWidth="1"/>
    <col min="5134" max="5134" width="14" style="348" customWidth="1"/>
    <col min="5135" max="5135" width="4.33203125" style="348" customWidth="1"/>
    <col min="5136" max="5136" width="4.88671875" style="348" customWidth="1"/>
    <col min="5137" max="5137" width="9.5546875" style="348" customWidth="1"/>
    <col min="5138" max="5138" width="20.109375" style="348" customWidth="1"/>
    <col min="5139" max="5139" width="11.109375" style="348" customWidth="1"/>
    <col min="5140" max="5140" width="12.44140625" style="348" customWidth="1"/>
    <col min="5141" max="5141" width="13.88671875" style="348" customWidth="1"/>
    <col min="5142" max="5142" width="7.6640625" style="348" customWidth="1"/>
    <col min="5143" max="5143" width="9" style="348" customWidth="1"/>
    <col min="5144" max="5144" width="11.5546875" style="348" customWidth="1"/>
    <col min="5145" max="5145" width="13.33203125" style="348" customWidth="1"/>
    <col min="5146" max="5146" width="29" style="348" customWidth="1"/>
    <col min="5147" max="5147" width="13.6640625" style="348" customWidth="1"/>
    <col min="5148" max="5384" width="9.109375" style="348" customWidth="1"/>
    <col min="5385" max="5385" width="4.109375" style="348" customWidth="1"/>
    <col min="5386" max="5386" width="13.6640625" style="348" customWidth="1"/>
    <col min="5387" max="5387" width="9.5546875" style="348" customWidth="1"/>
    <col min="5388" max="5388" width="15" style="348" customWidth="1"/>
    <col min="5389" max="5389" width="13.6640625" style="348" customWidth="1"/>
    <col min="5390" max="5390" width="14" style="348" customWidth="1"/>
    <col min="5391" max="5391" width="4.33203125" style="348" customWidth="1"/>
    <col min="5392" max="5392" width="4.88671875" style="348" customWidth="1"/>
    <col min="5393" max="5393" width="9.5546875" style="348" customWidth="1"/>
    <col min="5394" max="5394" width="20.109375" style="348" customWidth="1"/>
    <col min="5395" max="5395" width="11.109375" style="348" customWidth="1"/>
    <col min="5396" max="5396" width="12.44140625" style="348" customWidth="1"/>
    <col min="5397" max="5397" width="13.88671875" style="348" customWidth="1"/>
    <col min="5398" max="5398" width="7.6640625" style="348" customWidth="1"/>
    <col min="5399" max="5399" width="9" style="348" customWidth="1"/>
    <col min="5400" max="5400" width="11.5546875" style="348" customWidth="1"/>
    <col min="5401" max="5401" width="13.33203125" style="348" customWidth="1"/>
    <col min="5402" max="5402" width="29" style="348" customWidth="1"/>
    <col min="5403" max="5403" width="13.6640625" style="348" customWidth="1"/>
    <col min="5404" max="5640" width="9.109375" style="348" customWidth="1"/>
    <col min="5641" max="5641" width="4.109375" style="348" customWidth="1"/>
    <col min="5642" max="5642" width="13.6640625" style="348" customWidth="1"/>
    <col min="5643" max="5643" width="9.5546875" style="348" customWidth="1"/>
    <col min="5644" max="5644" width="15" style="348" customWidth="1"/>
    <col min="5645" max="5645" width="13.6640625" style="348" customWidth="1"/>
    <col min="5646" max="5646" width="14" style="348" customWidth="1"/>
    <col min="5647" max="5647" width="4.33203125" style="348" customWidth="1"/>
    <col min="5648" max="5648" width="4.88671875" style="348" customWidth="1"/>
    <col min="5649" max="5649" width="9.5546875" style="348" customWidth="1"/>
    <col min="5650" max="5650" width="20.109375" style="348" customWidth="1"/>
    <col min="5651" max="5651" width="11.109375" style="348" customWidth="1"/>
    <col min="5652" max="5652" width="12.44140625" style="348" customWidth="1"/>
    <col min="5653" max="5653" width="13.88671875" style="348" customWidth="1"/>
    <col min="5654" max="5654" width="7.6640625" style="348" customWidth="1"/>
    <col min="5655" max="5655" width="9" style="348" customWidth="1"/>
    <col min="5656" max="5656" width="11.5546875" style="348" customWidth="1"/>
    <col min="5657" max="5657" width="13.33203125" style="348" customWidth="1"/>
    <col min="5658" max="5658" width="29" style="348" customWidth="1"/>
    <col min="5659" max="5659" width="13.6640625" style="348" customWidth="1"/>
    <col min="5660" max="5896" width="9.109375" style="348" customWidth="1"/>
    <col min="5897" max="5897" width="4.109375" style="348" customWidth="1"/>
    <col min="5898" max="5898" width="13.6640625" style="348" customWidth="1"/>
    <col min="5899" max="5899" width="9.5546875" style="348" customWidth="1"/>
    <col min="5900" max="5900" width="15" style="348" customWidth="1"/>
    <col min="5901" max="5901" width="13.6640625" style="348" customWidth="1"/>
    <col min="5902" max="5902" width="14" style="348" customWidth="1"/>
    <col min="5903" max="5903" width="4.33203125" style="348" customWidth="1"/>
    <col min="5904" max="5904" width="4.88671875" style="348" customWidth="1"/>
    <col min="5905" max="5905" width="9.5546875" style="348" customWidth="1"/>
    <col min="5906" max="5906" width="20.109375" style="348" customWidth="1"/>
    <col min="5907" max="5907" width="11.109375" style="348" customWidth="1"/>
    <col min="5908" max="5908" width="12.44140625" style="348" customWidth="1"/>
    <col min="5909" max="5909" width="13.88671875" style="348" customWidth="1"/>
    <col min="5910" max="5910" width="7.6640625" style="348" customWidth="1"/>
    <col min="5911" max="5911" width="9" style="348" customWidth="1"/>
    <col min="5912" max="5912" width="11.5546875" style="348" customWidth="1"/>
    <col min="5913" max="5913" width="13.33203125" style="348" customWidth="1"/>
    <col min="5914" max="5914" width="29" style="348" customWidth="1"/>
    <col min="5915" max="5915" width="13.6640625" style="348" customWidth="1"/>
    <col min="5916" max="6152" width="9.109375" style="348" customWidth="1"/>
    <col min="6153" max="6153" width="4.109375" style="348" customWidth="1"/>
    <col min="6154" max="6154" width="13.6640625" style="348" customWidth="1"/>
    <col min="6155" max="6155" width="9.5546875" style="348" customWidth="1"/>
    <col min="6156" max="6156" width="15" style="348" customWidth="1"/>
    <col min="6157" max="6157" width="13.6640625" style="348" customWidth="1"/>
    <col min="6158" max="6158" width="14" style="348" customWidth="1"/>
    <col min="6159" max="6159" width="4.33203125" style="348" customWidth="1"/>
    <col min="6160" max="6160" width="4.88671875" style="348" customWidth="1"/>
    <col min="6161" max="6161" width="9.5546875" style="348" customWidth="1"/>
    <col min="6162" max="6162" width="20.109375" style="348" customWidth="1"/>
    <col min="6163" max="6163" width="11.109375" style="348" customWidth="1"/>
    <col min="6164" max="6164" width="12.44140625" style="348" customWidth="1"/>
    <col min="6165" max="6165" width="13.88671875" style="348" customWidth="1"/>
    <col min="6166" max="6166" width="7.6640625" style="348" customWidth="1"/>
    <col min="6167" max="6167" width="9" style="348" customWidth="1"/>
    <col min="6168" max="6168" width="11.5546875" style="348" customWidth="1"/>
    <col min="6169" max="6169" width="13.33203125" style="348" customWidth="1"/>
    <col min="6170" max="6170" width="29" style="348" customWidth="1"/>
    <col min="6171" max="6171" width="13.6640625" style="348" customWidth="1"/>
    <col min="6172" max="6408" width="9.109375" style="348" customWidth="1"/>
    <col min="6409" max="6409" width="4.109375" style="348" customWidth="1"/>
    <col min="6410" max="6410" width="13.6640625" style="348" customWidth="1"/>
    <col min="6411" max="6411" width="9.5546875" style="348" customWidth="1"/>
    <col min="6412" max="6412" width="15" style="348" customWidth="1"/>
    <col min="6413" max="6413" width="13.6640625" style="348" customWidth="1"/>
    <col min="6414" max="6414" width="14" style="348" customWidth="1"/>
    <col min="6415" max="6415" width="4.33203125" style="348" customWidth="1"/>
    <col min="6416" max="6416" width="4.88671875" style="348" customWidth="1"/>
    <col min="6417" max="6417" width="9.5546875" style="348" customWidth="1"/>
    <col min="6418" max="6418" width="20.109375" style="348" customWidth="1"/>
    <col min="6419" max="6419" width="11.109375" style="348" customWidth="1"/>
    <col min="6420" max="6420" width="12.44140625" style="348" customWidth="1"/>
    <col min="6421" max="6421" width="13.88671875" style="348" customWidth="1"/>
    <col min="6422" max="6422" width="7.6640625" style="348" customWidth="1"/>
    <col min="6423" max="6423" width="9" style="348" customWidth="1"/>
    <col min="6424" max="6424" width="11.5546875" style="348" customWidth="1"/>
    <col min="6425" max="6425" width="13.33203125" style="348" customWidth="1"/>
    <col min="6426" max="6426" width="29" style="348" customWidth="1"/>
    <col min="6427" max="6427" width="13.6640625" style="348" customWidth="1"/>
    <col min="6428" max="6664" width="9.109375" style="348" customWidth="1"/>
    <col min="6665" max="6665" width="4.109375" style="348" customWidth="1"/>
    <col min="6666" max="6666" width="13.6640625" style="348" customWidth="1"/>
    <col min="6667" max="6667" width="9.5546875" style="348" customWidth="1"/>
    <col min="6668" max="6668" width="15" style="348" customWidth="1"/>
    <col min="6669" max="6669" width="13.6640625" style="348" customWidth="1"/>
    <col min="6670" max="6670" width="14" style="348" customWidth="1"/>
    <col min="6671" max="6671" width="4.33203125" style="348" customWidth="1"/>
    <col min="6672" max="6672" width="4.88671875" style="348" customWidth="1"/>
    <col min="6673" max="6673" width="9.5546875" style="348" customWidth="1"/>
    <col min="6674" max="6674" width="20.109375" style="348" customWidth="1"/>
    <col min="6675" max="6675" width="11.109375" style="348" customWidth="1"/>
    <col min="6676" max="6676" width="12.44140625" style="348" customWidth="1"/>
    <col min="6677" max="6677" width="13.88671875" style="348" customWidth="1"/>
    <col min="6678" max="6678" width="7.6640625" style="348" customWidth="1"/>
    <col min="6679" max="6679" width="9" style="348" customWidth="1"/>
    <col min="6680" max="6680" width="11.5546875" style="348" customWidth="1"/>
    <col min="6681" max="6681" width="13.33203125" style="348" customWidth="1"/>
    <col min="6682" max="6682" width="29" style="348" customWidth="1"/>
    <col min="6683" max="6683" width="13.6640625" style="348" customWidth="1"/>
    <col min="6684" max="6920" width="9.109375" style="348" customWidth="1"/>
    <col min="6921" max="6921" width="4.109375" style="348" customWidth="1"/>
    <col min="6922" max="6922" width="13.6640625" style="348" customWidth="1"/>
    <col min="6923" max="6923" width="9.5546875" style="348" customWidth="1"/>
    <col min="6924" max="6924" width="15" style="348" customWidth="1"/>
    <col min="6925" max="6925" width="13.6640625" style="348" customWidth="1"/>
    <col min="6926" max="6926" width="14" style="348" customWidth="1"/>
    <col min="6927" max="6927" width="4.33203125" style="348" customWidth="1"/>
    <col min="6928" max="6928" width="4.88671875" style="348" customWidth="1"/>
    <col min="6929" max="6929" width="9.5546875" style="348" customWidth="1"/>
    <col min="6930" max="6930" width="20.109375" style="348" customWidth="1"/>
    <col min="6931" max="6931" width="11.109375" style="348" customWidth="1"/>
    <col min="6932" max="6932" width="12.44140625" style="348" customWidth="1"/>
    <col min="6933" max="6933" width="13.88671875" style="348" customWidth="1"/>
    <col min="6934" max="6934" width="7.6640625" style="348" customWidth="1"/>
    <col min="6935" max="6935" width="9" style="348" customWidth="1"/>
    <col min="6936" max="6936" width="11.5546875" style="348" customWidth="1"/>
    <col min="6937" max="6937" width="13.33203125" style="348" customWidth="1"/>
    <col min="6938" max="6938" width="29" style="348" customWidth="1"/>
    <col min="6939" max="6939" width="13.6640625" style="348" customWidth="1"/>
    <col min="6940" max="7176" width="9.109375" style="348" customWidth="1"/>
    <col min="7177" max="7177" width="4.109375" style="348" customWidth="1"/>
    <col min="7178" max="7178" width="13.6640625" style="348" customWidth="1"/>
    <col min="7179" max="7179" width="9.5546875" style="348" customWidth="1"/>
    <col min="7180" max="7180" width="15" style="348" customWidth="1"/>
    <col min="7181" max="7181" width="13.6640625" style="348" customWidth="1"/>
    <col min="7182" max="7182" width="14" style="348" customWidth="1"/>
    <col min="7183" max="7183" width="4.33203125" style="348" customWidth="1"/>
    <col min="7184" max="7184" width="4.88671875" style="348" customWidth="1"/>
    <col min="7185" max="7185" width="9.5546875" style="348" customWidth="1"/>
    <col min="7186" max="7186" width="20.109375" style="348" customWidth="1"/>
    <col min="7187" max="7187" width="11.109375" style="348" customWidth="1"/>
    <col min="7188" max="7188" width="12.44140625" style="348" customWidth="1"/>
    <col min="7189" max="7189" width="13.88671875" style="348" customWidth="1"/>
    <col min="7190" max="7190" width="7.6640625" style="348" customWidth="1"/>
    <col min="7191" max="7191" width="9" style="348" customWidth="1"/>
    <col min="7192" max="7192" width="11.5546875" style="348" customWidth="1"/>
    <col min="7193" max="7193" width="13.33203125" style="348" customWidth="1"/>
    <col min="7194" max="7194" width="29" style="348" customWidth="1"/>
    <col min="7195" max="7195" width="13.6640625" style="348" customWidth="1"/>
    <col min="7196" max="7432" width="9.109375" style="348" customWidth="1"/>
    <col min="7433" max="7433" width="4.109375" style="348" customWidth="1"/>
    <col min="7434" max="7434" width="13.6640625" style="348" customWidth="1"/>
    <col min="7435" max="7435" width="9.5546875" style="348" customWidth="1"/>
    <col min="7436" max="7436" width="15" style="348" customWidth="1"/>
    <col min="7437" max="7437" width="13.6640625" style="348" customWidth="1"/>
    <col min="7438" max="7438" width="14" style="348" customWidth="1"/>
    <col min="7439" max="7439" width="4.33203125" style="348" customWidth="1"/>
    <col min="7440" max="7440" width="4.88671875" style="348" customWidth="1"/>
    <col min="7441" max="7441" width="9.5546875" style="348" customWidth="1"/>
    <col min="7442" max="7442" width="20.109375" style="348" customWidth="1"/>
    <col min="7443" max="7443" width="11.109375" style="348" customWidth="1"/>
    <col min="7444" max="7444" width="12.44140625" style="348" customWidth="1"/>
    <col min="7445" max="7445" width="13.88671875" style="348" customWidth="1"/>
    <col min="7446" max="7446" width="7.6640625" style="348" customWidth="1"/>
    <col min="7447" max="7447" width="9" style="348" customWidth="1"/>
    <col min="7448" max="7448" width="11.5546875" style="348" customWidth="1"/>
    <col min="7449" max="7449" width="13.33203125" style="348" customWidth="1"/>
    <col min="7450" max="7450" width="29" style="348" customWidth="1"/>
    <col min="7451" max="7451" width="13.6640625" style="348" customWidth="1"/>
    <col min="7452" max="7688" width="9.109375" style="348" customWidth="1"/>
    <col min="7689" max="7689" width="4.109375" style="348" customWidth="1"/>
    <col min="7690" max="7690" width="13.6640625" style="348" customWidth="1"/>
    <col min="7691" max="7691" width="9.5546875" style="348" customWidth="1"/>
    <col min="7692" max="7692" width="15" style="348" customWidth="1"/>
    <col min="7693" max="7693" width="13.6640625" style="348" customWidth="1"/>
    <col min="7694" max="7694" width="14" style="348" customWidth="1"/>
    <col min="7695" max="7695" width="4.33203125" style="348" customWidth="1"/>
    <col min="7696" max="7696" width="4.88671875" style="348" customWidth="1"/>
    <col min="7697" max="7697" width="9.5546875" style="348" customWidth="1"/>
    <col min="7698" max="7698" width="20.109375" style="348" customWidth="1"/>
    <col min="7699" max="7699" width="11.109375" style="348" customWidth="1"/>
    <col min="7700" max="7700" width="12.44140625" style="348" customWidth="1"/>
    <col min="7701" max="7701" width="13.88671875" style="348" customWidth="1"/>
    <col min="7702" max="7702" width="7.6640625" style="348" customWidth="1"/>
    <col min="7703" max="7703" width="9" style="348" customWidth="1"/>
    <col min="7704" max="7704" width="11.5546875" style="348" customWidth="1"/>
    <col min="7705" max="7705" width="13.33203125" style="348" customWidth="1"/>
    <col min="7706" max="7706" width="29" style="348" customWidth="1"/>
    <col min="7707" max="7707" width="13.6640625" style="348" customWidth="1"/>
    <col min="7708" max="7944" width="9.109375" style="348" customWidth="1"/>
    <col min="7945" max="7945" width="4.109375" style="348" customWidth="1"/>
    <col min="7946" max="7946" width="13.6640625" style="348" customWidth="1"/>
    <col min="7947" max="7947" width="9.5546875" style="348" customWidth="1"/>
    <col min="7948" max="7948" width="15" style="348" customWidth="1"/>
    <col min="7949" max="7949" width="13.6640625" style="348" customWidth="1"/>
    <col min="7950" max="7950" width="14" style="348" customWidth="1"/>
    <col min="7951" max="7951" width="4.33203125" style="348" customWidth="1"/>
    <col min="7952" max="7952" width="4.88671875" style="348" customWidth="1"/>
    <col min="7953" max="7953" width="9.5546875" style="348" customWidth="1"/>
    <col min="7954" max="7954" width="20.109375" style="348" customWidth="1"/>
    <col min="7955" max="7955" width="11.109375" style="348" customWidth="1"/>
    <col min="7956" max="7956" width="12.44140625" style="348" customWidth="1"/>
    <col min="7957" max="7957" width="13.88671875" style="348" customWidth="1"/>
    <col min="7958" max="7958" width="7.6640625" style="348" customWidth="1"/>
    <col min="7959" max="7959" width="9" style="348" customWidth="1"/>
    <col min="7960" max="7960" width="11.5546875" style="348" customWidth="1"/>
    <col min="7961" max="7961" width="13.33203125" style="348" customWidth="1"/>
    <col min="7962" max="7962" width="29" style="348" customWidth="1"/>
    <col min="7963" max="7963" width="13.6640625" style="348" customWidth="1"/>
    <col min="7964" max="8200" width="9.109375" style="348" customWidth="1"/>
    <col min="8201" max="8201" width="4.109375" style="348" customWidth="1"/>
    <col min="8202" max="8202" width="13.6640625" style="348" customWidth="1"/>
    <col min="8203" max="8203" width="9.5546875" style="348" customWidth="1"/>
    <col min="8204" max="8204" width="15" style="348" customWidth="1"/>
    <col min="8205" max="8205" width="13.6640625" style="348" customWidth="1"/>
    <col min="8206" max="8206" width="14" style="348" customWidth="1"/>
    <col min="8207" max="8207" width="4.33203125" style="348" customWidth="1"/>
    <col min="8208" max="8208" width="4.88671875" style="348" customWidth="1"/>
    <col min="8209" max="8209" width="9.5546875" style="348" customWidth="1"/>
    <col min="8210" max="8210" width="20.109375" style="348" customWidth="1"/>
    <col min="8211" max="8211" width="11.109375" style="348" customWidth="1"/>
    <col min="8212" max="8212" width="12.44140625" style="348" customWidth="1"/>
    <col min="8213" max="8213" width="13.88671875" style="348" customWidth="1"/>
    <col min="8214" max="8214" width="7.6640625" style="348" customWidth="1"/>
    <col min="8215" max="8215" width="9" style="348" customWidth="1"/>
    <col min="8216" max="8216" width="11.5546875" style="348" customWidth="1"/>
    <col min="8217" max="8217" width="13.33203125" style="348" customWidth="1"/>
    <col min="8218" max="8218" width="29" style="348" customWidth="1"/>
    <col min="8219" max="8219" width="13.6640625" style="348" customWidth="1"/>
    <col min="8220" max="8456" width="9.109375" style="348" customWidth="1"/>
    <col min="8457" max="8457" width="4.109375" style="348" customWidth="1"/>
    <col min="8458" max="8458" width="13.6640625" style="348" customWidth="1"/>
    <col min="8459" max="8459" width="9.5546875" style="348" customWidth="1"/>
    <col min="8460" max="8460" width="15" style="348" customWidth="1"/>
    <col min="8461" max="8461" width="13.6640625" style="348" customWidth="1"/>
    <col min="8462" max="8462" width="14" style="348" customWidth="1"/>
    <col min="8463" max="8463" width="4.33203125" style="348" customWidth="1"/>
    <col min="8464" max="8464" width="4.88671875" style="348" customWidth="1"/>
    <col min="8465" max="8465" width="9.5546875" style="348" customWidth="1"/>
    <col min="8466" max="8466" width="20.109375" style="348" customWidth="1"/>
    <col min="8467" max="8467" width="11.109375" style="348" customWidth="1"/>
    <col min="8468" max="8468" width="12.44140625" style="348" customWidth="1"/>
    <col min="8469" max="8469" width="13.88671875" style="348" customWidth="1"/>
    <col min="8470" max="8470" width="7.6640625" style="348" customWidth="1"/>
    <col min="8471" max="8471" width="9" style="348" customWidth="1"/>
    <col min="8472" max="8472" width="11.5546875" style="348" customWidth="1"/>
    <col min="8473" max="8473" width="13.33203125" style="348" customWidth="1"/>
    <col min="8474" max="8474" width="29" style="348" customWidth="1"/>
    <col min="8475" max="8475" width="13.6640625" style="348" customWidth="1"/>
    <col min="8476" max="8712" width="9.109375" style="348" customWidth="1"/>
    <col min="8713" max="8713" width="4.109375" style="348" customWidth="1"/>
    <col min="8714" max="8714" width="13.6640625" style="348" customWidth="1"/>
    <col min="8715" max="8715" width="9.5546875" style="348" customWidth="1"/>
    <col min="8716" max="8716" width="15" style="348" customWidth="1"/>
    <col min="8717" max="8717" width="13.6640625" style="348" customWidth="1"/>
    <col min="8718" max="8718" width="14" style="348" customWidth="1"/>
    <col min="8719" max="8719" width="4.33203125" style="348" customWidth="1"/>
    <col min="8720" max="8720" width="4.88671875" style="348" customWidth="1"/>
    <col min="8721" max="8721" width="9.5546875" style="348" customWidth="1"/>
    <col min="8722" max="8722" width="20.109375" style="348" customWidth="1"/>
    <col min="8723" max="8723" width="11.109375" style="348" customWidth="1"/>
    <col min="8724" max="8724" width="12.44140625" style="348" customWidth="1"/>
    <col min="8725" max="8725" width="13.88671875" style="348" customWidth="1"/>
    <col min="8726" max="8726" width="7.6640625" style="348" customWidth="1"/>
    <col min="8727" max="8727" width="9" style="348" customWidth="1"/>
    <col min="8728" max="8728" width="11.5546875" style="348" customWidth="1"/>
    <col min="8729" max="8729" width="13.33203125" style="348" customWidth="1"/>
    <col min="8730" max="8730" width="29" style="348" customWidth="1"/>
    <col min="8731" max="8731" width="13.6640625" style="348" customWidth="1"/>
    <col min="8732" max="8968" width="9.109375" style="348" customWidth="1"/>
    <col min="8969" max="8969" width="4.109375" style="348" customWidth="1"/>
    <col min="8970" max="8970" width="13.6640625" style="348" customWidth="1"/>
    <col min="8971" max="8971" width="9.5546875" style="348" customWidth="1"/>
    <col min="8972" max="8972" width="15" style="348" customWidth="1"/>
    <col min="8973" max="8973" width="13.6640625" style="348" customWidth="1"/>
    <col min="8974" max="8974" width="14" style="348" customWidth="1"/>
    <col min="8975" max="8975" width="4.33203125" style="348" customWidth="1"/>
    <col min="8976" max="8976" width="4.88671875" style="348" customWidth="1"/>
    <col min="8977" max="8977" width="9.5546875" style="348" customWidth="1"/>
    <col min="8978" max="8978" width="20.109375" style="348" customWidth="1"/>
    <col min="8979" max="8979" width="11.109375" style="348" customWidth="1"/>
    <col min="8980" max="8980" width="12.44140625" style="348" customWidth="1"/>
    <col min="8981" max="8981" width="13.88671875" style="348" customWidth="1"/>
    <col min="8982" max="8982" width="7.6640625" style="348" customWidth="1"/>
    <col min="8983" max="8983" width="9" style="348" customWidth="1"/>
    <col min="8984" max="8984" width="11.5546875" style="348" customWidth="1"/>
    <col min="8985" max="8985" width="13.33203125" style="348" customWidth="1"/>
    <col min="8986" max="8986" width="29" style="348" customWidth="1"/>
    <col min="8987" max="8987" width="13.6640625" style="348" customWidth="1"/>
    <col min="8988" max="9224" width="9.109375" style="348" customWidth="1"/>
    <col min="9225" max="9225" width="4.109375" style="348" customWidth="1"/>
    <col min="9226" max="9226" width="13.6640625" style="348" customWidth="1"/>
    <col min="9227" max="9227" width="9.5546875" style="348" customWidth="1"/>
    <col min="9228" max="9228" width="15" style="348" customWidth="1"/>
    <col min="9229" max="9229" width="13.6640625" style="348" customWidth="1"/>
    <col min="9230" max="9230" width="14" style="348" customWidth="1"/>
    <col min="9231" max="9231" width="4.33203125" style="348" customWidth="1"/>
    <col min="9232" max="9232" width="4.88671875" style="348" customWidth="1"/>
    <col min="9233" max="9233" width="9.5546875" style="348" customWidth="1"/>
    <col min="9234" max="9234" width="20.109375" style="348" customWidth="1"/>
    <col min="9235" max="9235" width="11.109375" style="348" customWidth="1"/>
    <col min="9236" max="9236" width="12.44140625" style="348" customWidth="1"/>
    <col min="9237" max="9237" width="13.88671875" style="348" customWidth="1"/>
    <col min="9238" max="9238" width="7.6640625" style="348" customWidth="1"/>
    <col min="9239" max="9239" width="9" style="348" customWidth="1"/>
    <col min="9240" max="9240" width="11.5546875" style="348" customWidth="1"/>
    <col min="9241" max="9241" width="13.33203125" style="348" customWidth="1"/>
    <col min="9242" max="9242" width="29" style="348" customWidth="1"/>
    <col min="9243" max="9243" width="13.6640625" style="348" customWidth="1"/>
    <col min="9244" max="9480" width="9.109375" style="348" customWidth="1"/>
    <col min="9481" max="9481" width="4.109375" style="348" customWidth="1"/>
    <col min="9482" max="9482" width="13.6640625" style="348" customWidth="1"/>
    <col min="9483" max="9483" width="9.5546875" style="348" customWidth="1"/>
    <col min="9484" max="9484" width="15" style="348" customWidth="1"/>
    <col min="9485" max="9485" width="13.6640625" style="348" customWidth="1"/>
    <col min="9486" max="9486" width="14" style="348" customWidth="1"/>
    <col min="9487" max="9487" width="4.33203125" style="348" customWidth="1"/>
    <col min="9488" max="9488" width="4.88671875" style="348" customWidth="1"/>
    <col min="9489" max="9489" width="9.5546875" style="348" customWidth="1"/>
    <col min="9490" max="9490" width="20.109375" style="348" customWidth="1"/>
    <col min="9491" max="9491" width="11.109375" style="348" customWidth="1"/>
    <col min="9492" max="9492" width="12.44140625" style="348" customWidth="1"/>
    <col min="9493" max="9493" width="13.88671875" style="348" customWidth="1"/>
    <col min="9494" max="9494" width="7.6640625" style="348" customWidth="1"/>
    <col min="9495" max="9495" width="9" style="348" customWidth="1"/>
    <col min="9496" max="9496" width="11.5546875" style="348" customWidth="1"/>
    <col min="9497" max="9497" width="13.33203125" style="348" customWidth="1"/>
    <col min="9498" max="9498" width="29" style="348" customWidth="1"/>
    <col min="9499" max="9499" width="13.6640625" style="348" customWidth="1"/>
    <col min="9500" max="9736" width="9.109375" style="348" customWidth="1"/>
    <col min="9737" max="9737" width="4.109375" style="348" customWidth="1"/>
    <col min="9738" max="9738" width="13.6640625" style="348" customWidth="1"/>
    <col min="9739" max="9739" width="9.5546875" style="348" customWidth="1"/>
    <col min="9740" max="9740" width="15" style="348" customWidth="1"/>
    <col min="9741" max="9741" width="13.6640625" style="348" customWidth="1"/>
    <col min="9742" max="9742" width="14" style="348" customWidth="1"/>
    <col min="9743" max="9743" width="4.33203125" style="348" customWidth="1"/>
    <col min="9744" max="9744" width="4.88671875" style="348" customWidth="1"/>
    <col min="9745" max="9745" width="9.5546875" style="348" customWidth="1"/>
    <col min="9746" max="9746" width="20.109375" style="348" customWidth="1"/>
    <col min="9747" max="9747" width="11.109375" style="348" customWidth="1"/>
    <col min="9748" max="9748" width="12.44140625" style="348" customWidth="1"/>
    <col min="9749" max="9749" width="13.88671875" style="348" customWidth="1"/>
    <col min="9750" max="9750" width="7.6640625" style="348" customWidth="1"/>
    <col min="9751" max="9751" width="9" style="348" customWidth="1"/>
    <col min="9752" max="9752" width="11.5546875" style="348" customWidth="1"/>
    <col min="9753" max="9753" width="13.33203125" style="348" customWidth="1"/>
    <col min="9754" max="9754" width="29" style="348" customWidth="1"/>
    <col min="9755" max="9755" width="13.6640625" style="348" customWidth="1"/>
    <col min="9756" max="9992" width="9.109375" style="348" customWidth="1"/>
    <col min="9993" max="9993" width="4.109375" style="348" customWidth="1"/>
    <col min="9994" max="9994" width="13.6640625" style="348" customWidth="1"/>
    <col min="9995" max="9995" width="9.5546875" style="348" customWidth="1"/>
    <col min="9996" max="9996" width="15" style="348" customWidth="1"/>
    <col min="9997" max="9997" width="13.6640625" style="348" customWidth="1"/>
    <col min="9998" max="9998" width="14" style="348" customWidth="1"/>
    <col min="9999" max="9999" width="4.33203125" style="348" customWidth="1"/>
    <col min="10000" max="10000" width="4.88671875" style="348" customWidth="1"/>
    <col min="10001" max="10001" width="9.5546875" style="348" customWidth="1"/>
    <col min="10002" max="10002" width="20.109375" style="348" customWidth="1"/>
    <col min="10003" max="10003" width="11.109375" style="348" customWidth="1"/>
    <col min="10004" max="10004" width="12.44140625" style="348" customWidth="1"/>
    <col min="10005" max="10005" width="13.88671875" style="348" customWidth="1"/>
    <col min="10006" max="10006" width="7.6640625" style="348" customWidth="1"/>
    <col min="10007" max="10007" width="9" style="348" customWidth="1"/>
    <col min="10008" max="10008" width="11.5546875" style="348" customWidth="1"/>
    <col min="10009" max="10009" width="13.33203125" style="348" customWidth="1"/>
    <col min="10010" max="10010" width="29" style="348" customWidth="1"/>
    <col min="10011" max="10011" width="13.6640625" style="348" customWidth="1"/>
    <col min="10012" max="10248" width="9.109375" style="348" customWidth="1"/>
    <col min="10249" max="10249" width="4.109375" style="348" customWidth="1"/>
    <col min="10250" max="10250" width="13.6640625" style="348" customWidth="1"/>
    <col min="10251" max="10251" width="9.5546875" style="348" customWidth="1"/>
    <col min="10252" max="10252" width="15" style="348" customWidth="1"/>
    <col min="10253" max="10253" width="13.6640625" style="348" customWidth="1"/>
    <col min="10254" max="10254" width="14" style="348" customWidth="1"/>
    <col min="10255" max="10255" width="4.33203125" style="348" customWidth="1"/>
    <col min="10256" max="10256" width="4.88671875" style="348" customWidth="1"/>
    <col min="10257" max="10257" width="9.5546875" style="348" customWidth="1"/>
    <col min="10258" max="10258" width="20.109375" style="348" customWidth="1"/>
    <col min="10259" max="10259" width="11.109375" style="348" customWidth="1"/>
    <col min="10260" max="10260" width="12.44140625" style="348" customWidth="1"/>
    <col min="10261" max="10261" width="13.88671875" style="348" customWidth="1"/>
    <col min="10262" max="10262" width="7.6640625" style="348" customWidth="1"/>
    <col min="10263" max="10263" width="9" style="348" customWidth="1"/>
    <col min="10264" max="10264" width="11.5546875" style="348" customWidth="1"/>
    <col min="10265" max="10265" width="13.33203125" style="348" customWidth="1"/>
    <col min="10266" max="10266" width="29" style="348" customWidth="1"/>
    <col min="10267" max="10267" width="13.6640625" style="348" customWidth="1"/>
    <col min="10268" max="10504" width="9.109375" style="348" customWidth="1"/>
    <col min="10505" max="10505" width="4.109375" style="348" customWidth="1"/>
    <col min="10506" max="10506" width="13.6640625" style="348" customWidth="1"/>
    <col min="10507" max="10507" width="9.5546875" style="348" customWidth="1"/>
    <col min="10508" max="10508" width="15" style="348" customWidth="1"/>
    <col min="10509" max="10509" width="13.6640625" style="348" customWidth="1"/>
    <col min="10510" max="10510" width="14" style="348" customWidth="1"/>
    <col min="10511" max="10511" width="4.33203125" style="348" customWidth="1"/>
    <col min="10512" max="10512" width="4.88671875" style="348" customWidth="1"/>
    <col min="10513" max="10513" width="9.5546875" style="348" customWidth="1"/>
    <col min="10514" max="10514" width="20.109375" style="348" customWidth="1"/>
    <col min="10515" max="10515" width="11.109375" style="348" customWidth="1"/>
    <col min="10516" max="10516" width="12.44140625" style="348" customWidth="1"/>
    <col min="10517" max="10517" width="13.88671875" style="348" customWidth="1"/>
    <col min="10518" max="10518" width="7.6640625" style="348" customWidth="1"/>
    <col min="10519" max="10519" width="9" style="348" customWidth="1"/>
    <col min="10520" max="10520" width="11.5546875" style="348" customWidth="1"/>
    <col min="10521" max="10521" width="13.33203125" style="348" customWidth="1"/>
    <col min="10522" max="10522" width="29" style="348" customWidth="1"/>
    <col min="10523" max="10523" width="13.6640625" style="348" customWidth="1"/>
    <col min="10524" max="10760" width="9.109375" style="348" customWidth="1"/>
    <col min="10761" max="10761" width="4.109375" style="348" customWidth="1"/>
    <col min="10762" max="10762" width="13.6640625" style="348" customWidth="1"/>
    <col min="10763" max="10763" width="9.5546875" style="348" customWidth="1"/>
    <col min="10764" max="10764" width="15" style="348" customWidth="1"/>
    <col min="10765" max="10765" width="13.6640625" style="348" customWidth="1"/>
    <col min="10766" max="10766" width="14" style="348" customWidth="1"/>
    <col min="10767" max="10767" width="4.33203125" style="348" customWidth="1"/>
    <col min="10768" max="10768" width="4.88671875" style="348" customWidth="1"/>
    <col min="10769" max="10769" width="9.5546875" style="348" customWidth="1"/>
    <col min="10770" max="10770" width="20.109375" style="348" customWidth="1"/>
    <col min="10771" max="10771" width="11.109375" style="348" customWidth="1"/>
    <col min="10772" max="10772" width="12.44140625" style="348" customWidth="1"/>
    <col min="10773" max="10773" width="13.88671875" style="348" customWidth="1"/>
    <col min="10774" max="10774" width="7.6640625" style="348" customWidth="1"/>
    <col min="10775" max="10775" width="9" style="348" customWidth="1"/>
    <col min="10776" max="10776" width="11.5546875" style="348" customWidth="1"/>
    <col min="10777" max="10777" width="13.33203125" style="348" customWidth="1"/>
    <col min="10778" max="10778" width="29" style="348" customWidth="1"/>
    <col min="10779" max="10779" width="13.6640625" style="348" customWidth="1"/>
    <col min="10780" max="11016" width="9.109375" style="348" customWidth="1"/>
    <col min="11017" max="11017" width="4.109375" style="348" customWidth="1"/>
    <col min="11018" max="11018" width="13.6640625" style="348" customWidth="1"/>
    <col min="11019" max="11019" width="9.5546875" style="348" customWidth="1"/>
    <col min="11020" max="11020" width="15" style="348" customWidth="1"/>
    <col min="11021" max="11021" width="13.6640625" style="348" customWidth="1"/>
    <col min="11022" max="11022" width="14" style="348" customWidth="1"/>
    <col min="11023" max="11023" width="4.33203125" style="348" customWidth="1"/>
    <col min="11024" max="11024" width="4.88671875" style="348" customWidth="1"/>
    <col min="11025" max="11025" width="9.5546875" style="348" customWidth="1"/>
    <col min="11026" max="11026" width="20.109375" style="348" customWidth="1"/>
    <col min="11027" max="11027" width="11.109375" style="348" customWidth="1"/>
    <col min="11028" max="11028" width="12.44140625" style="348" customWidth="1"/>
    <col min="11029" max="11029" width="13.88671875" style="348" customWidth="1"/>
    <col min="11030" max="11030" width="7.6640625" style="348" customWidth="1"/>
    <col min="11031" max="11031" width="9" style="348" customWidth="1"/>
    <col min="11032" max="11032" width="11.5546875" style="348" customWidth="1"/>
    <col min="11033" max="11033" width="13.33203125" style="348" customWidth="1"/>
    <col min="11034" max="11034" width="29" style="348" customWidth="1"/>
    <col min="11035" max="11035" width="13.6640625" style="348" customWidth="1"/>
    <col min="11036" max="11272" width="9.109375" style="348" customWidth="1"/>
    <col min="11273" max="11273" width="4.109375" style="348" customWidth="1"/>
    <col min="11274" max="11274" width="13.6640625" style="348" customWidth="1"/>
    <col min="11275" max="11275" width="9.5546875" style="348" customWidth="1"/>
    <col min="11276" max="11276" width="15" style="348" customWidth="1"/>
    <col min="11277" max="11277" width="13.6640625" style="348" customWidth="1"/>
    <col min="11278" max="11278" width="14" style="348" customWidth="1"/>
    <col min="11279" max="11279" width="4.33203125" style="348" customWidth="1"/>
    <col min="11280" max="11280" width="4.88671875" style="348" customWidth="1"/>
    <col min="11281" max="11281" width="9.5546875" style="348" customWidth="1"/>
    <col min="11282" max="11282" width="20.109375" style="348" customWidth="1"/>
    <col min="11283" max="11283" width="11.109375" style="348" customWidth="1"/>
    <col min="11284" max="11284" width="12.44140625" style="348" customWidth="1"/>
    <col min="11285" max="11285" width="13.88671875" style="348" customWidth="1"/>
    <col min="11286" max="11286" width="7.6640625" style="348" customWidth="1"/>
    <col min="11287" max="11287" width="9" style="348" customWidth="1"/>
    <col min="11288" max="11288" width="11.5546875" style="348" customWidth="1"/>
    <col min="11289" max="11289" width="13.33203125" style="348" customWidth="1"/>
    <col min="11290" max="11290" width="29" style="348" customWidth="1"/>
    <col min="11291" max="11291" width="13.6640625" style="348" customWidth="1"/>
    <col min="11292" max="11528" width="9.109375" style="348" customWidth="1"/>
    <col min="11529" max="11529" width="4.109375" style="348" customWidth="1"/>
    <col min="11530" max="11530" width="13.6640625" style="348" customWidth="1"/>
    <col min="11531" max="11531" width="9.5546875" style="348" customWidth="1"/>
    <col min="11532" max="11532" width="15" style="348" customWidth="1"/>
    <col min="11533" max="11533" width="13.6640625" style="348" customWidth="1"/>
    <col min="11534" max="11534" width="14" style="348" customWidth="1"/>
    <col min="11535" max="11535" width="4.33203125" style="348" customWidth="1"/>
    <col min="11536" max="11536" width="4.88671875" style="348" customWidth="1"/>
    <col min="11537" max="11537" width="9.5546875" style="348" customWidth="1"/>
    <col min="11538" max="11538" width="20.109375" style="348" customWidth="1"/>
    <col min="11539" max="11539" width="11.109375" style="348" customWidth="1"/>
    <col min="11540" max="11540" width="12.44140625" style="348" customWidth="1"/>
    <col min="11541" max="11541" width="13.88671875" style="348" customWidth="1"/>
    <col min="11542" max="11542" width="7.6640625" style="348" customWidth="1"/>
    <col min="11543" max="11543" width="9" style="348" customWidth="1"/>
    <col min="11544" max="11544" width="11.5546875" style="348" customWidth="1"/>
    <col min="11545" max="11545" width="13.33203125" style="348" customWidth="1"/>
    <col min="11546" max="11546" width="29" style="348" customWidth="1"/>
    <col min="11547" max="11547" width="13.6640625" style="348" customWidth="1"/>
    <col min="11548" max="11784" width="9.109375" style="348" customWidth="1"/>
    <col min="11785" max="11785" width="4.109375" style="348" customWidth="1"/>
    <col min="11786" max="11786" width="13.6640625" style="348" customWidth="1"/>
    <col min="11787" max="11787" width="9.5546875" style="348" customWidth="1"/>
    <col min="11788" max="11788" width="15" style="348" customWidth="1"/>
    <col min="11789" max="11789" width="13.6640625" style="348" customWidth="1"/>
    <col min="11790" max="11790" width="14" style="348" customWidth="1"/>
    <col min="11791" max="11791" width="4.33203125" style="348" customWidth="1"/>
    <col min="11792" max="11792" width="4.88671875" style="348" customWidth="1"/>
    <col min="11793" max="11793" width="9.5546875" style="348" customWidth="1"/>
    <col min="11794" max="11794" width="20.109375" style="348" customWidth="1"/>
    <col min="11795" max="11795" width="11.109375" style="348" customWidth="1"/>
    <col min="11796" max="11796" width="12.44140625" style="348" customWidth="1"/>
    <col min="11797" max="11797" width="13.88671875" style="348" customWidth="1"/>
    <col min="11798" max="11798" width="7.6640625" style="348" customWidth="1"/>
    <col min="11799" max="11799" width="9" style="348" customWidth="1"/>
    <col min="11800" max="11800" width="11.5546875" style="348" customWidth="1"/>
    <col min="11801" max="11801" width="13.33203125" style="348" customWidth="1"/>
    <col min="11802" max="11802" width="29" style="348" customWidth="1"/>
    <col min="11803" max="11803" width="13.6640625" style="348" customWidth="1"/>
    <col min="11804" max="12040" width="9.109375" style="348" customWidth="1"/>
    <col min="12041" max="12041" width="4.109375" style="348" customWidth="1"/>
    <col min="12042" max="12042" width="13.6640625" style="348" customWidth="1"/>
    <col min="12043" max="12043" width="9.5546875" style="348" customWidth="1"/>
    <col min="12044" max="12044" width="15" style="348" customWidth="1"/>
    <col min="12045" max="12045" width="13.6640625" style="348" customWidth="1"/>
    <col min="12046" max="12046" width="14" style="348" customWidth="1"/>
    <col min="12047" max="12047" width="4.33203125" style="348" customWidth="1"/>
    <col min="12048" max="12048" width="4.88671875" style="348" customWidth="1"/>
    <col min="12049" max="12049" width="9.5546875" style="348" customWidth="1"/>
    <col min="12050" max="12050" width="20.109375" style="348" customWidth="1"/>
    <col min="12051" max="12051" width="11.109375" style="348" customWidth="1"/>
    <col min="12052" max="12052" width="12.44140625" style="348" customWidth="1"/>
    <col min="12053" max="12053" width="13.88671875" style="348" customWidth="1"/>
    <col min="12054" max="12054" width="7.6640625" style="348" customWidth="1"/>
    <col min="12055" max="12055" width="9" style="348" customWidth="1"/>
    <col min="12056" max="12056" width="11.5546875" style="348" customWidth="1"/>
    <col min="12057" max="12057" width="13.33203125" style="348" customWidth="1"/>
    <col min="12058" max="12058" width="29" style="348" customWidth="1"/>
    <col min="12059" max="12059" width="13.6640625" style="348" customWidth="1"/>
    <col min="12060" max="12296" width="9.109375" style="348" customWidth="1"/>
    <col min="12297" max="12297" width="4.109375" style="348" customWidth="1"/>
    <col min="12298" max="12298" width="13.6640625" style="348" customWidth="1"/>
    <col min="12299" max="12299" width="9.5546875" style="348" customWidth="1"/>
    <col min="12300" max="12300" width="15" style="348" customWidth="1"/>
    <col min="12301" max="12301" width="13.6640625" style="348" customWidth="1"/>
    <col min="12302" max="12302" width="14" style="348" customWidth="1"/>
    <col min="12303" max="12303" width="4.33203125" style="348" customWidth="1"/>
    <col min="12304" max="12304" width="4.88671875" style="348" customWidth="1"/>
    <col min="12305" max="12305" width="9.5546875" style="348" customWidth="1"/>
    <col min="12306" max="12306" width="20.109375" style="348" customWidth="1"/>
    <col min="12307" max="12307" width="11.109375" style="348" customWidth="1"/>
    <col min="12308" max="12308" width="12.44140625" style="348" customWidth="1"/>
    <col min="12309" max="12309" width="13.88671875" style="348" customWidth="1"/>
    <col min="12310" max="12310" width="7.6640625" style="348" customWidth="1"/>
    <col min="12311" max="12311" width="9" style="348" customWidth="1"/>
    <col min="12312" max="12312" width="11.5546875" style="348" customWidth="1"/>
    <col min="12313" max="12313" width="13.33203125" style="348" customWidth="1"/>
    <col min="12314" max="12314" width="29" style="348" customWidth="1"/>
    <col min="12315" max="12315" width="13.6640625" style="348" customWidth="1"/>
    <col min="12316" max="12552" width="9.109375" style="348" customWidth="1"/>
    <col min="12553" max="12553" width="4.109375" style="348" customWidth="1"/>
    <col min="12554" max="12554" width="13.6640625" style="348" customWidth="1"/>
    <col min="12555" max="12555" width="9.5546875" style="348" customWidth="1"/>
    <col min="12556" max="12556" width="15" style="348" customWidth="1"/>
    <col min="12557" max="12557" width="13.6640625" style="348" customWidth="1"/>
    <col min="12558" max="12558" width="14" style="348" customWidth="1"/>
    <col min="12559" max="12559" width="4.33203125" style="348" customWidth="1"/>
    <col min="12560" max="12560" width="4.88671875" style="348" customWidth="1"/>
    <col min="12561" max="12561" width="9.5546875" style="348" customWidth="1"/>
    <col min="12562" max="12562" width="20.109375" style="348" customWidth="1"/>
    <col min="12563" max="12563" width="11.109375" style="348" customWidth="1"/>
    <col min="12564" max="12564" width="12.44140625" style="348" customWidth="1"/>
    <col min="12565" max="12565" width="13.88671875" style="348" customWidth="1"/>
    <col min="12566" max="12566" width="7.6640625" style="348" customWidth="1"/>
    <col min="12567" max="12567" width="9" style="348" customWidth="1"/>
    <col min="12568" max="12568" width="11.5546875" style="348" customWidth="1"/>
    <col min="12569" max="12569" width="13.33203125" style="348" customWidth="1"/>
    <col min="12570" max="12570" width="29" style="348" customWidth="1"/>
    <col min="12571" max="12571" width="13.6640625" style="348" customWidth="1"/>
    <col min="12572" max="12808" width="9.109375" style="348" customWidth="1"/>
    <col min="12809" max="12809" width="4.109375" style="348" customWidth="1"/>
    <col min="12810" max="12810" width="13.6640625" style="348" customWidth="1"/>
    <col min="12811" max="12811" width="9.5546875" style="348" customWidth="1"/>
    <col min="12812" max="12812" width="15" style="348" customWidth="1"/>
    <col min="12813" max="12813" width="13.6640625" style="348" customWidth="1"/>
    <col min="12814" max="12814" width="14" style="348" customWidth="1"/>
    <col min="12815" max="12815" width="4.33203125" style="348" customWidth="1"/>
    <col min="12816" max="12816" width="4.88671875" style="348" customWidth="1"/>
    <col min="12817" max="12817" width="9.5546875" style="348" customWidth="1"/>
    <col min="12818" max="12818" width="20.109375" style="348" customWidth="1"/>
    <col min="12819" max="12819" width="11.109375" style="348" customWidth="1"/>
    <col min="12820" max="12820" width="12.44140625" style="348" customWidth="1"/>
    <col min="12821" max="12821" width="13.88671875" style="348" customWidth="1"/>
    <col min="12822" max="12822" width="7.6640625" style="348" customWidth="1"/>
    <col min="12823" max="12823" width="9" style="348" customWidth="1"/>
    <col min="12824" max="12824" width="11.5546875" style="348" customWidth="1"/>
    <col min="12825" max="12825" width="13.33203125" style="348" customWidth="1"/>
    <col min="12826" max="12826" width="29" style="348" customWidth="1"/>
    <col min="12827" max="12827" width="13.6640625" style="348" customWidth="1"/>
    <col min="12828" max="13064" width="9.109375" style="348" customWidth="1"/>
    <col min="13065" max="13065" width="4.109375" style="348" customWidth="1"/>
    <col min="13066" max="13066" width="13.6640625" style="348" customWidth="1"/>
    <col min="13067" max="13067" width="9.5546875" style="348" customWidth="1"/>
    <col min="13068" max="13068" width="15" style="348" customWidth="1"/>
    <col min="13069" max="13069" width="13.6640625" style="348" customWidth="1"/>
    <col min="13070" max="13070" width="14" style="348" customWidth="1"/>
    <col min="13071" max="13071" width="4.33203125" style="348" customWidth="1"/>
    <col min="13072" max="13072" width="4.88671875" style="348" customWidth="1"/>
    <col min="13073" max="13073" width="9.5546875" style="348" customWidth="1"/>
    <col min="13074" max="13074" width="20.109375" style="348" customWidth="1"/>
    <col min="13075" max="13075" width="11.109375" style="348" customWidth="1"/>
    <col min="13076" max="13076" width="12.44140625" style="348" customWidth="1"/>
    <col min="13077" max="13077" width="13.88671875" style="348" customWidth="1"/>
    <col min="13078" max="13078" width="7.6640625" style="348" customWidth="1"/>
    <col min="13079" max="13079" width="9" style="348" customWidth="1"/>
    <col min="13080" max="13080" width="11.5546875" style="348" customWidth="1"/>
    <col min="13081" max="13081" width="13.33203125" style="348" customWidth="1"/>
    <col min="13082" max="13082" width="29" style="348" customWidth="1"/>
    <col min="13083" max="13083" width="13.6640625" style="348" customWidth="1"/>
    <col min="13084" max="13320" width="9.109375" style="348" customWidth="1"/>
    <col min="13321" max="13321" width="4.109375" style="348" customWidth="1"/>
    <col min="13322" max="13322" width="13.6640625" style="348" customWidth="1"/>
    <col min="13323" max="13323" width="9.5546875" style="348" customWidth="1"/>
    <col min="13324" max="13324" width="15" style="348" customWidth="1"/>
    <col min="13325" max="13325" width="13.6640625" style="348" customWidth="1"/>
    <col min="13326" max="13326" width="14" style="348" customWidth="1"/>
    <col min="13327" max="13327" width="4.33203125" style="348" customWidth="1"/>
    <col min="13328" max="13328" width="4.88671875" style="348" customWidth="1"/>
    <col min="13329" max="13329" width="9.5546875" style="348" customWidth="1"/>
    <col min="13330" max="13330" width="20.109375" style="348" customWidth="1"/>
    <col min="13331" max="13331" width="11.109375" style="348" customWidth="1"/>
    <col min="13332" max="13332" width="12.44140625" style="348" customWidth="1"/>
    <col min="13333" max="13333" width="13.88671875" style="348" customWidth="1"/>
    <col min="13334" max="13334" width="7.6640625" style="348" customWidth="1"/>
    <col min="13335" max="13335" width="9" style="348" customWidth="1"/>
    <col min="13336" max="13336" width="11.5546875" style="348" customWidth="1"/>
    <col min="13337" max="13337" width="13.33203125" style="348" customWidth="1"/>
    <col min="13338" max="13338" width="29" style="348" customWidth="1"/>
    <col min="13339" max="13339" width="13.6640625" style="348" customWidth="1"/>
    <col min="13340" max="13576" width="9.109375" style="348" customWidth="1"/>
    <col min="13577" max="13577" width="4.109375" style="348" customWidth="1"/>
    <col min="13578" max="13578" width="13.6640625" style="348" customWidth="1"/>
    <col min="13579" max="13579" width="9.5546875" style="348" customWidth="1"/>
    <col min="13580" max="13580" width="15" style="348" customWidth="1"/>
    <col min="13581" max="13581" width="13.6640625" style="348" customWidth="1"/>
    <col min="13582" max="13582" width="14" style="348" customWidth="1"/>
    <col min="13583" max="13583" width="4.33203125" style="348" customWidth="1"/>
    <col min="13584" max="13584" width="4.88671875" style="348" customWidth="1"/>
    <col min="13585" max="13585" width="9.5546875" style="348" customWidth="1"/>
    <col min="13586" max="13586" width="20.109375" style="348" customWidth="1"/>
    <col min="13587" max="13587" width="11.109375" style="348" customWidth="1"/>
    <col min="13588" max="13588" width="12.44140625" style="348" customWidth="1"/>
    <col min="13589" max="13589" width="13.88671875" style="348" customWidth="1"/>
    <col min="13590" max="13590" width="7.6640625" style="348" customWidth="1"/>
    <col min="13591" max="13591" width="9" style="348" customWidth="1"/>
    <col min="13592" max="13592" width="11.5546875" style="348" customWidth="1"/>
    <col min="13593" max="13593" width="13.33203125" style="348" customWidth="1"/>
    <col min="13594" max="13594" width="29" style="348" customWidth="1"/>
    <col min="13595" max="13595" width="13.6640625" style="348" customWidth="1"/>
    <col min="13596" max="13832" width="9.109375" style="348" customWidth="1"/>
    <col min="13833" max="13833" width="4.109375" style="348" customWidth="1"/>
    <col min="13834" max="13834" width="13.6640625" style="348" customWidth="1"/>
    <col min="13835" max="13835" width="9.5546875" style="348" customWidth="1"/>
    <col min="13836" max="13836" width="15" style="348" customWidth="1"/>
    <col min="13837" max="13837" width="13.6640625" style="348" customWidth="1"/>
    <col min="13838" max="13838" width="14" style="348" customWidth="1"/>
    <col min="13839" max="13839" width="4.33203125" style="348" customWidth="1"/>
    <col min="13840" max="13840" width="4.88671875" style="348" customWidth="1"/>
    <col min="13841" max="13841" width="9.5546875" style="348" customWidth="1"/>
    <col min="13842" max="13842" width="20.109375" style="348" customWidth="1"/>
    <col min="13843" max="13843" width="11.109375" style="348" customWidth="1"/>
    <col min="13844" max="13844" width="12.44140625" style="348" customWidth="1"/>
    <col min="13845" max="13845" width="13.88671875" style="348" customWidth="1"/>
    <col min="13846" max="13846" width="7.6640625" style="348" customWidth="1"/>
    <col min="13847" max="13847" width="9" style="348" customWidth="1"/>
    <col min="13848" max="13848" width="11.5546875" style="348" customWidth="1"/>
    <col min="13849" max="13849" width="13.33203125" style="348" customWidth="1"/>
    <col min="13850" max="13850" width="29" style="348" customWidth="1"/>
    <col min="13851" max="13851" width="13.6640625" style="348" customWidth="1"/>
    <col min="13852" max="14088" width="9.109375" style="348" customWidth="1"/>
    <col min="14089" max="14089" width="4.109375" style="348" customWidth="1"/>
    <col min="14090" max="14090" width="13.6640625" style="348" customWidth="1"/>
    <col min="14091" max="14091" width="9.5546875" style="348" customWidth="1"/>
    <col min="14092" max="14092" width="15" style="348" customWidth="1"/>
    <col min="14093" max="14093" width="13.6640625" style="348" customWidth="1"/>
    <col min="14094" max="14094" width="14" style="348" customWidth="1"/>
    <col min="14095" max="14095" width="4.33203125" style="348" customWidth="1"/>
    <col min="14096" max="14096" width="4.88671875" style="348" customWidth="1"/>
    <col min="14097" max="14097" width="9.5546875" style="348" customWidth="1"/>
    <col min="14098" max="14098" width="20.109375" style="348" customWidth="1"/>
    <col min="14099" max="14099" width="11.109375" style="348" customWidth="1"/>
    <col min="14100" max="14100" width="12.44140625" style="348" customWidth="1"/>
    <col min="14101" max="14101" width="13.88671875" style="348" customWidth="1"/>
    <col min="14102" max="14102" width="7.6640625" style="348" customWidth="1"/>
    <col min="14103" max="14103" width="9" style="348" customWidth="1"/>
    <col min="14104" max="14104" width="11.5546875" style="348" customWidth="1"/>
    <col min="14105" max="14105" width="13.33203125" style="348" customWidth="1"/>
    <col min="14106" max="14106" width="29" style="348" customWidth="1"/>
    <col min="14107" max="14107" width="13.6640625" style="348" customWidth="1"/>
    <col min="14108" max="14344" width="9.109375" style="348" customWidth="1"/>
    <col min="14345" max="14345" width="4.109375" style="348" customWidth="1"/>
    <col min="14346" max="14346" width="13.6640625" style="348" customWidth="1"/>
    <col min="14347" max="14347" width="9.5546875" style="348" customWidth="1"/>
    <col min="14348" max="14348" width="15" style="348" customWidth="1"/>
    <col min="14349" max="14349" width="13.6640625" style="348" customWidth="1"/>
    <col min="14350" max="14350" width="14" style="348" customWidth="1"/>
    <col min="14351" max="14351" width="4.33203125" style="348" customWidth="1"/>
    <col min="14352" max="14352" width="4.88671875" style="348" customWidth="1"/>
    <col min="14353" max="14353" width="9.5546875" style="348" customWidth="1"/>
    <col min="14354" max="14354" width="20.109375" style="348" customWidth="1"/>
    <col min="14355" max="14355" width="11.109375" style="348" customWidth="1"/>
    <col min="14356" max="14356" width="12.44140625" style="348" customWidth="1"/>
    <col min="14357" max="14357" width="13.88671875" style="348" customWidth="1"/>
    <col min="14358" max="14358" width="7.6640625" style="348" customWidth="1"/>
    <col min="14359" max="14359" width="9" style="348" customWidth="1"/>
    <col min="14360" max="14360" width="11.5546875" style="348" customWidth="1"/>
    <col min="14361" max="14361" width="13.33203125" style="348" customWidth="1"/>
    <col min="14362" max="14362" width="29" style="348" customWidth="1"/>
    <col min="14363" max="14363" width="13.6640625" style="348" customWidth="1"/>
    <col min="14364" max="14600" width="9.109375" style="348" customWidth="1"/>
    <col min="14601" max="14601" width="4.109375" style="348" customWidth="1"/>
    <col min="14602" max="14602" width="13.6640625" style="348" customWidth="1"/>
    <col min="14603" max="14603" width="9.5546875" style="348" customWidth="1"/>
    <col min="14604" max="14604" width="15" style="348" customWidth="1"/>
    <col min="14605" max="14605" width="13.6640625" style="348" customWidth="1"/>
    <col min="14606" max="14606" width="14" style="348" customWidth="1"/>
    <col min="14607" max="14607" width="4.33203125" style="348" customWidth="1"/>
    <col min="14608" max="14608" width="4.88671875" style="348" customWidth="1"/>
    <col min="14609" max="14609" width="9.5546875" style="348" customWidth="1"/>
    <col min="14610" max="14610" width="20.109375" style="348" customWidth="1"/>
    <col min="14611" max="14611" width="11.109375" style="348" customWidth="1"/>
    <col min="14612" max="14612" width="12.44140625" style="348" customWidth="1"/>
    <col min="14613" max="14613" width="13.88671875" style="348" customWidth="1"/>
    <col min="14614" max="14614" width="7.6640625" style="348" customWidth="1"/>
    <col min="14615" max="14615" width="9" style="348" customWidth="1"/>
    <col min="14616" max="14616" width="11.5546875" style="348" customWidth="1"/>
    <col min="14617" max="14617" width="13.33203125" style="348" customWidth="1"/>
    <col min="14618" max="14618" width="29" style="348" customWidth="1"/>
    <col min="14619" max="14619" width="13.6640625" style="348" customWidth="1"/>
    <col min="14620" max="14856" width="9.109375" style="348" customWidth="1"/>
    <col min="14857" max="14857" width="4.109375" style="348" customWidth="1"/>
    <col min="14858" max="14858" width="13.6640625" style="348" customWidth="1"/>
    <col min="14859" max="14859" width="9.5546875" style="348" customWidth="1"/>
    <col min="14860" max="14860" width="15" style="348" customWidth="1"/>
    <col min="14861" max="14861" width="13.6640625" style="348" customWidth="1"/>
    <col min="14862" max="14862" width="14" style="348" customWidth="1"/>
    <col min="14863" max="14863" width="4.33203125" style="348" customWidth="1"/>
    <col min="14864" max="14864" width="4.88671875" style="348" customWidth="1"/>
    <col min="14865" max="14865" width="9.5546875" style="348" customWidth="1"/>
    <col min="14866" max="14866" width="20.109375" style="348" customWidth="1"/>
    <col min="14867" max="14867" width="11.109375" style="348" customWidth="1"/>
    <col min="14868" max="14868" width="12.44140625" style="348" customWidth="1"/>
    <col min="14869" max="14869" width="13.88671875" style="348" customWidth="1"/>
    <col min="14870" max="14870" width="7.6640625" style="348" customWidth="1"/>
    <col min="14871" max="14871" width="9" style="348" customWidth="1"/>
    <col min="14872" max="14872" width="11.5546875" style="348" customWidth="1"/>
    <col min="14873" max="14873" width="13.33203125" style="348" customWidth="1"/>
    <col min="14874" max="14874" width="29" style="348" customWidth="1"/>
    <col min="14875" max="14875" width="13.6640625" style="348" customWidth="1"/>
    <col min="14876" max="15112" width="9.109375" style="348" customWidth="1"/>
    <col min="15113" max="15113" width="4.109375" style="348" customWidth="1"/>
    <col min="15114" max="15114" width="13.6640625" style="348" customWidth="1"/>
    <col min="15115" max="15115" width="9.5546875" style="348" customWidth="1"/>
    <col min="15116" max="15116" width="15" style="348" customWidth="1"/>
    <col min="15117" max="15117" width="13.6640625" style="348" customWidth="1"/>
    <col min="15118" max="15118" width="14" style="348" customWidth="1"/>
    <col min="15119" max="15119" width="4.33203125" style="348" customWidth="1"/>
    <col min="15120" max="15120" width="4.88671875" style="348" customWidth="1"/>
    <col min="15121" max="15121" width="9.5546875" style="348" customWidth="1"/>
    <col min="15122" max="15122" width="20.109375" style="348" customWidth="1"/>
    <col min="15123" max="15123" width="11.109375" style="348" customWidth="1"/>
    <col min="15124" max="15124" width="12.44140625" style="348" customWidth="1"/>
    <col min="15125" max="15125" width="13.88671875" style="348" customWidth="1"/>
    <col min="15126" max="15126" width="7.6640625" style="348" customWidth="1"/>
    <col min="15127" max="15127" width="9" style="348" customWidth="1"/>
    <col min="15128" max="15128" width="11.5546875" style="348" customWidth="1"/>
    <col min="15129" max="15129" width="13.33203125" style="348" customWidth="1"/>
    <col min="15130" max="15130" width="29" style="348" customWidth="1"/>
    <col min="15131" max="15131" width="13.6640625" style="348" customWidth="1"/>
    <col min="15132" max="15368" width="9.109375" style="348" customWidth="1"/>
    <col min="15369" max="15369" width="4.109375" style="348" customWidth="1"/>
    <col min="15370" max="15370" width="13.6640625" style="348" customWidth="1"/>
    <col min="15371" max="15371" width="9.5546875" style="348" customWidth="1"/>
    <col min="15372" max="15372" width="15" style="348" customWidth="1"/>
    <col min="15373" max="15373" width="13.6640625" style="348" customWidth="1"/>
    <col min="15374" max="15374" width="14" style="348" customWidth="1"/>
    <col min="15375" max="15375" width="4.33203125" style="348" customWidth="1"/>
    <col min="15376" max="15376" width="4.88671875" style="348" customWidth="1"/>
    <col min="15377" max="15377" width="9.5546875" style="348" customWidth="1"/>
    <col min="15378" max="15378" width="20.109375" style="348" customWidth="1"/>
    <col min="15379" max="15379" width="11.109375" style="348" customWidth="1"/>
    <col min="15380" max="15380" width="12.44140625" style="348" customWidth="1"/>
    <col min="15381" max="15381" width="13.88671875" style="348" customWidth="1"/>
    <col min="15382" max="15382" width="7.6640625" style="348" customWidth="1"/>
    <col min="15383" max="15383" width="9" style="348" customWidth="1"/>
    <col min="15384" max="15384" width="11.5546875" style="348" customWidth="1"/>
    <col min="15385" max="15385" width="13.33203125" style="348" customWidth="1"/>
    <col min="15386" max="15386" width="29" style="348" customWidth="1"/>
    <col min="15387" max="15387" width="13.6640625" style="348" customWidth="1"/>
    <col min="15388" max="15624" width="9.109375" style="348" customWidth="1"/>
    <col min="15625" max="15625" width="4.109375" style="348" customWidth="1"/>
    <col min="15626" max="15626" width="13.6640625" style="348" customWidth="1"/>
    <col min="15627" max="15627" width="9.5546875" style="348" customWidth="1"/>
    <col min="15628" max="15628" width="15" style="348" customWidth="1"/>
    <col min="15629" max="15629" width="13.6640625" style="348" customWidth="1"/>
    <col min="15630" max="15630" width="14" style="348" customWidth="1"/>
    <col min="15631" max="15631" width="4.33203125" style="348" customWidth="1"/>
    <col min="15632" max="15632" width="4.88671875" style="348" customWidth="1"/>
    <col min="15633" max="15633" width="9.5546875" style="348" customWidth="1"/>
    <col min="15634" max="15634" width="20.109375" style="348" customWidth="1"/>
    <col min="15635" max="15635" width="11.109375" style="348" customWidth="1"/>
    <col min="15636" max="15636" width="12.44140625" style="348" customWidth="1"/>
    <col min="15637" max="15637" width="13.88671875" style="348" customWidth="1"/>
    <col min="15638" max="15638" width="7.6640625" style="348" customWidth="1"/>
    <col min="15639" max="15639" width="9" style="348" customWidth="1"/>
    <col min="15640" max="15640" width="11.5546875" style="348" customWidth="1"/>
    <col min="15641" max="15641" width="13.33203125" style="348" customWidth="1"/>
    <col min="15642" max="15642" width="29" style="348" customWidth="1"/>
    <col min="15643" max="15643" width="13.6640625" style="348" customWidth="1"/>
    <col min="15644" max="15880" width="9.109375" style="348" customWidth="1"/>
    <col min="15881" max="15881" width="4.109375" style="348" customWidth="1"/>
    <col min="15882" max="15882" width="13.6640625" style="348" customWidth="1"/>
    <col min="15883" max="15883" width="9.5546875" style="348" customWidth="1"/>
    <col min="15884" max="15884" width="15" style="348" customWidth="1"/>
    <col min="15885" max="15885" width="13.6640625" style="348" customWidth="1"/>
    <col min="15886" max="15886" width="14" style="348" customWidth="1"/>
    <col min="15887" max="15887" width="4.33203125" style="348" customWidth="1"/>
    <col min="15888" max="15888" width="4.88671875" style="348" customWidth="1"/>
    <col min="15889" max="15889" width="9.5546875" style="348" customWidth="1"/>
    <col min="15890" max="15890" width="20.109375" style="348" customWidth="1"/>
    <col min="15891" max="15891" width="11.109375" style="348" customWidth="1"/>
    <col min="15892" max="15892" width="12.44140625" style="348" customWidth="1"/>
    <col min="15893" max="15893" width="13.88671875" style="348" customWidth="1"/>
    <col min="15894" max="15894" width="7.6640625" style="348" customWidth="1"/>
    <col min="15895" max="15895" width="9" style="348" customWidth="1"/>
    <col min="15896" max="15896" width="11.5546875" style="348" customWidth="1"/>
    <col min="15897" max="15897" width="13.33203125" style="348" customWidth="1"/>
    <col min="15898" max="15898" width="29" style="348" customWidth="1"/>
    <col min="15899" max="15899" width="13.6640625" style="348" customWidth="1"/>
    <col min="15900" max="16136" width="9.109375" style="348" customWidth="1"/>
    <col min="16137" max="16137" width="4.109375" style="348" customWidth="1"/>
    <col min="16138" max="16138" width="13.6640625" style="348" customWidth="1"/>
    <col min="16139" max="16139" width="9.5546875" style="348" customWidth="1"/>
    <col min="16140" max="16140" width="15" style="348" customWidth="1"/>
    <col min="16141" max="16141" width="13.6640625" style="348" customWidth="1"/>
    <col min="16142" max="16142" width="14" style="348" customWidth="1"/>
    <col min="16143" max="16143" width="4.33203125" style="348" customWidth="1"/>
    <col min="16144" max="16144" width="4.88671875" style="348" customWidth="1"/>
    <col min="16145" max="16145" width="9.5546875" style="348" customWidth="1"/>
    <col min="16146" max="16146" width="20.109375" style="348" customWidth="1"/>
    <col min="16147" max="16147" width="11.109375" style="348" customWidth="1"/>
    <col min="16148" max="16148" width="12.44140625" style="348" customWidth="1"/>
    <col min="16149" max="16149" width="13.88671875" style="348" customWidth="1"/>
    <col min="16150" max="16150" width="7.6640625" style="348" customWidth="1"/>
    <col min="16151" max="16151" width="9" style="348" customWidth="1"/>
    <col min="16152" max="16152" width="11.5546875" style="348" customWidth="1"/>
    <col min="16153" max="16153" width="13.33203125" style="348" customWidth="1"/>
    <col min="16154" max="16154" width="29" style="348" customWidth="1"/>
    <col min="16155" max="16155" width="13.6640625" style="348" customWidth="1"/>
    <col min="16156" max="16384" width="9.109375" style="348" customWidth="1"/>
  </cols>
  <sheetData>
    <row r="1" spans="1:28" ht="15" customHeight="1">
      <c r="W1" s="709" t="s">
        <v>0</v>
      </c>
      <c r="X1" s="753"/>
      <c r="Y1" s="752"/>
      <c r="Z1" s="30"/>
    </row>
    <row r="2" spans="1:28" ht="42" customHeight="1">
      <c r="B2" s="44"/>
      <c r="C2" s="109"/>
      <c r="D2" s="44"/>
      <c r="E2" s="697" t="s">
        <v>65</v>
      </c>
      <c r="F2" s="751"/>
      <c r="G2" s="751"/>
      <c r="H2" s="751"/>
      <c r="I2" s="751"/>
      <c r="J2" s="752"/>
      <c r="K2" s="751"/>
      <c r="L2" s="751"/>
      <c r="M2" s="751"/>
      <c r="N2" s="751"/>
      <c r="O2" s="753"/>
      <c r="P2" s="752"/>
      <c r="Q2" s="753"/>
      <c r="R2" s="753"/>
      <c r="S2" s="753"/>
      <c r="T2" s="343"/>
      <c r="U2" s="343"/>
      <c r="V2" s="343"/>
      <c r="W2" s="753"/>
      <c r="X2" s="753"/>
      <c r="Y2" s="752"/>
      <c r="Z2" s="30"/>
      <c r="AA2" s="66"/>
    </row>
    <row r="3" spans="1:28" ht="20.399999999999999" customHeight="1">
      <c r="A3" s="32"/>
      <c r="B3" s="45"/>
      <c r="C3" s="110"/>
      <c r="D3" s="45"/>
      <c r="E3" s="710" t="s">
        <v>66</v>
      </c>
      <c r="F3" s="751"/>
      <c r="G3" s="751"/>
      <c r="H3" s="751"/>
      <c r="I3" s="751"/>
      <c r="J3" s="752"/>
      <c r="K3" s="751"/>
      <c r="L3" s="751"/>
      <c r="M3" s="751"/>
      <c r="N3" s="751"/>
      <c r="O3" s="753"/>
      <c r="P3" s="752"/>
      <c r="Q3" s="753"/>
      <c r="R3" s="753"/>
      <c r="S3" s="753"/>
      <c r="T3" s="342"/>
      <c r="U3" s="342"/>
      <c r="V3" s="342"/>
      <c r="W3" s="753"/>
      <c r="X3" s="753"/>
      <c r="Y3" s="752"/>
      <c r="Z3" s="30"/>
      <c r="AA3" s="66"/>
    </row>
    <row r="4" spans="1:28" ht="15.6" customHeight="1">
      <c r="A4" s="2"/>
      <c r="B4" s="50"/>
      <c r="C4" s="111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352"/>
      <c r="R4" s="2"/>
      <c r="S4" s="2"/>
      <c r="T4" s="2"/>
      <c r="U4" s="2"/>
      <c r="V4" s="2"/>
      <c r="W4" s="753"/>
      <c r="X4" s="753"/>
      <c r="Y4" s="752"/>
      <c r="Z4" s="30"/>
      <c r="AA4" s="66"/>
    </row>
    <row r="5" spans="1:28" s="349" customFormat="1" ht="15.6" customHeight="1">
      <c r="A5" s="4"/>
      <c r="B5" s="50" t="s">
        <v>3</v>
      </c>
      <c r="C5" s="112" t="s">
        <v>67</v>
      </c>
      <c r="D5" s="46"/>
      <c r="E5" s="46"/>
      <c r="F5" s="46"/>
      <c r="G5" s="46"/>
      <c r="H5" s="46"/>
      <c r="I5" s="46"/>
      <c r="J5" s="59"/>
      <c r="K5" s="56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72"/>
      <c r="Z5" s="1"/>
      <c r="AA5" s="67"/>
      <c r="AB5" s="385"/>
    </row>
    <row r="6" spans="1:28" s="349" customFormat="1" ht="15.6" customHeight="1">
      <c r="A6" s="4"/>
      <c r="B6" s="50" t="s">
        <v>5</v>
      </c>
      <c r="C6" s="113" t="s">
        <v>68</v>
      </c>
      <c r="D6" s="46"/>
      <c r="E6" s="46"/>
      <c r="F6" s="46"/>
      <c r="G6" s="46"/>
      <c r="H6" s="46"/>
      <c r="I6" s="46"/>
      <c r="J6" s="59"/>
      <c r="K6" s="57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67"/>
      <c r="AB6" s="385"/>
    </row>
    <row r="7" spans="1:28" s="349" customFormat="1" ht="15.6" customHeight="1">
      <c r="A7" s="4"/>
      <c r="B7" s="50" t="s">
        <v>7</v>
      </c>
      <c r="C7" s="113" t="s">
        <v>69</v>
      </c>
      <c r="D7" s="46"/>
      <c r="E7" s="46"/>
      <c r="F7" s="46"/>
      <c r="G7" s="46"/>
      <c r="H7" s="46"/>
      <c r="I7" s="46"/>
      <c r="J7" s="59"/>
      <c r="K7" s="58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67"/>
      <c r="AB7" s="385"/>
    </row>
    <row r="8" spans="1:28" ht="15.6" customHeight="1">
      <c r="A8" s="2"/>
      <c r="B8" s="50"/>
      <c r="C8" s="111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352"/>
      <c r="R8" s="2"/>
      <c r="S8" s="2"/>
      <c r="T8" s="2"/>
      <c r="U8" s="2"/>
      <c r="V8" s="2"/>
      <c r="W8" s="2"/>
      <c r="X8" s="2"/>
      <c r="Y8" s="69"/>
      <c r="Z8" s="8"/>
    </row>
    <row r="9" spans="1:28" ht="14.25" customHeight="1">
      <c r="A9" s="725" t="s">
        <v>9</v>
      </c>
      <c r="B9" s="725" t="s">
        <v>10</v>
      </c>
      <c r="C9" s="758" t="s">
        <v>11</v>
      </c>
      <c r="D9" s="725" t="s">
        <v>12</v>
      </c>
      <c r="E9" s="725" t="s">
        <v>13</v>
      </c>
      <c r="F9" s="725" t="s">
        <v>14</v>
      </c>
      <c r="G9" s="725" t="s">
        <v>70</v>
      </c>
      <c r="H9" s="725" t="s">
        <v>71</v>
      </c>
      <c r="I9" s="725" t="s">
        <v>72</v>
      </c>
      <c r="J9" s="729" t="s">
        <v>73</v>
      </c>
      <c r="K9" s="711" t="s">
        <v>15</v>
      </c>
      <c r="L9" s="704"/>
      <c r="M9" s="704"/>
      <c r="N9" s="705"/>
      <c r="O9" s="179"/>
      <c r="P9" s="708"/>
      <c r="Q9" s="704"/>
      <c r="R9" s="704"/>
      <c r="S9" s="704"/>
      <c r="T9" s="704"/>
      <c r="U9" s="704"/>
      <c r="V9" s="704"/>
      <c r="W9" s="704"/>
      <c r="X9" s="705"/>
      <c r="Y9" s="757" t="s">
        <v>16</v>
      </c>
      <c r="Z9" s="180"/>
      <c r="AA9" s="386"/>
    </row>
    <row r="10" spans="1:28" ht="36.75" customHeight="1">
      <c r="A10" s="714"/>
      <c r="B10" s="714"/>
      <c r="C10" s="714"/>
      <c r="D10" s="714"/>
      <c r="E10" s="714"/>
      <c r="F10" s="714"/>
      <c r="G10" s="714"/>
      <c r="H10" s="714"/>
      <c r="I10" s="714"/>
      <c r="J10" s="714"/>
      <c r="K10" s="181" t="s">
        <v>17</v>
      </c>
      <c r="L10" s="181" t="s">
        <v>74</v>
      </c>
      <c r="M10" s="181" t="s">
        <v>75</v>
      </c>
      <c r="N10" s="181" t="s">
        <v>20</v>
      </c>
      <c r="O10" s="181" t="s">
        <v>20</v>
      </c>
      <c r="P10" s="711" t="s">
        <v>21</v>
      </c>
      <c r="Q10" s="705"/>
      <c r="R10" s="12" t="s">
        <v>13</v>
      </c>
      <c r="S10" s="12" t="s">
        <v>22</v>
      </c>
      <c r="T10" s="12" t="s">
        <v>23</v>
      </c>
      <c r="U10" s="711" t="s">
        <v>24</v>
      </c>
      <c r="V10" s="705"/>
      <c r="W10" s="12" t="s">
        <v>25</v>
      </c>
      <c r="X10" s="23" t="s">
        <v>26</v>
      </c>
      <c r="Y10" s="714"/>
      <c r="Z10" s="180"/>
      <c r="AA10" s="386"/>
    </row>
    <row r="11" spans="1:28" ht="27.6" customHeight="1">
      <c r="A11" s="182"/>
      <c r="B11" s="182" t="s">
        <v>27</v>
      </c>
      <c r="C11" s="183" t="s">
        <v>28</v>
      </c>
      <c r="D11" s="182" t="s">
        <v>29</v>
      </c>
      <c r="E11" s="182" t="s">
        <v>30</v>
      </c>
      <c r="F11" s="182" t="s">
        <v>31</v>
      </c>
      <c r="G11" s="332" t="s">
        <v>76</v>
      </c>
      <c r="H11" s="332" t="s">
        <v>77</v>
      </c>
      <c r="I11" s="332" t="s">
        <v>78</v>
      </c>
      <c r="J11" s="333" t="s">
        <v>79</v>
      </c>
      <c r="K11" s="182" t="s">
        <v>32</v>
      </c>
      <c r="L11" s="182" t="s">
        <v>33</v>
      </c>
      <c r="M11" s="182"/>
      <c r="N11" s="182" t="s">
        <v>35</v>
      </c>
      <c r="O11" s="185"/>
      <c r="P11" s="713" t="s">
        <v>36</v>
      </c>
      <c r="Q11" s="705"/>
      <c r="R11" s="182" t="s">
        <v>37</v>
      </c>
      <c r="S11" s="182" t="s">
        <v>38</v>
      </c>
      <c r="T11" s="182" t="s">
        <v>39</v>
      </c>
      <c r="U11" s="182" t="s">
        <v>40</v>
      </c>
      <c r="V11" s="182" t="s">
        <v>40</v>
      </c>
      <c r="W11" s="182" t="s">
        <v>41</v>
      </c>
      <c r="X11" s="182" t="s">
        <v>42</v>
      </c>
      <c r="Y11" s="184"/>
      <c r="Z11" s="186" t="s">
        <v>43</v>
      </c>
      <c r="AA11" s="386"/>
    </row>
    <row r="12" spans="1:28">
      <c r="A12" s="10"/>
      <c r="B12" s="10"/>
      <c r="C12" s="114"/>
      <c r="D12" s="10"/>
      <c r="E12" s="10"/>
      <c r="F12" s="10"/>
      <c r="G12" s="10"/>
      <c r="H12" s="10"/>
      <c r="I12" s="10"/>
      <c r="J12" s="60"/>
      <c r="K12" s="11"/>
      <c r="L12" s="11"/>
      <c r="M12" s="11"/>
      <c r="N12" s="11"/>
      <c r="O12" s="11"/>
      <c r="P12" s="11"/>
      <c r="Q12" s="353"/>
      <c r="R12" s="11"/>
      <c r="S12" s="11"/>
      <c r="T12" s="11"/>
      <c r="U12" s="335"/>
      <c r="V12" s="336"/>
      <c r="W12" s="11"/>
      <c r="X12" s="13"/>
      <c r="Y12" s="337"/>
      <c r="Z12" s="338"/>
      <c r="AA12" s="339"/>
      <c r="AB12" s="348"/>
    </row>
    <row r="13" spans="1:28" s="350" customFormat="1" ht="21" customHeight="1">
      <c r="A13" s="763">
        <v>1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696"/>
      <c r="O13" s="696"/>
      <c r="P13" s="796"/>
      <c r="Q13" s="797"/>
      <c r="R13" s="791"/>
      <c r="S13" s="495"/>
      <c r="T13" s="509"/>
      <c r="U13" s="253"/>
      <c r="V13" s="193"/>
      <c r="W13" s="509"/>
      <c r="X13" s="733"/>
      <c r="Y13" s="495"/>
      <c r="Z13" s="495"/>
      <c r="AA13" s="387"/>
    </row>
    <row r="14" spans="1:28" s="350" customFormat="1" ht="19.5" customHeight="1">
      <c r="A14" s="731"/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798"/>
      <c r="Q14" s="798"/>
      <c r="X14" s="742"/>
    </row>
    <row r="15" spans="1:28" s="350" customFormat="1" ht="23.25" customHeight="1">
      <c r="A15" s="731"/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696"/>
      <c r="O15" s="696"/>
      <c r="P15" s="798"/>
      <c r="Q15" s="798"/>
      <c r="X15" s="742"/>
    </row>
    <row r="16" spans="1:28" s="350" customFormat="1" ht="23.25" customHeight="1">
      <c r="A16" s="714"/>
      <c r="B16" s="696"/>
      <c r="C16" s="696"/>
      <c r="D16" s="696"/>
      <c r="E16" s="696"/>
      <c r="F16" s="696"/>
      <c r="G16" s="696"/>
      <c r="H16" s="696"/>
      <c r="I16" s="696"/>
      <c r="J16" s="696"/>
      <c r="K16" s="696"/>
      <c r="L16" s="696"/>
      <c r="M16" s="696"/>
      <c r="N16" s="696"/>
      <c r="O16" s="696"/>
      <c r="P16" s="798"/>
      <c r="Q16" s="798"/>
      <c r="X16" s="742"/>
    </row>
    <row r="17" spans="1:27" s="350" customFormat="1" ht="22.5" customHeight="1">
      <c r="A17" s="731"/>
      <c r="B17" s="696"/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696"/>
      <c r="O17" s="696"/>
      <c r="P17" s="796"/>
      <c r="Q17" s="797"/>
      <c r="R17" s="791"/>
      <c r="S17" s="495"/>
      <c r="T17" s="509"/>
      <c r="U17" s="253"/>
      <c r="V17" s="193"/>
      <c r="W17" s="509"/>
      <c r="X17" s="731"/>
      <c r="Y17" s="495"/>
      <c r="Z17" s="495"/>
      <c r="AA17" s="408"/>
    </row>
    <row r="18" spans="1:27" s="350" customFormat="1" ht="17.25" customHeight="1">
      <c r="A18" s="731"/>
      <c r="B18" s="696"/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98"/>
      <c r="Q18" s="798"/>
      <c r="X18" s="742"/>
    </row>
    <row r="19" spans="1:27" s="350" customFormat="1" ht="17.25" customHeight="1">
      <c r="A19" s="731"/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798"/>
      <c r="Q19" s="798"/>
      <c r="X19" s="742"/>
    </row>
    <row r="20" spans="1:27" s="350" customFormat="1" ht="17.25" customHeight="1">
      <c r="A20" s="731"/>
      <c r="B20" s="696"/>
      <c r="C20" s="696"/>
      <c r="D20" s="696"/>
      <c r="E20" s="696"/>
      <c r="F20" s="696"/>
      <c r="G20" s="696"/>
      <c r="H20" s="696"/>
      <c r="I20" s="696"/>
      <c r="J20" s="696"/>
      <c r="K20" s="696"/>
      <c r="L20" s="696"/>
      <c r="M20" s="696"/>
      <c r="N20" s="696"/>
      <c r="O20" s="696"/>
      <c r="P20" s="796"/>
      <c r="Q20" s="797"/>
      <c r="R20" s="791"/>
      <c r="S20" s="495"/>
      <c r="T20" s="193"/>
      <c r="U20" s="253"/>
      <c r="V20" s="193"/>
      <c r="W20" s="509"/>
      <c r="X20" s="731"/>
      <c r="Y20" s="495"/>
      <c r="Z20" s="495"/>
      <c r="AA20" s="409"/>
    </row>
    <row r="21" spans="1:27" s="350" customFormat="1" ht="32.25" customHeight="1">
      <c r="A21" s="731"/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798"/>
      <c r="Q21" s="798"/>
      <c r="X21" s="742"/>
    </row>
    <row r="22" spans="1:27" s="350" customFormat="1" ht="30.75" hidden="1" customHeight="1">
      <c r="A22" s="731"/>
      <c r="B22" s="696"/>
      <c r="C22" s="696"/>
      <c r="D22" s="696"/>
      <c r="E22" s="696"/>
      <c r="F22" s="696"/>
      <c r="G22" s="696"/>
      <c r="H22" s="696"/>
      <c r="I22" s="696"/>
      <c r="J22" s="696"/>
      <c r="K22" s="696"/>
      <c r="L22" s="696"/>
      <c r="M22" s="696"/>
      <c r="N22" s="696"/>
      <c r="O22" s="696"/>
      <c r="P22" s="798"/>
      <c r="Q22" s="798"/>
      <c r="X22" s="742"/>
    </row>
    <row r="23" spans="1:27" s="350" customFormat="1" ht="29.25" customHeight="1">
      <c r="A23" s="714"/>
      <c r="B23" s="696"/>
      <c r="C23" s="696"/>
      <c r="D23" s="696"/>
      <c r="E23" s="696"/>
      <c r="F23" s="696"/>
      <c r="G23" s="696"/>
      <c r="H23" s="696"/>
      <c r="I23" s="696"/>
      <c r="J23" s="696"/>
      <c r="K23" s="696"/>
      <c r="L23" s="696"/>
      <c r="M23" s="696"/>
      <c r="N23" s="696"/>
      <c r="O23" s="696"/>
      <c r="P23" s="797"/>
      <c r="Q23" s="799"/>
      <c r="R23" s="792"/>
      <c r="S23" s="551"/>
      <c r="T23" s="368"/>
      <c r="U23" s="406"/>
      <c r="V23" s="368"/>
      <c r="W23" s="552"/>
      <c r="X23" s="731"/>
      <c r="Y23" s="412"/>
      <c r="Z23" s="407"/>
      <c r="AA23" s="410"/>
    </row>
    <row r="24" spans="1:27" s="350" customFormat="1" ht="27" customHeight="1">
      <c r="A24" s="731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6"/>
      <c r="P24" s="798"/>
      <c r="Q24" s="798"/>
      <c r="X24" s="742"/>
    </row>
    <row r="25" spans="1:27" s="350" customFormat="1" ht="30.75" customHeight="1">
      <c r="A25" s="714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798"/>
      <c r="Q25" s="798"/>
      <c r="X25" s="742"/>
    </row>
    <row r="26" spans="1:27" s="350" customFormat="1" ht="29.25" customHeight="1">
      <c r="A26" s="748"/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797"/>
      <c r="Q26" s="799"/>
      <c r="R26" s="793"/>
      <c r="S26" s="384"/>
      <c r="T26" s="382"/>
      <c r="U26" s="406"/>
      <c r="V26" s="382"/>
      <c r="W26" s="382"/>
      <c r="X26" s="731"/>
      <c r="Y26" s="412"/>
      <c r="Z26" s="407"/>
      <c r="AA26" s="409"/>
    </row>
    <row r="27" spans="1:27" s="350" customFormat="1" ht="18.75" customHeight="1">
      <c r="A27" s="731"/>
      <c r="B27" s="696"/>
      <c r="C27" s="696"/>
      <c r="D27" s="696"/>
      <c r="E27" s="696"/>
      <c r="F27" s="696"/>
      <c r="G27" s="696"/>
      <c r="H27" s="696"/>
      <c r="I27" s="696"/>
      <c r="J27" s="696"/>
      <c r="K27" s="696"/>
      <c r="L27" s="696"/>
      <c r="M27" s="696"/>
      <c r="N27" s="696"/>
      <c r="O27" s="696"/>
      <c r="P27" s="798"/>
      <c r="Q27" s="798"/>
      <c r="X27" s="742"/>
    </row>
    <row r="28" spans="1:27" s="350" customFormat="1" ht="18.75" customHeight="1">
      <c r="A28" s="748"/>
      <c r="B28" s="696"/>
      <c r="C28" s="696"/>
      <c r="D28" s="696"/>
      <c r="E28" s="696"/>
      <c r="F28" s="696"/>
      <c r="G28" s="696"/>
      <c r="H28" s="696"/>
      <c r="I28" s="696"/>
      <c r="J28" s="696"/>
      <c r="K28" s="696"/>
      <c r="L28" s="696"/>
      <c r="M28" s="696"/>
      <c r="N28" s="696"/>
      <c r="O28" s="696"/>
      <c r="P28" s="797"/>
      <c r="Q28" s="799"/>
      <c r="R28" s="793"/>
      <c r="S28" s="384"/>
      <c r="T28" s="411"/>
      <c r="U28" s="406"/>
      <c r="V28" s="382"/>
      <c r="W28" s="382"/>
      <c r="X28" s="731"/>
      <c r="Y28" s="412"/>
      <c r="Z28" s="407"/>
      <c r="AA28" s="409"/>
    </row>
    <row r="29" spans="1:27" s="350" customFormat="1" ht="18.75" customHeight="1">
      <c r="A29" s="731"/>
      <c r="B29" s="696"/>
      <c r="C29" s="696"/>
      <c r="D29" s="696"/>
      <c r="E29" s="696"/>
      <c r="F29" s="696"/>
      <c r="G29" s="696"/>
      <c r="H29" s="696"/>
      <c r="I29" s="696"/>
      <c r="J29" s="696"/>
      <c r="K29" s="696"/>
      <c r="L29" s="696"/>
      <c r="M29" s="696"/>
      <c r="N29" s="696"/>
      <c r="O29" s="696"/>
      <c r="P29" s="798"/>
      <c r="Q29" s="798"/>
      <c r="X29" s="742"/>
    </row>
    <row r="30" spans="1:27" s="350" customFormat="1" ht="32.25" customHeight="1">
      <c r="A30" s="39"/>
      <c r="B30" s="696"/>
      <c r="C30" s="696"/>
      <c r="D30" s="696"/>
      <c r="E30" s="696"/>
      <c r="F30" s="696"/>
      <c r="G30" s="696"/>
      <c r="H30" s="696"/>
      <c r="I30" s="696"/>
      <c r="J30" s="696"/>
      <c r="K30" s="696"/>
      <c r="L30" s="696"/>
      <c r="M30" s="696"/>
      <c r="N30" s="696"/>
      <c r="O30" s="696"/>
      <c r="P30" s="797"/>
      <c r="Q30" s="799"/>
      <c r="R30" s="793"/>
      <c r="S30" s="384"/>
      <c r="T30" s="382"/>
      <c r="U30" s="406"/>
      <c r="V30" s="382"/>
      <c r="W30" s="382"/>
      <c r="X30" s="731"/>
      <c r="Y30" s="412"/>
      <c r="Z30" s="407"/>
      <c r="AA30" s="409"/>
    </row>
    <row r="31" spans="1:27" s="350" customFormat="1" ht="23.25" customHeight="1">
      <c r="A31" s="748"/>
      <c r="B31" s="696"/>
      <c r="C31" s="696"/>
      <c r="D31" s="696"/>
      <c r="E31" s="696"/>
      <c r="F31" s="696"/>
      <c r="G31" s="696"/>
      <c r="H31" s="696"/>
      <c r="I31" s="696"/>
      <c r="J31" s="696"/>
      <c r="K31" s="696"/>
      <c r="L31" s="696"/>
      <c r="M31" s="696"/>
      <c r="N31" s="696"/>
      <c r="O31" s="696"/>
      <c r="P31" s="797"/>
      <c r="Q31" s="799"/>
      <c r="R31" s="793"/>
      <c r="S31" s="384"/>
      <c r="T31" s="382"/>
      <c r="U31" s="406"/>
      <c r="V31" s="382"/>
      <c r="W31" s="382"/>
      <c r="X31" s="731"/>
      <c r="Y31" s="412"/>
      <c r="Z31" s="407"/>
      <c r="AA31" s="409"/>
    </row>
    <row r="32" spans="1:27" s="350" customFormat="1" ht="21" customHeight="1">
      <c r="A32" s="731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6"/>
      <c r="P32" s="798"/>
      <c r="Q32" s="798"/>
      <c r="X32" s="742"/>
    </row>
    <row r="33" spans="1:27" s="350" customFormat="1" ht="30" customHeight="1">
      <c r="A33" s="731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6"/>
      <c r="P33" s="798"/>
      <c r="Q33" s="798"/>
      <c r="X33" s="742"/>
    </row>
    <row r="34" spans="1:27" s="350" customFormat="1" ht="23.25" hidden="1" customHeight="1">
      <c r="A34" s="748"/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797"/>
      <c r="Q34" s="799"/>
      <c r="R34" s="793"/>
      <c r="S34" s="384"/>
      <c r="T34" s="382"/>
      <c r="U34" s="406"/>
      <c r="V34" s="382"/>
      <c r="W34" s="382"/>
      <c r="X34" s="731"/>
      <c r="Y34" s="412"/>
      <c r="Z34" s="407"/>
      <c r="AA34" s="409"/>
    </row>
    <row r="35" spans="1:27" s="350" customFormat="1" ht="23.25" hidden="1" customHeight="1">
      <c r="A35" s="731"/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798"/>
      <c r="Q35" s="798"/>
      <c r="X35" s="742"/>
    </row>
    <row r="36" spans="1:27" s="350" customFormat="1" ht="17.25" customHeight="1">
      <c r="A36" s="731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6"/>
      <c r="P36" s="798"/>
      <c r="Q36" s="798"/>
      <c r="X36" s="742"/>
    </row>
    <row r="37" spans="1:27" s="350" customFormat="1" ht="17.25" customHeight="1">
      <c r="A37" s="39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798"/>
      <c r="Q37" s="799"/>
      <c r="R37" s="794"/>
      <c r="S37" s="384"/>
      <c r="T37" s="382"/>
      <c r="U37" s="406"/>
      <c r="V37" s="382"/>
      <c r="W37" s="413"/>
      <c r="X37" s="714"/>
      <c r="Y37" s="412"/>
      <c r="Z37" s="407"/>
      <c r="AA37" s="409"/>
    </row>
    <row r="38" spans="1:27" s="350" customFormat="1" ht="32.25" customHeight="1">
      <c r="A38" s="689">
        <v>2</v>
      </c>
      <c r="B38" s="696"/>
      <c r="C38" s="696"/>
      <c r="D38" s="696"/>
      <c r="E38" s="696"/>
      <c r="F38" s="696"/>
      <c r="G38" s="696"/>
      <c r="H38" s="696"/>
      <c r="I38" s="696"/>
      <c r="J38" s="696"/>
      <c r="K38" s="696"/>
      <c r="L38" s="696"/>
      <c r="M38" s="696"/>
      <c r="N38" s="696"/>
      <c r="O38" s="696"/>
      <c r="P38" s="796"/>
      <c r="Q38" s="797"/>
      <c r="R38" s="795"/>
      <c r="S38" s="510"/>
      <c r="T38" s="509"/>
      <c r="U38" s="253"/>
      <c r="V38" s="247"/>
      <c r="W38" s="247"/>
      <c r="X38" s="733"/>
      <c r="Y38" s="262"/>
      <c r="Z38" s="511"/>
      <c r="AA38" s="511"/>
    </row>
    <row r="39" spans="1:27" s="350" customFormat="1" ht="23.25" customHeight="1">
      <c r="A39" s="731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796"/>
      <c r="Q39" s="797"/>
      <c r="R39" s="795"/>
      <c r="S39" s="510"/>
      <c r="T39" s="509"/>
      <c r="U39" s="253"/>
      <c r="V39" s="247"/>
      <c r="W39" s="247"/>
      <c r="X39" s="731"/>
      <c r="Y39" s="262"/>
      <c r="Z39" s="511"/>
      <c r="AA39" s="511"/>
    </row>
    <row r="40" spans="1:27" s="350" customFormat="1" ht="21" customHeight="1">
      <c r="A40" s="714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0"/>
      <c r="P40" s="262"/>
      <c r="Q40" s="354"/>
      <c r="R40" s="264"/>
      <c r="S40" s="265"/>
      <c r="T40" s="193"/>
      <c r="U40" s="253"/>
      <c r="V40" s="247"/>
      <c r="W40" s="247"/>
      <c r="X40" s="731"/>
      <c r="Y40" s="262"/>
      <c r="Z40" s="511"/>
      <c r="AA40" s="511"/>
    </row>
    <row r="41" spans="1:27" s="350" customFormat="1" ht="24.75" customHeight="1">
      <c r="A41" s="748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262"/>
      <c r="Q41" s="354"/>
      <c r="R41" s="264"/>
      <c r="S41" s="265"/>
      <c r="T41" s="193"/>
      <c r="U41" s="253"/>
      <c r="V41" s="247"/>
      <c r="W41" s="247"/>
      <c r="X41" s="731"/>
      <c r="Y41" s="262"/>
      <c r="Z41" s="511"/>
      <c r="AA41" s="511"/>
    </row>
    <row r="42" spans="1:27" s="350" customFormat="1" ht="22.5" hidden="1" customHeight="1">
      <c r="A42" s="34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0"/>
      <c r="P42" s="195"/>
      <c r="Q42" s="355"/>
      <c r="R42" s="196"/>
      <c r="S42" s="197"/>
      <c r="T42" s="199"/>
      <c r="U42" s="198"/>
      <c r="V42" s="199"/>
      <c r="W42" s="199"/>
      <c r="X42" s="731"/>
      <c r="Y42" s="200"/>
      <c r="Z42" s="186"/>
      <c r="AA42" s="242"/>
    </row>
    <row r="43" spans="1:27" s="350" customFormat="1" ht="17.25" customHeight="1">
      <c r="A43" s="34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195"/>
      <c r="Q43" s="355"/>
      <c r="R43" s="196"/>
      <c r="S43" s="197"/>
      <c r="T43" s="199"/>
      <c r="U43" s="198"/>
      <c r="V43" s="199"/>
      <c r="W43" s="199"/>
      <c r="X43" s="731"/>
      <c r="Y43" s="200"/>
      <c r="Z43" s="186"/>
      <c r="AA43" s="242"/>
    </row>
    <row r="44" spans="1:27" s="350" customFormat="1" ht="17.25" customHeight="1">
      <c r="A44" s="34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195"/>
      <c r="Q44" s="355"/>
      <c r="R44" s="196"/>
      <c r="S44" s="197"/>
      <c r="T44" s="199"/>
      <c r="U44" s="198"/>
      <c r="V44" s="199"/>
      <c r="W44" s="199"/>
      <c r="X44" s="731"/>
      <c r="Y44" s="200"/>
      <c r="Z44" s="186"/>
      <c r="AA44" s="242"/>
    </row>
    <row r="45" spans="1:27" s="350" customFormat="1" ht="17.25" customHeight="1">
      <c r="A45" s="34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195"/>
      <c r="Q45" s="355"/>
      <c r="R45" s="196"/>
      <c r="S45" s="197"/>
      <c r="T45" s="199"/>
      <c r="U45" s="198"/>
      <c r="V45" s="199"/>
      <c r="W45" s="199"/>
      <c r="X45" s="714"/>
      <c r="Y45" s="200"/>
      <c r="Z45" s="186"/>
      <c r="AA45" s="242"/>
    </row>
    <row r="46" spans="1:27" s="350" customFormat="1" ht="17.25" customHeight="1">
      <c r="A46" s="616">
        <v>3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495"/>
      <c r="Q46" s="354"/>
      <c r="R46" s="192"/>
      <c r="S46" s="188"/>
      <c r="T46" s="193"/>
      <c r="U46" s="194"/>
      <c r="V46" s="193"/>
      <c r="W46" s="193"/>
      <c r="X46" s="733"/>
      <c r="Y46" s="191"/>
      <c r="Z46" s="186"/>
      <c r="AA46" s="498"/>
    </row>
    <row r="47" spans="1:27" s="350" customFormat="1" ht="36" customHeight="1">
      <c r="A47" s="690"/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495"/>
      <c r="Q47" s="354"/>
      <c r="R47" s="192"/>
      <c r="S47" s="188"/>
      <c r="T47" s="193"/>
      <c r="U47" s="194"/>
      <c r="V47" s="193"/>
      <c r="W47" s="193"/>
      <c r="X47" s="731"/>
      <c r="Y47" s="191"/>
      <c r="Z47" s="186"/>
      <c r="AA47" s="235"/>
    </row>
    <row r="48" spans="1:27" s="350" customFormat="1" ht="23.25" customHeight="1">
      <c r="A48" s="714"/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262"/>
      <c r="Q48" s="354"/>
      <c r="R48" s="192"/>
      <c r="S48" s="188"/>
      <c r="T48" s="193"/>
      <c r="U48" s="194"/>
      <c r="V48" s="193"/>
      <c r="W48" s="193"/>
      <c r="X48" s="731"/>
      <c r="Y48" s="191"/>
      <c r="Z48" s="186"/>
      <c r="AA48" s="242"/>
    </row>
    <row r="49" spans="1:27" s="350" customFormat="1" ht="21" customHeight="1">
      <c r="A49" s="739"/>
      <c r="B49" s="680"/>
      <c r="C49" s="680"/>
      <c r="D49" s="680"/>
      <c r="E49" s="680"/>
      <c r="F49" s="680"/>
      <c r="G49" s="680"/>
      <c r="H49" s="680"/>
      <c r="I49" s="680"/>
      <c r="J49" s="680"/>
      <c r="K49" s="680"/>
      <c r="L49" s="680"/>
      <c r="M49" s="680"/>
      <c r="N49" s="680"/>
      <c r="O49" s="680"/>
      <c r="P49" s="496"/>
      <c r="Q49" s="497"/>
      <c r="R49" s="191"/>
      <c r="S49" s="191"/>
      <c r="T49" s="193"/>
      <c r="U49" s="194"/>
      <c r="V49" s="193"/>
      <c r="W49" s="193"/>
      <c r="X49" s="731"/>
      <c r="Y49" s="191"/>
      <c r="Z49" s="186"/>
      <c r="AA49" s="242"/>
    </row>
    <row r="50" spans="1:27" s="350" customFormat="1" ht="21" customHeight="1">
      <c r="A50" s="34"/>
      <c r="B50" s="680"/>
      <c r="C50" s="680"/>
      <c r="D50" s="680"/>
      <c r="E50" s="680"/>
      <c r="F50" s="680"/>
      <c r="G50" s="680"/>
      <c r="H50" s="680"/>
      <c r="I50" s="680"/>
      <c r="J50" s="680"/>
      <c r="K50" s="680"/>
      <c r="L50" s="680"/>
      <c r="M50" s="680"/>
      <c r="N50" s="680"/>
      <c r="O50" s="680"/>
      <c r="P50" s="345"/>
      <c r="Q50" s="354"/>
      <c r="R50" s="245"/>
      <c r="S50" s="245"/>
      <c r="T50" s="193"/>
      <c r="U50" s="194"/>
      <c r="V50" s="193"/>
      <c r="W50" s="193"/>
      <c r="X50" s="731"/>
      <c r="Y50" s="245"/>
      <c r="Z50" s="234"/>
      <c r="AA50" s="242"/>
    </row>
    <row r="51" spans="1:27" s="350" customFormat="1" ht="26.4" hidden="1" customHeight="1">
      <c r="A51" s="402"/>
      <c r="B51" s="680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0"/>
      <c r="N51" s="680"/>
      <c r="O51" s="680"/>
      <c r="P51" s="366"/>
      <c r="Q51" s="355"/>
      <c r="R51" s="196"/>
      <c r="S51" s="197"/>
      <c r="T51" s="199"/>
      <c r="U51" s="198"/>
      <c r="V51" s="199"/>
      <c r="W51" s="199"/>
      <c r="X51" s="731"/>
      <c r="Y51" s="200"/>
      <c r="Z51" s="186"/>
      <c r="AA51" s="242"/>
    </row>
    <row r="52" spans="1:27" s="350" customFormat="1" ht="32.25" hidden="1" customHeight="1">
      <c r="A52" s="403"/>
      <c r="B52" s="680"/>
      <c r="C52" s="680"/>
      <c r="D52" s="680"/>
      <c r="E52" s="680"/>
      <c r="F52" s="680"/>
      <c r="G52" s="680"/>
      <c r="H52" s="680"/>
      <c r="I52" s="680"/>
      <c r="J52" s="680"/>
      <c r="K52" s="680"/>
      <c r="L52" s="680"/>
      <c r="M52" s="680"/>
      <c r="N52" s="680"/>
      <c r="O52" s="680"/>
      <c r="P52" s="404"/>
      <c r="Q52" s="359"/>
      <c r="R52" s="255"/>
      <c r="S52" s="256"/>
      <c r="T52" s="259"/>
      <c r="U52" s="258"/>
      <c r="V52" s="259"/>
      <c r="W52" s="259"/>
      <c r="X52" s="731"/>
      <c r="Y52" s="260"/>
      <c r="Z52" s="254"/>
      <c r="AA52" s="261"/>
    </row>
    <row r="53" spans="1:27" s="350" customFormat="1" ht="17.25" customHeight="1">
      <c r="A53" s="35"/>
      <c r="B53" s="680"/>
      <c r="C53" s="680"/>
      <c r="D53" s="680"/>
      <c r="E53" s="680"/>
      <c r="F53" s="680"/>
      <c r="G53" s="680"/>
      <c r="H53" s="680"/>
      <c r="I53" s="680"/>
      <c r="J53" s="680"/>
      <c r="K53" s="680"/>
      <c r="L53" s="680"/>
      <c r="M53" s="680"/>
      <c r="N53" s="680"/>
      <c r="O53" s="680"/>
      <c r="P53" s="366"/>
      <c r="Q53" s="356"/>
      <c r="R53" s="238"/>
      <c r="S53" s="239"/>
      <c r="T53" s="240"/>
      <c r="U53" s="380"/>
      <c r="V53" s="240"/>
      <c r="W53" s="240"/>
      <c r="X53" s="714"/>
      <c r="Y53" s="302"/>
      <c r="Z53" s="234"/>
      <c r="AA53" s="242"/>
    </row>
    <row r="54" spans="1:27" s="350" customFormat="1" ht="17.25" customHeight="1">
      <c r="A54" s="689">
        <v>4</v>
      </c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0"/>
      <c r="P54" s="262"/>
      <c r="Q54" s="357"/>
      <c r="R54" s="264"/>
      <c r="S54" s="265"/>
      <c r="T54" s="193"/>
      <c r="U54" s="267"/>
      <c r="V54" s="266"/>
      <c r="W54" s="266"/>
      <c r="X54" s="733"/>
      <c r="Y54" s="262"/>
      <c r="Z54" s="263"/>
      <c r="AA54" s="248"/>
    </row>
    <row r="55" spans="1:27" s="350" customFormat="1" ht="17.25" customHeight="1">
      <c r="A55" s="69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0"/>
      <c r="P55" s="191"/>
      <c r="Q55" s="354"/>
      <c r="R55" s="192"/>
      <c r="S55" s="188"/>
      <c r="T55" s="193"/>
      <c r="U55" s="194"/>
      <c r="V55" s="193"/>
      <c r="W55" s="193"/>
      <c r="X55" s="731"/>
      <c r="Y55" s="191"/>
      <c r="Z55" s="186"/>
      <c r="AA55" s="235"/>
    </row>
    <row r="56" spans="1:27" s="350" customFormat="1" ht="17.25" customHeight="1">
      <c r="A56" s="683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262"/>
      <c r="Q56" s="354"/>
      <c r="R56" s="192"/>
      <c r="S56" s="188"/>
      <c r="T56" s="193"/>
      <c r="U56" s="194"/>
      <c r="V56" s="193"/>
      <c r="W56" s="193"/>
      <c r="X56" s="731"/>
      <c r="Y56" s="191"/>
      <c r="Z56" s="186"/>
      <c r="AA56" s="242"/>
    </row>
    <row r="57" spans="1:27" s="350" customFormat="1" ht="17.25" customHeight="1">
      <c r="A57" s="346"/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555"/>
      <c r="Q57" s="357"/>
      <c r="R57" s="192"/>
      <c r="S57" s="192"/>
      <c r="T57" s="192"/>
      <c r="U57" s="194"/>
      <c r="V57" s="193"/>
      <c r="W57" s="193"/>
      <c r="X57" s="731"/>
      <c r="Y57" s="191"/>
      <c r="Z57" s="186"/>
      <c r="AA57" s="242"/>
    </row>
    <row r="58" spans="1:27" s="350" customFormat="1" ht="26.25" customHeight="1" thickBot="1">
      <c r="A58" s="760"/>
      <c r="B58" s="680"/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0"/>
      <c r="N58" s="680"/>
      <c r="O58" s="680"/>
      <c r="P58" s="366"/>
      <c r="Q58" s="355"/>
      <c r="R58" s="196"/>
      <c r="S58" s="197"/>
      <c r="T58" s="199"/>
      <c r="U58" s="198"/>
      <c r="V58" s="199"/>
      <c r="W58" s="199"/>
      <c r="X58" s="731"/>
      <c r="Y58" s="200"/>
      <c r="Z58" s="186"/>
      <c r="AA58" s="242"/>
    </row>
    <row r="59" spans="1:27" s="350" customFormat="1" ht="21" customHeight="1">
      <c r="A59" s="739"/>
      <c r="B59" s="680"/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0"/>
      <c r="N59" s="680"/>
      <c r="O59" s="680"/>
      <c r="P59" s="195"/>
      <c r="Q59" s="355"/>
      <c r="R59" s="196"/>
      <c r="S59" s="197"/>
      <c r="T59" s="199"/>
      <c r="U59" s="198"/>
      <c r="V59" s="199"/>
      <c r="W59" s="199"/>
      <c r="X59" s="731"/>
      <c r="Y59" s="200"/>
      <c r="Z59" s="186"/>
      <c r="AA59" s="242"/>
    </row>
    <row r="60" spans="1:27" s="350" customFormat="1" ht="28.5" customHeight="1">
      <c r="A60" s="34"/>
      <c r="B60" s="680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  <c r="N60" s="680"/>
      <c r="O60" s="680"/>
      <c r="P60" s="195"/>
      <c r="Q60" s="355"/>
      <c r="R60" s="196"/>
      <c r="S60" s="197"/>
      <c r="T60" s="199"/>
      <c r="U60" s="198"/>
      <c r="V60" s="199"/>
      <c r="W60" s="199"/>
      <c r="X60" s="731"/>
      <c r="Y60" s="200"/>
      <c r="Z60" s="186"/>
      <c r="AA60" s="242"/>
    </row>
    <row r="61" spans="1:27" s="350" customFormat="1" ht="28.5" customHeight="1">
      <c r="A61" s="34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0"/>
      <c r="P61" s="195"/>
      <c r="Q61" s="355"/>
      <c r="R61" s="196"/>
      <c r="S61" s="197"/>
      <c r="T61" s="199"/>
      <c r="U61" s="198"/>
      <c r="V61" s="199"/>
      <c r="W61" s="199"/>
      <c r="X61" s="731"/>
      <c r="Y61" s="200"/>
      <c r="Z61" s="186"/>
      <c r="AA61" s="242"/>
    </row>
    <row r="62" spans="1:27" s="350" customFormat="1" ht="28.5" customHeight="1">
      <c r="A62" s="35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195"/>
      <c r="Q62" s="355"/>
      <c r="R62" s="196"/>
      <c r="S62" s="197"/>
      <c r="T62" s="199"/>
      <c r="U62" s="198"/>
      <c r="V62" s="199"/>
      <c r="W62" s="199"/>
      <c r="X62" s="714"/>
      <c r="Y62" s="200"/>
      <c r="Z62" s="186"/>
      <c r="AA62" s="242"/>
    </row>
    <row r="63" spans="1:27" s="350" customFormat="1" ht="17.25" customHeight="1">
      <c r="A63" s="616">
        <v>5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191"/>
      <c r="Q63" s="354"/>
      <c r="R63" s="192"/>
      <c r="S63" s="188"/>
      <c r="T63" s="193"/>
      <c r="U63" s="194"/>
      <c r="V63" s="193"/>
      <c r="W63" s="193"/>
      <c r="X63" s="738"/>
      <c r="Y63" s="191"/>
      <c r="Z63" s="186"/>
      <c r="AA63" s="248"/>
    </row>
    <row r="64" spans="1:27" s="350" customFormat="1" ht="17.25" customHeight="1">
      <c r="A64" s="683"/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191"/>
      <c r="Q64" s="354"/>
      <c r="R64" s="192"/>
      <c r="S64" s="188"/>
      <c r="T64" s="193"/>
      <c r="U64" s="194"/>
      <c r="V64" s="193"/>
      <c r="W64" s="193"/>
      <c r="X64" s="731"/>
      <c r="Y64" s="191"/>
      <c r="Z64" s="186"/>
      <c r="AA64" s="235"/>
    </row>
    <row r="65" spans="1:27" s="350" customFormat="1" ht="17.25" customHeight="1">
      <c r="A65" s="423"/>
      <c r="B65" s="680"/>
      <c r="C65" s="680"/>
      <c r="D65" s="680"/>
      <c r="E65" s="680"/>
      <c r="F65" s="680"/>
      <c r="G65" s="680"/>
      <c r="H65" s="680"/>
      <c r="I65" s="680"/>
      <c r="J65" s="680"/>
      <c r="K65" s="680"/>
      <c r="L65" s="680"/>
      <c r="M65" s="680"/>
      <c r="N65" s="680"/>
      <c r="O65" s="680"/>
      <c r="P65" s="262"/>
      <c r="Q65" s="354"/>
      <c r="R65" s="421"/>
      <c r="S65" s="415"/>
      <c r="T65" s="193"/>
      <c r="U65" s="194"/>
      <c r="V65" s="193"/>
      <c r="W65" s="193"/>
      <c r="X65" s="731"/>
      <c r="Y65" s="191"/>
      <c r="Z65" s="186"/>
      <c r="AA65" s="422"/>
    </row>
    <row r="66" spans="1:27" s="620" customFormat="1" ht="17.25" customHeight="1">
      <c r="A66" s="423"/>
      <c r="B66" s="680"/>
      <c r="C66" s="680"/>
      <c r="D66" s="680"/>
      <c r="E66" s="680"/>
      <c r="F66" s="680"/>
      <c r="G66" s="680"/>
      <c r="H66" s="680"/>
      <c r="I66" s="680"/>
      <c r="J66" s="680"/>
      <c r="K66" s="680"/>
      <c r="L66" s="680"/>
      <c r="M66" s="680"/>
      <c r="N66" s="680"/>
      <c r="O66" s="680"/>
      <c r="P66" s="262"/>
      <c r="Q66" s="354"/>
      <c r="R66" s="370"/>
      <c r="S66" s="139"/>
      <c r="T66" s="193"/>
      <c r="U66" s="371"/>
      <c r="V66" s="257"/>
      <c r="W66" s="257"/>
      <c r="X66" s="731"/>
      <c r="Y66" s="191"/>
      <c r="Z66" s="186"/>
      <c r="AA66" s="422"/>
    </row>
    <row r="67" spans="1:27" s="350" customFormat="1" ht="26.25" customHeight="1">
      <c r="A67" s="365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0"/>
      <c r="P67" s="369"/>
      <c r="Q67" s="369"/>
      <c r="R67" s="369"/>
      <c r="S67" s="369"/>
      <c r="T67" s="193"/>
      <c r="U67" s="371"/>
      <c r="V67" s="257"/>
      <c r="W67" s="257"/>
      <c r="X67" s="731"/>
      <c r="Y67" s="369"/>
      <c r="Z67" s="254"/>
      <c r="AA67" s="261"/>
    </row>
    <row r="68" spans="1:27" s="350" customFormat="1" ht="21" customHeight="1">
      <c r="A68" s="365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0"/>
      <c r="P68" s="379"/>
      <c r="Q68" s="356"/>
      <c r="R68" s="238"/>
      <c r="S68" s="239"/>
      <c r="T68" s="382"/>
      <c r="U68" s="380"/>
      <c r="V68" s="240"/>
      <c r="W68" s="240"/>
      <c r="X68" s="731"/>
      <c r="Y68" s="302"/>
      <c r="Z68" s="234"/>
      <c r="AA68" s="242"/>
    </row>
    <row r="69" spans="1:27" s="350" customFormat="1" ht="28.5" customHeight="1">
      <c r="A69" s="115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379"/>
      <c r="Q69" s="356"/>
      <c r="R69" s="238"/>
      <c r="S69" s="239"/>
      <c r="T69" s="382"/>
      <c r="U69" s="380"/>
      <c r="V69" s="240"/>
      <c r="W69" s="240"/>
      <c r="X69" s="731"/>
      <c r="Y69" s="302"/>
      <c r="Z69" s="234"/>
      <c r="AA69" s="340"/>
    </row>
    <row r="70" spans="1:27" s="350" customFormat="1" ht="28.5" customHeight="1">
      <c r="A70" s="344"/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381"/>
      <c r="Q70" s="372"/>
      <c r="R70" s="373"/>
      <c r="S70" s="374"/>
      <c r="T70" s="375"/>
      <c r="U70" s="376"/>
      <c r="V70" s="375"/>
      <c r="W70" s="375"/>
      <c r="X70" s="731"/>
      <c r="Y70" s="377"/>
      <c r="Z70" s="234"/>
      <c r="AA70" s="378"/>
    </row>
    <row r="71" spans="1:27" s="350" customFormat="1" ht="28.5" customHeight="1">
      <c r="A71" s="34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379"/>
      <c r="Q71" s="355"/>
      <c r="R71" s="196"/>
      <c r="S71" s="374"/>
      <c r="T71" s="375"/>
      <c r="U71" s="198"/>
      <c r="V71" s="375"/>
      <c r="W71" s="199"/>
      <c r="X71" s="731"/>
      <c r="Y71" s="200"/>
      <c r="Z71" s="234"/>
      <c r="AA71" s="242"/>
    </row>
    <row r="72" spans="1:27" s="350" customFormat="1" ht="28.5" customHeight="1">
      <c r="A72" s="34"/>
      <c r="B72" s="680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379"/>
      <c r="Q72" s="359"/>
      <c r="R72" s="255"/>
      <c r="S72" s="239"/>
      <c r="T72" s="383"/>
      <c r="U72" s="258"/>
      <c r="V72" s="259"/>
      <c r="W72" s="259"/>
      <c r="X72" s="731"/>
      <c r="Y72" s="260"/>
      <c r="Z72" s="254"/>
      <c r="AA72" s="261"/>
    </row>
    <row r="73" spans="1:27" s="350" customFormat="1" ht="17.25" customHeight="1">
      <c r="A73" s="616">
        <v>6</v>
      </c>
      <c r="B73" s="680"/>
      <c r="C73" s="680"/>
      <c r="D73" s="680"/>
      <c r="E73" s="680"/>
      <c r="F73" s="680"/>
      <c r="G73" s="680"/>
      <c r="H73" s="680"/>
      <c r="I73" s="680"/>
      <c r="J73" s="680"/>
      <c r="K73" s="680"/>
      <c r="L73" s="680"/>
      <c r="M73" s="680"/>
      <c r="N73" s="680"/>
      <c r="O73" s="680"/>
      <c r="P73" s="245"/>
      <c r="Q73" s="424"/>
      <c r="R73" s="246"/>
      <c r="S73" s="236"/>
      <c r="T73" s="247"/>
      <c r="U73" s="253"/>
      <c r="V73" s="247"/>
      <c r="W73" s="247"/>
      <c r="X73" s="733"/>
      <c r="Y73" s="245"/>
      <c r="Z73" s="263"/>
      <c r="AA73" s="351"/>
    </row>
    <row r="74" spans="1:27" s="350" customFormat="1" ht="17.25" customHeight="1">
      <c r="A74" s="683"/>
      <c r="B74" s="680"/>
      <c r="C74" s="680"/>
      <c r="D74" s="680"/>
      <c r="E74" s="680"/>
      <c r="F74" s="680"/>
      <c r="G74" s="680"/>
      <c r="H74" s="680"/>
      <c r="I74" s="680"/>
      <c r="J74" s="680"/>
      <c r="K74" s="680"/>
      <c r="L74" s="680"/>
      <c r="M74" s="680"/>
      <c r="N74" s="680"/>
      <c r="O74" s="680"/>
      <c r="P74" s="262"/>
      <c r="Q74" s="424"/>
      <c r="R74" s="264"/>
      <c r="S74" s="265"/>
      <c r="T74" s="266"/>
      <c r="U74" s="267"/>
      <c r="V74" s="266"/>
      <c r="W74" s="266"/>
      <c r="X74" s="731"/>
      <c r="Y74" s="262"/>
      <c r="Z74" s="263"/>
      <c r="AA74" s="268"/>
    </row>
    <row r="75" spans="1:27" s="350" customFormat="1" ht="17.25" customHeight="1">
      <c r="A75" s="34"/>
      <c r="B75" s="680"/>
      <c r="C75" s="680"/>
      <c r="D75" s="680"/>
      <c r="E75" s="680"/>
      <c r="F75" s="680"/>
      <c r="G75" s="680"/>
      <c r="H75" s="680"/>
      <c r="I75" s="680"/>
      <c r="J75" s="680"/>
      <c r="K75" s="680"/>
      <c r="L75" s="680"/>
      <c r="M75" s="680"/>
      <c r="N75" s="680"/>
      <c r="O75" s="680"/>
      <c r="P75" s="555"/>
      <c r="Q75" s="357"/>
      <c r="R75" s="264"/>
      <c r="S75" s="265"/>
      <c r="T75" s="266"/>
      <c r="U75" s="267"/>
      <c r="V75" s="266"/>
      <c r="W75" s="266"/>
      <c r="X75" s="731"/>
      <c r="Y75" s="262"/>
      <c r="Z75" s="263"/>
      <c r="AA75" s="340"/>
    </row>
    <row r="76" spans="1:27" s="620" customFormat="1" ht="17.25" customHeight="1" thickBot="1">
      <c r="A76" s="34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0"/>
      <c r="P76" s="345"/>
      <c r="Q76" s="358"/>
      <c r="R76" s="246"/>
      <c r="S76" s="236"/>
      <c r="T76" s="266"/>
      <c r="U76" s="194"/>
      <c r="V76" s="193"/>
      <c r="W76" s="193"/>
      <c r="X76" s="731"/>
      <c r="Y76" s="262"/>
      <c r="Z76" s="263"/>
      <c r="AA76" s="242"/>
    </row>
    <row r="77" spans="1:27" s="350" customFormat="1" ht="23.25" customHeight="1">
      <c r="A77" s="739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0"/>
      <c r="P77" s="345"/>
      <c r="Q77" s="358"/>
      <c r="R77" s="246"/>
      <c r="S77" s="236"/>
      <c r="T77" s="266"/>
      <c r="U77" s="194"/>
      <c r="V77" s="193"/>
      <c r="W77" s="193"/>
      <c r="X77" s="731"/>
      <c r="Y77" s="262"/>
      <c r="Z77" s="263"/>
      <c r="AA77" s="242"/>
    </row>
    <row r="78" spans="1:27" s="350" customFormat="1" ht="21" customHeight="1">
      <c r="A78" s="739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366"/>
      <c r="Q78" s="355"/>
      <c r="R78" s="196"/>
      <c r="S78" s="197"/>
      <c r="T78" s="368"/>
      <c r="U78" s="198"/>
      <c r="V78" s="199"/>
      <c r="W78" s="199"/>
      <c r="X78" s="731"/>
      <c r="Y78" s="200"/>
      <c r="Z78" s="186"/>
      <c r="AA78" s="242"/>
    </row>
    <row r="79" spans="1:27" s="350" customFormat="1" ht="24.75" customHeight="1">
      <c r="A79" s="739"/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366"/>
      <c r="Q79" s="355"/>
      <c r="R79" s="196"/>
      <c r="S79" s="197"/>
      <c r="T79" s="368"/>
      <c r="U79" s="198"/>
      <c r="V79" s="199"/>
      <c r="W79" s="199"/>
      <c r="X79" s="731"/>
      <c r="Y79" s="200"/>
      <c r="Z79" s="186"/>
      <c r="AA79" s="242"/>
    </row>
    <row r="80" spans="1:27" s="350" customFormat="1" ht="22.5" hidden="1" customHeight="1">
      <c r="A80" s="34"/>
      <c r="B80" s="680"/>
      <c r="C80" s="680"/>
      <c r="D80" s="680"/>
      <c r="E80" s="680"/>
      <c r="F80" s="680"/>
      <c r="G80" s="680"/>
      <c r="H80" s="680"/>
      <c r="I80" s="680"/>
      <c r="J80" s="680"/>
      <c r="K80" s="680"/>
      <c r="L80" s="680"/>
      <c r="M80" s="680"/>
      <c r="N80" s="680"/>
      <c r="O80" s="680"/>
      <c r="P80" s="366"/>
      <c r="Q80" s="355"/>
      <c r="R80" s="196"/>
      <c r="S80" s="197"/>
      <c r="T80" s="368"/>
      <c r="U80" s="198"/>
      <c r="V80" s="199"/>
      <c r="W80" s="199"/>
      <c r="X80" s="731"/>
      <c r="Y80" s="200"/>
      <c r="Z80" s="186"/>
      <c r="AA80" s="242"/>
    </row>
    <row r="81" spans="1:27" s="350" customFormat="1" ht="17.25" customHeight="1">
      <c r="A81" s="35"/>
      <c r="B81" s="680"/>
      <c r="C81" s="680"/>
      <c r="D81" s="680"/>
      <c r="E81" s="680"/>
      <c r="F81" s="680"/>
      <c r="G81" s="680"/>
      <c r="H81" s="680"/>
      <c r="I81" s="680"/>
      <c r="J81" s="680"/>
      <c r="K81" s="680"/>
      <c r="L81" s="680"/>
      <c r="M81" s="680"/>
      <c r="N81" s="680"/>
      <c r="O81" s="680"/>
      <c r="P81" s="619"/>
      <c r="Q81" s="356"/>
      <c r="R81" s="238"/>
      <c r="S81" s="239"/>
      <c r="T81" s="382"/>
      <c r="U81" s="380"/>
      <c r="V81" s="240"/>
      <c r="W81" s="240"/>
      <c r="X81" s="714"/>
      <c r="Y81" s="302"/>
      <c r="Z81" s="234"/>
      <c r="AA81" s="242"/>
    </row>
    <row r="82" spans="1:27" s="350" customFormat="1" ht="17.25" customHeight="1" thickBot="1">
      <c r="A82" s="616">
        <v>7</v>
      </c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0"/>
      <c r="P82" s="245"/>
      <c r="Q82" s="424"/>
      <c r="R82" s="246"/>
      <c r="S82" s="236"/>
      <c r="T82" s="247"/>
      <c r="U82" s="253"/>
      <c r="V82" s="247"/>
      <c r="W82" s="247"/>
      <c r="X82" s="750"/>
      <c r="Y82" s="245"/>
      <c r="Z82" s="263"/>
      <c r="AA82" s="630"/>
    </row>
    <row r="83" spans="1:27" s="350" customFormat="1" ht="17.25" customHeight="1">
      <c r="A83" s="34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0"/>
      <c r="P83" s="262"/>
      <c r="Q83" s="424"/>
      <c r="R83" s="264"/>
      <c r="S83" s="265"/>
      <c r="T83" s="266"/>
      <c r="U83" s="267"/>
      <c r="V83" s="266"/>
      <c r="W83" s="266"/>
      <c r="X83" s="731"/>
      <c r="Y83" s="262"/>
      <c r="Z83" s="263"/>
      <c r="AA83" s="268"/>
    </row>
    <row r="84" spans="1:27" s="350" customFormat="1" ht="17.25" customHeight="1">
      <c r="A84" s="34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262"/>
      <c r="Q84" s="354"/>
      <c r="R84" s="264"/>
      <c r="S84" s="265"/>
      <c r="T84" s="266"/>
      <c r="U84" s="267"/>
      <c r="V84" s="266"/>
      <c r="W84" s="266"/>
      <c r="X84" s="731"/>
      <c r="Y84" s="262"/>
      <c r="Z84" s="263"/>
      <c r="AA84" s="340"/>
    </row>
    <row r="85" spans="1:27" s="350" customFormat="1" ht="36" customHeight="1">
      <c r="A85" s="34"/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262"/>
      <c r="Q85" s="424"/>
      <c r="R85" s="246"/>
      <c r="S85" s="236"/>
      <c r="T85" s="266"/>
      <c r="U85" s="194"/>
      <c r="V85" s="193"/>
      <c r="W85" s="193"/>
      <c r="X85" s="731"/>
      <c r="Y85" s="262"/>
      <c r="Z85" s="263"/>
      <c r="AA85" s="242"/>
    </row>
    <row r="86" spans="1:27" s="350" customFormat="1" ht="23.25" customHeight="1">
      <c r="A86" s="739"/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28"/>
      <c r="Q86" s="629"/>
      <c r="R86" s="246"/>
      <c r="S86" s="236"/>
      <c r="T86" s="266"/>
      <c r="U86" s="194"/>
      <c r="V86" s="193"/>
      <c r="W86" s="193"/>
      <c r="X86" s="731"/>
      <c r="Y86" s="262"/>
      <c r="Z86" s="263"/>
      <c r="AA86" s="242"/>
    </row>
    <row r="87" spans="1:27" s="350" customFormat="1" ht="21" customHeight="1">
      <c r="A87" s="739"/>
      <c r="B87" s="680"/>
      <c r="C87" s="680"/>
      <c r="D87" s="680"/>
      <c r="E87" s="680"/>
      <c r="F87" s="680"/>
      <c r="G87" s="680"/>
      <c r="H87" s="680"/>
      <c r="I87" s="680"/>
      <c r="J87" s="680"/>
      <c r="K87" s="680"/>
      <c r="L87" s="680"/>
      <c r="M87" s="680"/>
      <c r="N87" s="680"/>
      <c r="O87" s="680"/>
      <c r="P87" s="628"/>
      <c r="Q87" s="629"/>
      <c r="R87" s="246"/>
      <c r="S87" s="236"/>
      <c r="T87" s="266"/>
      <c r="U87" s="194"/>
      <c r="V87" s="193"/>
      <c r="W87" s="193"/>
      <c r="X87" s="731"/>
      <c r="Y87" s="262"/>
      <c r="Z87" s="263"/>
      <c r="AA87" s="242"/>
    </row>
    <row r="88" spans="1:27" s="350" customFormat="1" ht="24.75" customHeight="1">
      <c r="A88" s="739"/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  <c r="N88" s="680"/>
      <c r="O88" s="680"/>
      <c r="P88" s="366"/>
      <c r="Q88" s="355"/>
      <c r="R88" s="196"/>
      <c r="S88" s="197"/>
      <c r="T88" s="368"/>
      <c r="U88" s="198"/>
      <c r="V88" s="199"/>
      <c r="W88" s="199"/>
      <c r="X88" s="731"/>
      <c r="Y88" s="200"/>
      <c r="Z88" s="186"/>
      <c r="AA88" s="242"/>
    </row>
    <row r="89" spans="1:27" s="350" customFormat="1" ht="22.5" hidden="1" customHeight="1">
      <c r="A89" s="34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0"/>
      <c r="P89" s="366"/>
      <c r="Q89" s="355"/>
      <c r="R89" s="196"/>
      <c r="S89" s="197"/>
      <c r="T89" s="368"/>
      <c r="U89" s="198"/>
      <c r="V89" s="199"/>
      <c r="W89" s="199"/>
      <c r="X89" s="731"/>
      <c r="Y89" s="200"/>
      <c r="Z89" s="186"/>
      <c r="AA89" s="242"/>
    </row>
    <row r="90" spans="1:27" s="350" customFormat="1" ht="17.25" customHeight="1">
      <c r="A90" s="34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366"/>
      <c r="Q90" s="355"/>
      <c r="R90" s="196"/>
      <c r="S90" s="197"/>
      <c r="T90" s="368"/>
      <c r="U90" s="198"/>
      <c r="V90" s="199"/>
      <c r="W90" s="199"/>
      <c r="X90" s="731"/>
      <c r="Y90" s="200"/>
      <c r="Z90" s="186"/>
      <c r="AA90" s="242"/>
    </row>
    <row r="91" spans="1:27" s="350" customFormat="1" ht="17.25" customHeight="1" thickBot="1">
      <c r="A91" s="35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19"/>
      <c r="Q91" s="356"/>
      <c r="R91" s="238"/>
      <c r="S91" s="239"/>
      <c r="T91" s="382"/>
      <c r="U91" s="380"/>
      <c r="V91" s="240"/>
      <c r="W91" s="240"/>
      <c r="X91" s="759"/>
      <c r="Y91" s="302"/>
      <c r="Z91" s="234"/>
      <c r="AA91" s="242"/>
    </row>
    <row r="92" spans="1:27" s="350" customFormat="1" ht="17.25" customHeight="1">
      <c r="A92" s="689">
        <v>8</v>
      </c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262"/>
      <c r="Q92" s="357"/>
      <c r="R92" s="264"/>
      <c r="S92" s="265"/>
      <c r="T92" s="193"/>
      <c r="U92" s="267"/>
      <c r="V92" s="266"/>
      <c r="W92" s="266"/>
      <c r="X92" s="733"/>
      <c r="Y92" s="262"/>
      <c r="Z92" s="263"/>
      <c r="AA92" s="248"/>
    </row>
    <row r="93" spans="1:27" s="350" customFormat="1" ht="17.25" customHeight="1">
      <c r="A93" s="690"/>
      <c r="B93" s="680"/>
      <c r="C93" s="680"/>
      <c r="D93" s="680"/>
      <c r="E93" s="680"/>
      <c r="F93" s="680"/>
      <c r="G93" s="680"/>
      <c r="H93" s="680"/>
      <c r="I93" s="680"/>
      <c r="J93" s="680"/>
      <c r="K93" s="680"/>
      <c r="L93" s="680"/>
      <c r="M93" s="680"/>
      <c r="N93" s="680"/>
      <c r="O93" s="680"/>
      <c r="P93" s="191"/>
      <c r="Q93" s="354"/>
      <c r="R93" s="192"/>
      <c r="S93" s="188"/>
      <c r="T93" s="193"/>
      <c r="U93" s="194"/>
      <c r="V93" s="193"/>
      <c r="W93" s="193"/>
      <c r="X93" s="731"/>
      <c r="Y93" s="191"/>
      <c r="Z93" s="186"/>
      <c r="AA93" s="235"/>
    </row>
    <row r="94" spans="1:27" s="350" customFormat="1" ht="36" customHeight="1">
      <c r="A94" s="683"/>
      <c r="B94" s="680"/>
      <c r="C94" s="680"/>
      <c r="D94" s="680"/>
      <c r="E94" s="680"/>
      <c r="F94" s="680"/>
      <c r="G94" s="680"/>
      <c r="H94" s="680"/>
      <c r="I94" s="680"/>
      <c r="J94" s="680"/>
      <c r="K94" s="680"/>
      <c r="L94" s="680"/>
      <c r="M94" s="680"/>
      <c r="N94" s="680"/>
      <c r="O94" s="680"/>
      <c r="P94" s="262"/>
      <c r="Q94" s="354"/>
      <c r="R94" s="192"/>
      <c r="S94" s="188"/>
      <c r="T94" s="193"/>
      <c r="U94" s="194"/>
      <c r="V94" s="193"/>
      <c r="W94" s="193"/>
      <c r="X94" s="731"/>
      <c r="Y94" s="191"/>
      <c r="Z94" s="186"/>
      <c r="AA94" s="242"/>
    </row>
    <row r="95" spans="1:27" s="350" customFormat="1" ht="23.25" customHeight="1" thickBot="1">
      <c r="A95" s="346"/>
      <c r="B95" s="680"/>
      <c r="C95" s="680"/>
      <c r="D95" s="680"/>
      <c r="E95" s="680"/>
      <c r="F95" s="680"/>
      <c r="G95" s="680"/>
      <c r="H95" s="680"/>
      <c r="I95" s="680"/>
      <c r="J95" s="680"/>
      <c r="K95" s="680"/>
      <c r="L95" s="680"/>
      <c r="M95" s="680"/>
      <c r="N95" s="680"/>
      <c r="O95" s="680"/>
      <c r="P95" s="555"/>
      <c r="Q95" s="357"/>
      <c r="R95" s="192"/>
      <c r="S95" s="192"/>
      <c r="T95" s="192"/>
      <c r="U95" s="194"/>
      <c r="V95" s="193"/>
      <c r="W95" s="193"/>
      <c r="X95" s="690"/>
      <c r="Y95" s="191"/>
      <c r="Z95" s="186"/>
      <c r="AA95" s="242"/>
    </row>
    <row r="96" spans="1:27" s="350" customFormat="1" ht="21" hidden="1" customHeight="1" thickBot="1">
      <c r="A96" s="367"/>
      <c r="B96" s="680"/>
      <c r="C96" s="680"/>
      <c r="D96" s="680"/>
      <c r="E96" s="680"/>
      <c r="F96" s="680"/>
      <c r="G96" s="680"/>
      <c r="H96" s="680"/>
      <c r="I96" s="680"/>
      <c r="J96" s="680"/>
      <c r="K96" s="680"/>
      <c r="L96" s="680"/>
      <c r="M96" s="680"/>
      <c r="N96" s="680"/>
      <c r="O96" s="680"/>
      <c r="P96" s="366"/>
      <c r="Q96" s="355"/>
      <c r="R96" s="196"/>
      <c r="S96" s="197"/>
      <c r="T96" s="199"/>
      <c r="U96" s="198"/>
      <c r="V96" s="199"/>
      <c r="W96" s="199"/>
      <c r="X96" s="690"/>
      <c r="Y96" s="200"/>
      <c r="Z96" s="186"/>
      <c r="AA96" s="242"/>
    </row>
    <row r="97" spans="1:27" s="627" customFormat="1" ht="24" customHeight="1" thickTop="1">
      <c r="A97" s="34"/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0"/>
      <c r="N97" s="680"/>
      <c r="O97" s="680"/>
      <c r="P97" s="195"/>
      <c r="Q97" s="355"/>
      <c r="R97" s="196"/>
      <c r="S97" s="197"/>
      <c r="T97" s="199"/>
      <c r="U97" s="198"/>
      <c r="V97" s="199"/>
      <c r="W97" s="199"/>
      <c r="X97" s="731"/>
      <c r="Y97" s="200"/>
      <c r="Z97" s="186"/>
      <c r="AA97" s="242"/>
    </row>
    <row r="98" spans="1:27" s="350" customFormat="1" ht="18.75" hidden="1" customHeight="1">
      <c r="A98" s="34"/>
      <c r="B98" s="680"/>
      <c r="C98" s="680"/>
      <c r="D98" s="680"/>
      <c r="E98" s="680"/>
      <c r="F98" s="680"/>
      <c r="G98" s="680"/>
      <c r="H98" s="680"/>
      <c r="I98" s="680"/>
      <c r="J98" s="680"/>
      <c r="K98" s="680"/>
      <c r="L98" s="680"/>
      <c r="M98" s="680"/>
      <c r="N98" s="680"/>
      <c r="O98" s="680"/>
      <c r="P98" s="195"/>
      <c r="Q98" s="355"/>
      <c r="R98" s="196"/>
      <c r="S98" s="197"/>
      <c r="T98" s="199"/>
      <c r="U98" s="198"/>
      <c r="V98" s="199"/>
      <c r="W98" s="199"/>
      <c r="X98" s="731"/>
      <c r="Y98" s="200"/>
      <c r="Z98" s="186"/>
      <c r="AA98" s="242"/>
    </row>
    <row r="99" spans="1:27" s="350" customFormat="1" hidden="1">
      <c r="A99" s="34"/>
      <c r="B99" s="680"/>
      <c r="C99" s="680"/>
      <c r="D99" s="680"/>
      <c r="E99" s="680"/>
      <c r="F99" s="680"/>
      <c r="G99" s="680"/>
      <c r="H99" s="680"/>
      <c r="I99" s="680"/>
      <c r="J99" s="680"/>
      <c r="K99" s="680"/>
      <c r="L99" s="680"/>
      <c r="M99" s="680"/>
      <c r="N99" s="680"/>
      <c r="O99" s="680"/>
      <c r="P99" s="195"/>
      <c r="Q99" s="355"/>
      <c r="R99" s="196"/>
      <c r="S99" s="197"/>
      <c r="T99" s="199"/>
      <c r="U99" s="198"/>
      <c r="V99" s="199"/>
      <c r="W99" s="199"/>
      <c r="X99" s="731"/>
      <c r="Y99" s="200"/>
      <c r="Z99" s="186"/>
      <c r="AA99" s="242"/>
    </row>
    <row r="100" spans="1:27" s="350" customFormat="1" hidden="1">
      <c r="A100" s="34"/>
      <c r="B100" s="680"/>
      <c r="C100" s="680"/>
      <c r="D100" s="680"/>
      <c r="E100" s="680"/>
      <c r="F100" s="680"/>
      <c r="G100" s="680"/>
      <c r="H100" s="680"/>
      <c r="I100" s="680"/>
      <c r="J100" s="680"/>
      <c r="K100" s="680"/>
      <c r="L100" s="680"/>
      <c r="M100" s="680"/>
      <c r="N100" s="680"/>
      <c r="O100" s="680"/>
      <c r="P100" s="379"/>
      <c r="Q100" s="356"/>
      <c r="R100" s="238"/>
      <c r="S100" s="239"/>
      <c r="T100" s="240"/>
      <c r="U100" s="380"/>
      <c r="V100" s="240"/>
      <c r="W100" s="240"/>
      <c r="X100" s="714"/>
      <c r="Y100" s="548"/>
      <c r="Z100" s="622"/>
      <c r="AA100" s="623"/>
    </row>
    <row r="101" spans="1:27" s="350" customFormat="1" ht="24" hidden="1" customHeight="1">
      <c r="A101" s="689">
        <v>9</v>
      </c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0"/>
      <c r="P101" s="262"/>
      <c r="Q101" s="262"/>
      <c r="R101" s="262"/>
      <c r="S101" s="262"/>
      <c r="T101" s="266"/>
      <c r="U101" s="266"/>
      <c r="V101" s="266"/>
      <c r="W101" s="266"/>
      <c r="X101" s="733"/>
      <c r="Y101" s="262"/>
      <c r="Z101" s="263"/>
      <c r="AA101" s="248"/>
    </row>
    <row r="102" spans="1:27" s="350" customFormat="1" ht="24" hidden="1" customHeight="1">
      <c r="A102" s="69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0"/>
      <c r="P102" s="262"/>
      <c r="Q102" s="262"/>
      <c r="R102" s="262"/>
      <c r="S102" s="262"/>
      <c r="T102" s="193"/>
      <c r="U102" s="266"/>
      <c r="V102" s="266"/>
      <c r="W102" s="266"/>
      <c r="X102" s="731"/>
      <c r="Y102" s="191"/>
      <c r="Z102" s="186"/>
      <c r="AA102" s="235"/>
    </row>
    <row r="103" spans="1:27" s="350" customFormat="1" ht="24" hidden="1" customHeight="1">
      <c r="A103" s="683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262"/>
      <c r="Q103" s="262"/>
      <c r="R103" s="262"/>
      <c r="S103" s="262"/>
      <c r="T103" s="193"/>
      <c r="U103" s="266"/>
      <c r="V103" s="266"/>
      <c r="W103" s="266"/>
      <c r="X103" s="731"/>
      <c r="Y103" s="191"/>
      <c r="Z103" s="186"/>
      <c r="AA103" s="242"/>
    </row>
    <row r="104" spans="1:27" s="350" customFormat="1" ht="24" hidden="1" customHeight="1">
      <c r="A104" s="346"/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555"/>
      <c r="Q104" s="357"/>
      <c r="R104" s="192"/>
      <c r="S104" s="192"/>
      <c r="T104" s="192"/>
      <c r="U104" s="194"/>
      <c r="V104" s="193"/>
      <c r="W104" s="193"/>
      <c r="X104" s="731"/>
      <c r="Y104" s="191"/>
      <c r="Z104" s="186"/>
      <c r="AA104" s="242"/>
    </row>
    <row r="105" spans="1:27" s="350" customFormat="1" ht="24" hidden="1" customHeight="1">
      <c r="A105" s="367"/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366"/>
      <c r="Q105" s="355"/>
      <c r="R105" s="196"/>
      <c r="S105" s="197"/>
      <c r="T105" s="199"/>
      <c r="U105" s="198"/>
      <c r="V105" s="199"/>
      <c r="W105" s="199"/>
      <c r="X105" s="731"/>
      <c r="Y105" s="200"/>
      <c r="Z105" s="186"/>
      <c r="AA105" s="242"/>
    </row>
    <row r="106" spans="1:27" s="350" customFormat="1" ht="24" hidden="1" customHeight="1">
      <c r="A106" s="34"/>
      <c r="B106" s="680"/>
      <c r="C106" s="680"/>
      <c r="D106" s="680"/>
      <c r="E106" s="680"/>
      <c r="F106" s="680"/>
      <c r="G106" s="680"/>
      <c r="H106" s="680"/>
      <c r="I106" s="680"/>
      <c r="J106" s="680"/>
      <c r="K106" s="680"/>
      <c r="L106" s="680"/>
      <c r="M106" s="680"/>
      <c r="N106" s="680"/>
      <c r="O106" s="680"/>
      <c r="P106" s="195"/>
      <c r="Q106" s="355"/>
      <c r="R106" s="196"/>
      <c r="S106" s="197"/>
      <c r="T106" s="199"/>
      <c r="U106" s="198"/>
      <c r="V106" s="199"/>
      <c r="W106" s="199"/>
      <c r="X106" s="731"/>
      <c r="Y106" s="200"/>
      <c r="Z106" s="186"/>
      <c r="AA106" s="242"/>
    </row>
    <row r="107" spans="1:27" s="350" customFormat="1" ht="24" hidden="1" customHeight="1">
      <c r="A107" s="34"/>
      <c r="B107" s="680"/>
      <c r="C107" s="680"/>
      <c r="D107" s="680"/>
      <c r="E107" s="680"/>
      <c r="F107" s="680"/>
      <c r="G107" s="680"/>
      <c r="H107" s="680"/>
      <c r="I107" s="680"/>
      <c r="J107" s="680"/>
      <c r="K107" s="680"/>
      <c r="L107" s="680"/>
      <c r="M107" s="680"/>
      <c r="N107" s="680"/>
      <c r="O107" s="680"/>
      <c r="P107" s="195"/>
      <c r="Q107" s="355"/>
      <c r="R107" s="196"/>
      <c r="S107" s="197"/>
      <c r="T107" s="199"/>
      <c r="U107" s="198"/>
      <c r="V107" s="199"/>
      <c r="W107" s="199"/>
      <c r="X107" s="731"/>
      <c r="Y107" s="200"/>
      <c r="Z107" s="186"/>
      <c r="AA107" s="242"/>
    </row>
    <row r="108" spans="1:27" s="350" customFormat="1" ht="24" hidden="1" customHeight="1">
      <c r="A108" s="34"/>
      <c r="B108" s="680"/>
      <c r="C108" s="680"/>
      <c r="D108" s="680"/>
      <c r="E108" s="680"/>
      <c r="F108" s="680"/>
      <c r="G108" s="680"/>
      <c r="H108" s="680"/>
      <c r="I108" s="680"/>
      <c r="J108" s="680"/>
      <c r="K108" s="680"/>
      <c r="L108" s="680"/>
      <c r="M108" s="680"/>
      <c r="N108" s="680"/>
      <c r="O108" s="680"/>
      <c r="P108" s="195"/>
      <c r="Q108" s="355"/>
      <c r="R108" s="196"/>
      <c r="S108" s="197"/>
      <c r="T108" s="199"/>
      <c r="U108" s="198"/>
      <c r="V108" s="199"/>
      <c r="W108" s="199"/>
      <c r="X108" s="731"/>
      <c r="Y108" s="200"/>
      <c r="Z108" s="186"/>
      <c r="AA108" s="242"/>
    </row>
    <row r="109" spans="1:27" s="350" customFormat="1" ht="24" hidden="1" customHeight="1">
      <c r="A109" s="34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0"/>
      <c r="P109" s="542"/>
      <c r="Q109" s="543"/>
      <c r="R109" s="544"/>
      <c r="S109" s="545"/>
      <c r="T109" s="546"/>
      <c r="U109" s="621"/>
      <c r="V109" s="546"/>
      <c r="W109" s="546"/>
      <c r="X109" s="714"/>
      <c r="Y109" s="548"/>
      <c r="Z109" s="622"/>
      <c r="AA109" s="623"/>
    </row>
    <row r="110" spans="1:27" s="350" customFormat="1" ht="24" hidden="1" customHeight="1">
      <c r="A110" s="639">
        <v>10</v>
      </c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0"/>
      <c r="P110" s="191"/>
      <c r="Q110" s="354"/>
      <c r="R110" s="192"/>
      <c r="S110" s="188"/>
      <c r="T110" s="193"/>
      <c r="U110" s="194"/>
      <c r="V110" s="193"/>
      <c r="W110" s="193"/>
      <c r="X110" s="761"/>
      <c r="Y110" s="191"/>
      <c r="Z110" s="186"/>
      <c r="AA110" s="248"/>
    </row>
    <row r="111" spans="1:27" s="350" customFormat="1" ht="24" hidden="1" customHeight="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555"/>
      <c r="Q111" s="661"/>
      <c r="R111" s="662"/>
      <c r="S111" s="663"/>
      <c r="T111" s="664"/>
      <c r="U111" s="665"/>
      <c r="V111" s="664"/>
      <c r="W111" s="664"/>
      <c r="X111" s="761"/>
      <c r="Y111" s="191"/>
      <c r="Z111" s="186"/>
      <c r="AA111" s="235"/>
    </row>
    <row r="112" spans="1:27" s="350" customFormat="1" ht="24" hidden="1" customHeight="1">
      <c r="A112" s="624">
        <v>1</v>
      </c>
      <c r="B112" s="673" t="s">
        <v>82</v>
      </c>
      <c r="C112" s="624" t="s">
        <v>83</v>
      </c>
      <c r="D112" s="624" t="s">
        <v>84</v>
      </c>
      <c r="E112" s="624" t="s">
        <v>85</v>
      </c>
      <c r="F112" s="624" t="s">
        <v>86</v>
      </c>
      <c r="G112" s="624" t="s">
        <v>80</v>
      </c>
      <c r="H112" s="624" t="s">
        <v>87</v>
      </c>
      <c r="I112" s="624"/>
      <c r="J112" s="624"/>
      <c r="K112" s="624"/>
      <c r="L112" s="624"/>
      <c r="M112" s="624">
        <v>1</v>
      </c>
      <c r="N112" s="624"/>
      <c r="O112" s="624"/>
      <c r="P112" s="668"/>
      <c r="Q112" s="668"/>
      <c r="R112" s="669"/>
      <c r="S112" s="670"/>
      <c r="T112" s="671"/>
      <c r="U112" s="672"/>
      <c r="V112" s="671"/>
      <c r="W112" s="671"/>
      <c r="X112" s="762"/>
      <c r="Y112" s="625"/>
      <c r="Z112" s="625"/>
      <c r="AA112" s="626"/>
    </row>
    <row r="113" spans="1:27" s="350" customFormat="1" ht="24" hidden="1" customHeight="1">
      <c r="A113" s="531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666"/>
      <c r="Q113" s="657"/>
      <c r="R113" s="658"/>
      <c r="S113" s="659"/>
      <c r="T113" s="660"/>
      <c r="U113" s="667"/>
      <c r="V113" s="660"/>
      <c r="W113" s="660"/>
      <c r="X113" s="707"/>
      <c r="Y113" s="377"/>
      <c r="Z113" s="263"/>
      <c r="AA113" s="532"/>
    </row>
    <row r="114" spans="1:27" s="350" customFormat="1" ht="24" hidden="1" customHeight="1">
      <c r="A114" s="531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533"/>
      <c r="Q114" s="534"/>
      <c r="R114" s="535"/>
      <c r="S114" s="536"/>
      <c r="T114" s="537"/>
      <c r="U114" s="538"/>
      <c r="V114" s="537"/>
      <c r="W114" s="537"/>
      <c r="X114" s="707"/>
      <c r="Y114" s="377"/>
      <c r="Z114" s="263"/>
      <c r="AA114" s="532"/>
    </row>
    <row r="115" spans="1:27" s="350" customFormat="1" ht="42" customHeight="1">
      <c r="A115" s="531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533"/>
      <c r="Q115" s="534"/>
      <c r="R115" s="535"/>
      <c r="S115" s="536"/>
      <c r="T115" s="537"/>
      <c r="U115" s="538"/>
      <c r="V115" s="537"/>
      <c r="W115" s="537"/>
      <c r="X115" s="707"/>
      <c r="Y115" s="377"/>
      <c r="Z115" s="263"/>
      <c r="AA115" s="532"/>
    </row>
    <row r="116" spans="1:27" s="350" customFormat="1" ht="21.75" customHeight="1">
      <c r="A116" s="531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533"/>
      <c r="Q116" s="534"/>
      <c r="R116" s="535"/>
      <c r="S116" s="536"/>
      <c r="T116" s="537"/>
      <c r="U116" s="538"/>
      <c r="V116" s="537"/>
      <c r="W116" s="537"/>
      <c r="X116" s="707"/>
      <c r="Y116" s="377"/>
      <c r="Z116" s="263"/>
      <c r="AA116" s="539"/>
    </row>
    <row r="117" spans="1:27" s="350" customFormat="1" ht="21.75" customHeight="1">
      <c r="A117" s="531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533"/>
      <c r="Q117" s="534"/>
      <c r="R117" s="535"/>
      <c r="S117" s="536"/>
      <c r="T117" s="537"/>
      <c r="U117" s="538"/>
      <c r="V117" s="537"/>
      <c r="W117" s="537"/>
      <c r="X117" s="707"/>
      <c r="Y117" s="377"/>
      <c r="Z117" s="263"/>
      <c r="AA117" s="539"/>
    </row>
    <row r="118" spans="1:27" s="350" customFormat="1" ht="25.5" customHeight="1">
      <c r="A118" s="540"/>
      <c r="B118" s="39"/>
      <c r="C118" s="115"/>
      <c r="D118" s="40"/>
      <c r="E118" s="40"/>
      <c r="F118" s="39"/>
      <c r="G118" s="39"/>
      <c r="H118" s="39"/>
      <c r="I118" s="39"/>
      <c r="J118" s="61"/>
      <c r="K118" s="33"/>
      <c r="L118" s="33"/>
      <c r="M118" s="33"/>
      <c r="N118" s="33"/>
      <c r="O118" s="43"/>
      <c r="P118" s="533"/>
      <c r="Q118" s="534"/>
      <c r="R118" s="535"/>
      <c r="S118" s="536"/>
      <c r="T118" s="537"/>
      <c r="U118" s="538"/>
      <c r="V118" s="537"/>
      <c r="W118" s="537"/>
      <c r="X118" s="707"/>
      <c r="Y118" s="377"/>
      <c r="Z118" s="263"/>
      <c r="AA118" s="539"/>
    </row>
    <row r="119" spans="1:27" s="350" customFormat="1" ht="25.5" customHeight="1">
      <c r="A119" s="540"/>
      <c r="B119" s="39"/>
      <c r="C119" s="115"/>
      <c r="D119" s="40"/>
      <c r="E119" s="40"/>
      <c r="F119" s="39"/>
      <c r="G119" s="39"/>
      <c r="H119" s="39"/>
      <c r="I119" s="39"/>
      <c r="J119" s="61"/>
      <c r="K119" s="33"/>
      <c r="L119" s="33"/>
      <c r="M119" s="33"/>
      <c r="N119" s="33"/>
      <c r="O119" s="43"/>
      <c r="P119" s="533"/>
      <c r="Q119" s="534"/>
      <c r="R119" s="535"/>
      <c r="S119" s="536"/>
      <c r="T119" s="537"/>
      <c r="U119" s="538"/>
      <c r="V119" s="537"/>
      <c r="W119" s="537"/>
      <c r="X119" s="707"/>
      <c r="Y119" s="377"/>
      <c r="Z119" s="263"/>
      <c r="AA119" s="539"/>
    </row>
    <row r="120" spans="1:27" s="350" customFormat="1" ht="25.5" customHeight="1">
      <c r="A120" s="540"/>
      <c r="B120" s="39"/>
      <c r="C120" s="115"/>
      <c r="D120" s="40"/>
      <c r="E120" s="40"/>
      <c r="F120" s="39"/>
      <c r="G120" s="39"/>
      <c r="H120" s="39"/>
      <c r="I120" s="39"/>
      <c r="J120" s="61"/>
      <c r="K120" s="33"/>
      <c r="L120" s="33"/>
      <c r="M120" s="33"/>
      <c r="N120" s="33"/>
      <c r="O120" s="43"/>
      <c r="P120" s="533"/>
      <c r="Q120" s="534"/>
      <c r="R120" s="535"/>
      <c r="S120" s="536"/>
      <c r="T120" s="537"/>
      <c r="U120" s="538"/>
      <c r="V120" s="537"/>
      <c r="W120" s="537"/>
      <c r="X120" s="707"/>
      <c r="Y120" s="377"/>
      <c r="Z120" s="263"/>
      <c r="AA120" s="539"/>
    </row>
    <row r="121" spans="1:27" s="350" customFormat="1" ht="25.5" customHeight="1">
      <c r="A121" s="540"/>
      <c r="B121" s="39"/>
      <c r="C121" s="115"/>
      <c r="D121" s="40"/>
      <c r="E121" s="40"/>
      <c r="F121" s="39"/>
      <c r="G121" s="39"/>
      <c r="H121" s="39"/>
      <c r="I121" s="39"/>
      <c r="J121" s="61"/>
      <c r="K121" s="33"/>
      <c r="L121" s="33"/>
      <c r="M121" s="33"/>
      <c r="N121" s="33"/>
      <c r="O121" s="43"/>
      <c r="P121" s="533"/>
      <c r="Q121" s="534"/>
      <c r="R121" s="535"/>
      <c r="S121" s="536"/>
      <c r="T121" s="537"/>
      <c r="U121" s="538"/>
      <c r="V121" s="537"/>
      <c r="W121" s="537"/>
      <c r="X121" s="707"/>
      <c r="Y121" s="377"/>
      <c r="Z121" s="263"/>
      <c r="AA121" s="539"/>
    </row>
    <row r="122" spans="1:27" s="350" customFormat="1" ht="25.5" customHeight="1">
      <c r="A122" s="540"/>
      <c r="B122" s="39"/>
      <c r="C122" s="115"/>
      <c r="D122" s="40"/>
      <c r="E122" s="40"/>
      <c r="F122" s="39"/>
      <c r="G122" s="39"/>
      <c r="H122" s="39"/>
      <c r="I122" s="39"/>
      <c r="J122" s="61"/>
      <c r="K122" s="33"/>
      <c r="L122" s="33"/>
      <c r="M122" s="33"/>
      <c r="N122" s="33"/>
      <c r="O122" s="43"/>
      <c r="P122" s="533"/>
      <c r="Q122" s="534"/>
      <c r="R122" s="535"/>
      <c r="S122" s="536"/>
      <c r="T122" s="537"/>
      <c r="U122" s="538"/>
      <c r="V122" s="537"/>
      <c r="W122" s="537"/>
      <c r="X122" s="707"/>
      <c r="Y122" s="541"/>
      <c r="Z122" s="263"/>
      <c r="AA122" s="539"/>
    </row>
    <row r="123" spans="1:27" s="350" customFormat="1" ht="25.5" customHeight="1">
      <c r="A123" s="540"/>
      <c r="B123" s="39"/>
      <c r="C123" s="115"/>
      <c r="D123" s="40"/>
      <c r="E123" s="40"/>
      <c r="F123" s="39"/>
      <c r="G123" s="39"/>
      <c r="H123" s="39"/>
      <c r="I123" s="39"/>
      <c r="J123" s="61"/>
      <c r="K123" s="33"/>
      <c r="L123" s="33"/>
      <c r="M123" s="33"/>
      <c r="N123" s="33"/>
      <c r="O123" s="43"/>
      <c r="P123" s="533"/>
      <c r="Q123" s="534"/>
      <c r="R123" s="535"/>
      <c r="S123" s="536"/>
      <c r="T123" s="537"/>
      <c r="U123" s="538"/>
      <c r="V123" s="537"/>
      <c r="W123" s="537"/>
      <c r="X123" s="707"/>
      <c r="Y123" s="541"/>
      <c r="Z123" s="263"/>
      <c r="AA123" s="539"/>
    </row>
    <row r="124" spans="1:27" s="350" customFormat="1" ht="25.5" customHeight="1">
      <c r="A124" s="540"/>
      <c r="B124" s="39"/>
      <c r="C124" s="115"/>
      <c r="D124" s="40"/>
      <c r="E124" s="40"/>
      <c r="F124" s="39"/>
      <c r="G124" s="39"/>
      <c r="H124" s="39"/>
      <c r="I124" s="39"/>
      <c r="J124" s="61"/>
      <c r="K124" s="33"/>
      <c r="L124" s="33"/>
      <c r="M124" s="33"/>
      <c r="N124" s="33"/>
      <c r="O124" s="43"/>
      <c r="P124" s="533"/>
      <c r="Q124" s="534"/>
      <c r="R124" s="535"/>
      <c r="S124" s="536"/>
      <c r="T124" s="537"/>
      <c r="U124" s="538"/>
      <c r="V124" s="537"/>
      <c r="W124" s="537"/>
      <c r="X124" s="707"/>
      <c r="Y124" s="541"/>
      <c r="Z124" s="263"/>
      <c r="AA124" s="539"/>
    </row>
    <row r="125" spans="1:27" s="350" customFormat="1" ht="25.5" customHeight="1">
      <c r="A125" s="540"/>
      <c r="B125" s="39"/>
      <c r="C125" s="115"/>
      <c r="D125" s="40"/>
      <c r="E125" s="40"/>
      <c r="F125" s="39"/>
      <c r="G125" s="39"/>
      <c r="H125" s="39"/>
      <c r="I125" s="39"/>
      <c r="J125" s="61"/>
      <c r="K125" s="33"/>
      <c r="L125" s="33"/>
      <c r="M125" s="33"/>
      <c r="N125" s="33"/>
      <c r="O125" s="43"/>
      <c r="P125" s="533"/>
      <c r="Q125" s="534"/>
      <c r="R125" s="535"/>
      <c r="S125" s="536"/>
      <c r="T125" s="537"/>
      <c r="U125" s="538"/>
      <c r="V125" s="537"/>
      <c r="W125" s="537"/>
      <c r="X125" s="707"/>
      <c r="Y125" s="541"/>
      <c r="Z125" s="263"/>
      <c r="AA125" s="539"/>
    </row>
    <row r="126" spans="1:27" s="350" customFormat="1" ht="54.75" customHeight="1">
      <c r="A126" s="540"/>
      <c r="B126" s="39"/>
      <c r="C126" s="115"/>
      <c r="D126" s="40"/>
      <c r="E126" s="40"/>
      <c r="F126" s="39"/>
      <c r="G126" s="39"/>
      <c r="H126" s="39"/>
      <c r="I126" s="39"/>
      <c r="J126" s="61"/>
      <c r="K126" s="33"/>
      <c r="L126" s="33"/>
      <c r="M126" s="33"/>
      <c r="N126" s="33"/>
      <c r="O126" s="43"/>
      <c r="P126" s="533"/>
      <c r="Q126" s="534"/>
      <c r="R126" s="535"/>
      <c r="S126" s="536"/>
      <c r="T126" s="537"/>
      <c r="U126" s="538"/>
      <c r="V126" s="537"/>
      <c r="W126" s="537"/>
      <c r="X126" s="707"/>
      <c r="Y126" s="541"/>
      <c r="Z126" s="263"/>
      <c r="AA126" s="539"/>
    </row>
    <row r="127" spans="1:27" s="350" customFormat="1" ht="25.5" customHeight="1">
      <c r="A127" s="540"/>
      <c r="B127" s="39"/>
      <c r="C127" s="115"/>
      <c r="D127" s="40"/>
      <c r="E127" s="40"/>
      <c r="F127" s="39"/>
      <c r="G127" s="39"/>
      <c r="H127" s="39"/>
      <c r="I127" s="39"/>
      <c r="J127" s="61"/>
      <c r="K127" s="33"/>
      <c r="L127" s="33"/>
      <c r="M127" s="33"/>
      <c r="N127" s="33"/>
      <c r="O127" s="43"/>
      <c r="P127" s="533"/>
      <c r="Q127" s="534"/>
      <c r="R127" s="535"/>
      <c r="S127" s="536"/>
      <c r="T127" s="537"/>
      <c r="U127" s="538"/>
      <c r="V127" s="537"/>
      <c r="W127" s="537"/>
      <c r="X127" s="707"/>
      <c r="Y127" s="541"/>
      <c r="Z127" s="263"/>
      <c r="AA127" s="539"/>
    </row>
    <row r="128" spans="1:27" s="350" customFormat="1" ht="25.5" customHeight="1">
      <c r="A128" s="540"/>
      <c r="B128" s="39"/>
      <c r="C128" s="115"/>
      <c r="D128" s="40"/>
      <c r="E128" s="40"/>
      <c r="F128" s="39"/>
      <c r="G128" s="39"/>
      <c r="H128" s="39"/>
      <c r="I128" s="39"/>
      <c r="J128" s="61"/>
      <c r="K128" s="33"/>
      <c r="L128" s="33"/>
      <c r="M128" s="33"/>
      <c r="N128" s="33"/>
      <c r="O128" s="43"/>
      <c r="P128" s="533"/>
      <c r="Q128" s="534"/>
      <c r="R128" s="535"/>
      <c r="S128" s="536"/>
      <c r="T128" s="537"/>
      <c r="U128" s="538"/>
      <c r="V128" s="537"/>
      <c r="W128" s="537"/>
      <c r="X128" s="707"/>
      <c r="Y128" s="541"/>
      <c r="Z128" s="263"/>
      <c r="AA128" s="539"/>
    </row>
    <row r="129" spans="1:27" s="350" customFormat="1" ht="25.5" hidden="1" customHeight="1">
      <c r="A129" s="540"/>
      <c r="B129" s="39"/>
      <c r="C129" s="115"/>
      <c r="D129" s="40"/>
      <c r="E129" s="40"/>
      <c r="F129" s="39"/>
      <c r="G129" s="39"/>
      <c r="H129" s="39"/>
      <c r="I129" s="39"/>
      <c r="J129" s="61"/>
      <c r="K129" s="33"/>
      <c r="L129" s="33"/>
      <c r="M129" s="33"/>
      <c r="N129" s="33"/>
      <c r="O129" s="43"/>
      <c r="P129" s="542"/>
      <c r="Q129" s="543"/>
      <c r="R129" s="544"/>
      <c r="S129" s="545"/>
      <c r="T129" s="546"/>
      <c r="U129" s="547"/>
      <c r="V129" s="546"/>
      <c r="W129" s="546"/>
      <c r="X129" s="707"/>
      <c r="Y129" s="548"/>
      <c r="Z129" s="549"/>
      <c r="AA129" s="550"/>
    </row>
    <row r="130" spans="1:27" s="350" customFormat="1" ht="25.5" customHeight="1">
      <c r="A130" s="414">
        <v>2</v>
      </c>
      <c r="B130" s="400"/>
      <c r="C130" s="506"/>
      <c r="D130" s="334"/>
      <c r="E130" s="334"/>
      <c r="F130" s="505"/>
      <c r="G130" s="505"/>
      <c r="H130" s="505"/>
      <c r="I130" s="334"/>
      <c r="J130" s="420"/>
      <c r="K130" s="347"/>
      <c r="L130" s="347"/>
      <c r="M130" s="507"/>
      <c r="N130" s="504"/>
      <c r="O130" s="553"/>
      <c r="P130" s="191"/>
      <c r="Q130" s="354"/>
      <c r="R130" s="192"/>
      <c r="S130" s="188"/>
      <c r="T130" s="193"/>
      <c r="U130" s="194"/>
      <c r="V130" s="193"/>
      <c r="W130" s="193"/>
      <c r="X130" s="738"/>
      <c r="Y130" s="191"/>
      <c r="Z130" s="191"/>
      <c r="AA130" s="248"/>
    </row>
    <row r="131" spans="1:27" s="350" customFormat="1" ht="25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91"/>
      <c r="Q131" s="354"/>
      <c r="R131" s="192"/>
      <c r="S131" s="188"/>
      <c r="T131" s="193"/>
      <c r="U131" s="194"/>
      <c r="V131" s="193"/>
      <c r="W131" s="193"/>
      <c r="X131" s="731"/>
      <c r="Y131" s="191"/>
      <c r="Z131" s="191"/>
      <c r="AA131" s="235"/>
    </row>
    <row r="132" spans="1:27" s="350" customFormat="1" ht="25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201"/>
      <c r="Q132" s="354"/>
      <c r="R132" s="191"/>
      <c r="S132" s="191"/>
      <c r="T132" s="193"/>
      <c r="U132" s="194"/>
      <c r="V132" s="193"/>
      <c r="W132" s="193"/>
      <c r="X132" s="731"/>
      <c r="Y132" s="191"/>
      <c r="Z132" s="186"/>
      <c r="AA132" s="235"/>
    </row>
    <row r="133" spans="1:27" s="350" customFormat="1" ht="33.75" customHeight="1">
      <c r="A133" s="723"/>
      <c r="B133" s="107"/>
      <c r="C133" s="107"/>
      <c r="D133" s="723"/>
      <c r="E133" s="107"/>
      <c r="F133" s="723"/>
      <c r="G133" s="723"/>
      <c r="H133" s="723"/>
      <c r="I133" s="107"/>
      <c r="J133" s="107"/>
      <c r="K133" s="723"/>
      <c r="L133" s="723"/>
      <c r="M133" s="723"/>
      <c r="N133" s="723"/>
      <c r="O133" s="723"/>
      <c r="P133" s="195"/>
      <c r="Q133" s="355"/>
      <c r="R133" s="398"/>
      <c r="S133" s="398"/>
      <c r="T133" s="398"/>
      <c r="U133" s="401"/>
      <c r="V133" s="398"/>
      <c r="W133" s="368"/>
      <c r="X133" s="731"/>
      <c r="Y133" s="200"/>
      <c r="Z133" s="186"/>
      <c r="AA133" s="235"/>
    </row>
    <row r="134" spans="1:27" s="350" customFormat="1" ht="25.5" customHeight="1">
      <c r="A134" s="739"/>
      <c r="B134" s="107"/>
      <c r="C134" s="115"/>
      <c r="D134" s="724"/>
      <c r="E134" s="40"/>
      <c r="F134" s="724"/>
      <c r="G134" s="724"/>
      <c r="H134" s="724"/>
      <c r="I134" s="40"/>
      <c r="J134" s="61"/>
      <c r="K134" s="735"/>
      <c r="L134" s="735"/>
      <c r="M134" s="735"/>
      <c r="N134" s="734"/>
      <c r="O134" s="732"/>
      <c r="P134" s="195"/>
      <c r="Q134" s="355"/>
      <c r="R134" s="196"/>
      <c r="S134" s="197"/>
      <c r="T134" s="199"/>
      <c r="U134" s="206"/>
      <c r="V134" s="199"/>
      <c r="W134" s="199"/>
      <c r="X134" s="731"/>
      <c r="Y134" s="200"/>
      <c r="Z134" s="186"/>
      <c r="AA134" s="235"/>
    </row>
    <row r="135" spans="1:27" s="350" customFormat="1" ht="25.5" customHeight="1">
      <c r="A135" s="34"/>
      <c r="B135" s="107"/>
      <c r="C135" s="115"/>
      <c r="D135" s="40"/>
      <c r="E135" s="40"/>
      <c r="F135" s="40"/>
      <c r="G135" s="40"/>
      <c r="H135" s="40"/>
      <c r="I135" s="40"/>
      <c r="J135" s="61"/>
      <c r="K135" s="33"/>
      <c r="L135" s="33"/>
      <c r="M135" s="33"/>
      <c r="N135" s="120"/>
      <c r="O135" s="106"/>
      <c r="P135" s="195"/>
      <c r="Q135" s="355"/>
      <c r="R135" s="238"/>
      <c r="S135" s="239"/>
      <c r="T135" s="199"/>
      <c r="U135" s="206"/>
      <c r="V135" s="199"/>
      <c r="W135" s="199"/>
      <c r="X135" s="731"/>
      <c r="Y135" s="200"/>
      <c r="Z135" s="186"/>
      <c r="AA135" s="235"/>
    </row>
    <row r="136" spans="1:27" s="350" customFormat="1" ht="25.5" customHeight="1">
      <c r="A136" s="34"/>
      <c r="B136" s="107"/>
      <c r="C136" s="115"/>
      <c r="D136" s="40"/>
      <c r="E136" s="40"/>
      <c r="F136" s="40"/>
      <c r="G136" s="40"/>
      <c r="H136" s="40"/>
      <c r="I136" s="40"/>
      <c r="J136" s="61"/>
      <c r="K136" s="33"/>
      <c r="L136" s="33"/>
      <c r="M136" s="33"/>
      <c r="N136" s="120"/>
      <c r="O136" s="106"/>
      <c r="P136" s="195"/>
      <c r="Q136" s="355"/>
      <c r="R136" s="238"/>
      <c r="S136" s="239"/>
      <c r="T136" s="199"/>
      <c r="U136" s="206"/>
      <c r="V136" s="199"/>
      <c r="W136" s="199"/>
      <c r="X136" s="731"/>
      <c r="Y136" s="200"/>
      <c r="Z136" s="186"/>
      <c r="AA136" s="235"/>
    </row>
    <row r="137" spans="1:27" s="350" customFormat="1" ht="25.5" customHeight="1">
      <c r="A137" s="34"/>
      <c r="B137" s="107"/>
      <c r="C137" s="115"/>
      <c r="D137" s="40"/>
      <c r="E137" s="40"/>
      <c r="F137" s="40"/>
      <c r="G137" s="40"/>
      <c r="H137" s="40"/>
      <c r="I137" s="40"/>
      <c r="J137" s="61"/>
      <c r="K137" s="33"/>
      <c r="L137" s="33"/>
      <c r="M137" s="33"/>
      <c r="N137" s="120"/>
      <c r="O137" s="106"/>
      <c r="P137" s="195"/>
      <c r="Q137" s="355"/>
      <c r="R137" s="238"/>
      <c r="S137" s="239"/>
      <c r="T137" s="199"/>
      <c r="U137" s="206"/>
      <c r="V137" s="199"/>
      <c r="W137" s="199"/>
      <c r="X137" s="731"/>
      <c r="Y137" s="200"/>
      <c r="Z137" s="186"/>
      <c r="AA137" s="235"/>
    </row>
    <row r="138" spans="1:27" s="350" customFormat="1" ht="25.5" customHeight="1">
      <c r="A138" s="34"/>
      <c r="B138" s="107"/>
      <c r="C138" s="115"/>
      <c r="D138" s="40"/>
      <c r="E138" s="40"/>
      <c r="F138" s="40"/>
      <c r="G138" s="40"/>
      <c r="H138" s="40"/>
      <c r="I138" s="40"/>
      <c r="J138" s="61"/>
      <c r="K138" s="33"/>
      <c r="L138" s="33"/>
      <c r="M138" s="33"/>
      <c r="N138" s="120"/>
      <c r="O138" s="106"/>
      <c r="P138" s="195"/>
      <c r="Q138" s="355"/>
      <c r="R138" s="238"/>
      <c r="S138" s="239"/>
      <c r="T138" s="240"/>
      <c r="U138" s="241"/>
      <c r="V138" s="240"/>
      <c r="W138" s="199"/>
      <c r="X138" s="731"/>
      <c r="Y138" s="200"/>
      <c r="Z138" s="186"/>
      <c r="AA138" s="235"/>
    </row>
    <row r="139" spans="1:27" s="350" customFormat="1" ht="25.5" customHeight="1">
      <c r="A139" s="34"/>
      <c r="B139" s="107"/>
      <c r="C139" s="115"/>
      <c r="D139" s="40"/>
      <c r="E139" s="40"/>
      <c r="F139" s="40"/>
      <c r="G139" s="40"/>
      <c r="H139" s="40"/>
      <c r="I139" s="40"/>
      <c r="J139" s="61"/>
      <c r="K139" s="33"/>
      <c r="L139" s="33"/>
      <c r="M139" s="33"/>
      <c r="N139" s="120"/>
      <c r="O139" s="106"/>
      <c r="P139" s="195"/>
      <c r="Q139" s="355"/>
      <c r="R139" s="238"/>
      <c r="S139" s="239"/>
      <c r="T139" s="240"/>
      <c r="U139" s="241"/>
      <c r="V139" s="240"/>
      <c r="W139" s="199"/>
      <c r="X139" s="731"/>
      <c r="Y139" s="200"/>
      <c r="Z139" s="186"/>
      <c r="AA139" s="235"/>
    </row>
    <row r="140" spans="1:27" s="350" customFormat="1" ht="25.5" customHeight="1">
      <c r="A140" s="34"/>
      <c r="B140" s="107"/>
      <c r="C140" s="115"/>
      <c r="D140" s="40"/>
      <c r="E140" s="40"/>
      <c r="F140" s="40"/>
      <c r="G140" s="40"/>
      <c r="H140" s="40"/>
      <c r="I140" s="40"/>
      <c r="J140" s="61"/>
      <c r="K140" s="33"/>
      <c r="L140" s="33"/>
      <c r="M140" s="33"/>
      <c r="N140" s="120"/>
      <c r="O140" s="106"/>
      <c r="P140" s="195"/>
      <c r="Q140" s="355"/>
      <c r="R140" s="196"/>
      <c r="S140" s="197"/>
      <c r="T140" s="199"/>
      <c r="U140" s="206"/>
      <c r="V140" s="199"/>
      <c r="W140" s="199"/>
      <c r="X140" s="731"/>
      <c r="Y140" s="200"/>
      <c r="Z140" s="186"/>
      <c r="AA140" s="235"/>
    </row>
    <row r="141" spans="1:27" s="350" customFormat="1" ht="25.5" customHeight="1">
      <c r="A141" s="187"/>
      <c r="B141" s="202"/>
      <c r="C141" s="237"/>
      <c r="D141" s="189"/>
      <c r="E141" s="189"/>
      <c r="F141" s="505"/>
      <c r="G141" s="505"/>
      <c r="H141" s="505"/>
      <c r="I141" s="334"/>
      <c r="J141" s="399"/>
      <c r="K141" s="190"/>
      <c r="L141" s="190"/>
      <c r="M141" s="190"/>
      <c r="N141" s="243"/>
      <c r="O141" s="503"/>
      <c r="P141" s="191"/>
      <c r="Q141" s="354"/>
      <c r="R141" s="192"/>
      <c r="S141" s="188"/>
      <c r="T141" s="193"/>
      <c r="U141" s="194"/>
      <c r="V141" s="193"/>
      <c r="W141" s="193"/>
      <c r="X141" s="738"/>
      <c r="Y141" s="191"/>
      <c r="Z141" s="248"/>
      <c r="AA141" s="248"/>
    </row>
    <row r="142" spans="1:27" s="350" customFormat="1" ht="25.5" customHeight="1">
      <c r="A142" s="34"/>
      <c r="B142" s="107"/>
      <c r="C142" s="115"/>
      <c r="D142" s="40"/>
      <c r="E142" s="40"/>
      <c r="F142" s="40"/>
      <c r="G142" s="40"/>
      <c r="H142" s="40"/>
      <c r="I142" s="40"/>
      <c r="J142" s="61"/>
      <c r="K142" s="33"/>
      <c r="L142" s="33"/>
      <c r="M142" s="33"/>
      <c r="N142" s="120"/>
      <c r="O142" s="120"/>
      <c r="P142" s="191"/>
      <c r="Q142" s="354"/>
      <c r="R142" s="192"/>
      <c r="S142" s="188"/>
      <c r="T142" s="509"/>
      <c r="U142" s="194"/>
      <c r="V142" s="193"/>
      <c r="W142" s="193"/>
      <c r="X142" s="731"/>
      <c r="Y142" s="191"/>
      <c r="Z142" s="248"/>
      <c r="AA142" s="235"/>
    </row>
    <row r="143" spans="1:27" s="350" customFormat="1" ht="33.75" customHeight="1">
      <c r="A143" s="739"/>
      <c r="B143" s="107"/>
      <c r="C143" s="115"/>
      <c r="D143" s="724"/>
      <c r="E143" s="40"/>
      <c r="F143" s="724"/>
      <c r="G143" s="724"/>
      <c r="H143" s="724"/>
      <c r="I143" s="40"/>
      <c r="J143" s="61"/>
      <c r="K143" s="735"/>
      <c r="L143" s="735"/>
      <c r="M143" s="735"/>
      <c r="N143" s="734"/>
      <c r="O143" s="734"/>
      <c r="P143" s="201"/>
      <c r="Q143" s="354"/>
      <c r="R143" s="203"/>
      <c r="S143" s="204"/>
      <c r="T143" s="193"/>
      <c r="U143" s="205"/>
      <c r="V143" s="193"/>
      <c r="W143" s="193"/>
      <c r="X143" s="731"/>
      <c r="Y143" s="191"/>
      <c r="Z143" s="191"/>
      <c r="AA143" s="235"/>
    </row>
    <row r="144" spans="1:27" s="350" customFormat="1" ht="25.5" customHeight="1">
      <c r="A144" s="739"/>
      <c r="B144" s="107"/>
      <c r="C144" s="115"/>
      <c r="D144" s="724"/>
      <c r="E144" s="40"/>
      <c r="F144" s="724"/>
      <c r="G144" s="724"/>
      <c r="H144" s="724"/>
      <c r="I144" s="40"/>
      <c r="J144" s="61"/>
      <c r="K144" s="735"/>
      <c r="L144" s="735"/>
      <c r="M144" s="735"/>
      <c r="N144" s="734"/>
      <c r="O144" s="734"/>
      <c r="P144" s="191"/>
      <c r="Q144" s="354"/>
      <c r="R144" s="249"/>
      <c r="S144" s="250"/>
      <c r="T144" s="247"/>
      <c r="U144" s="205"/>
      <c r="V144" s="193"/>
      <c r="W144" s="193"/>
      <c r="X144" s="731"/>
      <c r="Y144" s="302"/>
      <c r="Z144" s="186"/>
      <c r="AA144" s="235"/>
    </row>
    <row r="145" spans="1:27" s="350" customFormat="1" ht="25.5" customHeight="1">
      <c r="A145" s="34"/>
      <c r="B145" s="107"/>
      <c r="C145" s="115"/>
      <c r="D145" s="40"/>
      <c r="E145" s="40"/>
      <c r="F145" s="40"/>
      <c r="G145" s="40"/>
      <c r="H145" s="40"/>
      <c r="I145" s="40"/>
      <c r="J145" s="61"/>
      <c r="K145" s="33"/>
      <c r="L145" s="33"/>
      <c r="M145" s="33"/>
      <c r="N145" s="120"/>
      <c r="O145" s="106"/>
      <c r="P145" s="195"/>
      <c r="Q145" s="355"/>
      <c r="R145" s="196"/>
      <c r="S145" s="197"/>
      <c r="T145" s="199"/>
      <c r="U145" s="206"/>
      <c r="V145" s="199"/>
      <c r="W145" s="199"/>
      <c r="X145" s="731"/>
      <c r="Y145" s="200"/>
      <c r="Z145" s="186"/>
      <c r="AA145" s="235"/>
    </row>
    <row r="146" spans="1:27" s="350" customFormat="1" ht="25.5" customHeight="1">
      <c r="A146" s="34"/>
      <c r="B146" s="107"/>
      <c r="C146" s="115"/>
      <c r="D146" s="40"/>
      <c r="E146" s="40"/>
      <c r="F146" s="40"/>
      <c r="G146" s="40"/>
      <c r="H146" s="40"/>
      <c r="I146" s="40"/>
      <c r="J146" s="61"/>
      <c r="K146" s="33"/>
      <c r="L146" s="33"/>
      <c r="M146" s="33"/>
      <c r="N146" s="120"/>
      <c r="O146" s="106"/>
      <c r="P146" s="195"/>
      <c r="Q146" s="355"/>
      <c r="R146" s="196"/>
      <c r="S146" s="197"/>
      <c r="T146" s="199"/>
      <c r="U146" s="206"/>
      <c r="V146" s="199"/>
      <c r="W146" s="199"/>
      <c r="X146" s="731"/>
      <c r="Y146" s="200"/>
      <c r="Z146" s="186"/>
      <c r="AA146" s="235"/>
    </row>
    <row r="147" spans="1:27" s="350" customFormat="1" ht="25.5" customHeight="1">
      <c r="A147" s="34"/>
      <c r="B147" s="107"/>
      <c r="C147" s="115"/>
      <c r="D147" s="40"/>
      <c r="E147" s="40"/>
      <c r="F147" s="40"/>
      <c r="G147" s="40"/>
      <c r="H147" s="40"/>
      <c r="I147" s="40"/>
      <c r="J147" s="61"/>
      <c r="K147" s="33"/>
      <c r="L147" s="33"/>
      <c r="M147" s="33"/>
      <c r="N147" s="120"/>
      <c r="O147" s="106"/>
      <c r="P147" s="195"/>
      <c r="Q147" s="355"/>
      <c r="R147" s="196"/>
      <c r="S147" s="197"/>
      <c r="T147" s="199"/>
      <c r="U147" s="206"/>
      <c r="V147" s="199"/>
      <c r="W147" s="199"/>
      <c r="X147" s="731"/>
      <c r="Y147" s="200"/>
      <c r="Z147" s="186"/>
      <c r="AA147" s="235"/>
    </row>
    <row r="148" spans="1:27" s="350" customFormat="1" ht="25.5" customHeight="1">
      <c r="A148" s="691"/>
      <c r="B148" s="202"/>
      <c r="C148" s="580"/>
      <c r="D148" s="692"/>
      <c r="E148" s="505"/>
      <c r="F148" s="692"/>
      <c r="G148" s="692"/>
      <c r="H148" s="692"/>
      <c r="I148" s="505"/>
      <c r="J148" s="554"/>
      <c r="K148" s="693"/>
      <c r="L148" s="693"/>
      <c r="M148" s="693"/>
      <c r="N148" s="694"/>
      <c r="O148" s="694"/>
      <c r="P148" s="191"/>
      <c r="Q148" s="191"/>
      <c r="R148" s="192"/>
      <c r="S148" s="188"/>
      <c r="T148" s="193"/>
      <c r="U148" s="194"/>
      <c r="V148" s="193"/>
      <c r="W148" s="193"/>
      <c r="X148" s="738"/>
      <c r="Y148" s="191"/>
      <c r="Z148" s="191"/>
      <c r="AA148" s="248" t="s">
        <v>81</v>
      </c>
    </row>
    <row r="149" spans="1:27" s="350" customFormat="1" ht="25.5" customHeight="1">
      <c r="A149" s="683"/>
      <c r="B149" s="202"/>
      <c r="C149" s="499"/>
      <c r="D149" s="683"/>
      <c r="E149" s="505"/>
      <c r="F149" s="683"/>
      <c r="G149" s="683"/>
      <c r="H149" s="683"/>
      <c r="I149" s="505"/>
      <c r="J149" s="554"/>
      <c r="K149" s="683"/>
      <c r="L149" s="683"/>
      <c r="M149" s="683"/>
      <c r="N149" s="683"/>
      <c r="O149" s="683"/>
      <c r="P149" s="191"/>
      <c r="Q149" s="191"/>
      <c r="R149" s="192"/>
      <c r="S149" s="188"/>
      <c r="T149" s="509"/>
      <c r="U149" s="194"/>
      <c r="V149" s="193"/>
      <c r="W149" s="193"/>
      <c r="X149" s="731"/>
      <c r="Y149" s="191"/>
      <c r="Z149" s="191"/>
      <c r="AA149" s="235"/>
    </row>
    <row r="150" spans="1:27" s="350" customFormat="1" ht="25.5" customHeight="1">
      <c r="A150" s="34"/>
      <c r="B150" s="107"/>
      <c r="C150" s="115"/>
      <c r="D150" s="40"/>
      <c r="E150" s="40"/>
      <c r="F150" s="40"/>
      <c r="G150" s="40"/>
      <c r="H150" s="40"/>
      <c r="I150" s="40"/>
      <c r="J150" s="61"/>
      <c r="K150" s="33"/>
      <c r="L150" s="33"/>
      <c r="M150" s="33"/>
      <c r="N150" s="120"/>
      <c r="O150" s="106"/>
      <c r="P150" s="201"/>
      <c r="Q150" s="191"/>
      <c r="R150" s="203"/>
      <c r="S150" s="204"/>
      <c r="T150" s="193"/>
      <c r="U150" s="205"/>
      <c r="V150" s="193"/>
      <c r="W150" s="193"/>
      <c r="X150" s="731"/>
      <c r="Y150" s="191"/>
      <c r="Z150" s="191"/>
      <c r="AA150" s="235"/>
    </row>
    <row r="151" spans="1:27" s="350" customFormat="1" ht="25.5" customHeight="1">
      <c r="A151" s="34"/>
      <c r="B151" s="107"/>
      <c r="C151" s="115"/>
      <c r="D151" s="40"/>
      <c r="E151" s="40"/>
      <c r="F151" s="40"/>
      <c r="G151" s="40"/>
      <c r="H151" s="40"/>
      <c r="I151" s="40"/>
      <c r="J151" s="61"/>
      <c r="K151" s="33"/>
      <c r="L151" s="33"/>
      <c r="M151" s="33"/>
      <c r="N151" s="120"/>
      <c r="O151" s="106"/>
      <c r="P151" s="195"/>
      <c r="Q151" s="355"/>
      <c r="R151" s="196"/>
      <c r="S151" s="197"/>
      <c r="T151" s="199"/>
      <c r="U151" s="206"/>
      <c r="V151" s="199"/>
      <c r="W151" s="199"/>
      <c r="X151" s="731"/>
      <c r="Y151" s="200"/>
      <c r="Z151" s="186"/>
      <c r="AA151" s="235"/>
    </row>
    <row r="152" spans="1:27" s="350" customFormat="1" ht="25.5" customHeight="1">
      <c r="A152" s="34"/>
      <c r="B152" s="107"/>
      <c r="C152" s="115"/>
      <c r="D152" s="40"/>
      <c r="E152" s="40"/>
      <c r="F152" s="40"/>
      <c r="G152" s="40"/>
      <c r="H152" s="40"/>
      <c r="I152" s="40"/>
      <c r="J152" s="61"/>
      <c r="K152" s="33"/>
      <c r="L152" s="33"/>
      <c r="M152" s="33"/>
      <c r="N152" s="120"/>
      <c r="O152" s="106"/>
      <c r="P152" s="195"/>
      <c r="Q152" s="355"/>
      <c r="R152" s="238"/>
      <c r="S152" s="239"/>
      <c r="T152" s="240"/>
      <c r="U152" s="206"/>
      <c r="V152" s="199"/>
      <c r="W152" s="199"/>
      <c r="X152" s="731"/>
      <c r="Y152" s="200"/>
      <c r="Z152" s="186"/>
      <c r="AA152" s="235"/>
    </row>
    <row r="153" spans="1:27" s="350" customFormat="1" ht="33.75" customHeight="1">
      <c r="A153" s="739"/>
      <c r="B153" s="107"/>
      <c r="C153" s="730"/>
      <c r="D153" s="724"/>
      <c r="E153" s="40"/>
      <c r="F153" s="724"/>
      <c r="G153" s="724"/>
      <c r="H153" s="724"/>
      <c r="I153" s="40"/>
      <c r="J153" s="61"/>
      <c r="K153" s="735"/>
      <c r="L153" s="735"/>
      <c r="M153" s="735"/>
      <c r="N153" s="734"/>
      <c r="O153" s="732"/>
      <c r="P153" s="195"/>
      <c r="Q153" s="355"/>
      <c r="R153" s="238"/>
      <c r="S153" s="239"/>
      <c r="T153" s="199"/>
      <c r="U153" s="206"/>
      <c r="V153" s="199"/>
      <c r="W153" s="199"/>
      <c r="X153" s="731"/>
      <c r="Y153" s="200"/>
      <c r="Z153" s="186"/>
      <c r="AA153" s="235"/>
    </row>
    <row r="154" spans="1:27" s="350" customFormat="1" ht="25.5" customHeight="1">
      <c r="A154" s="739"/>
      <c r="B154" s="107"/>
      <c r="C154" s="730"/>
      <c r="D154" s="724"/>
      <c r="E154" s="40"/>
      <c r="F154" s="724"/>
      <c r="G154" s="724"/>
      <c r="H154" s="724"/>
      <c r="I154" s="40"/>
      <c r="J154" s="61"/>
      <c r="K154" s="735"/>
      <c r="L154" s="735"/>
      <c r="M154" s="735"/>
      <c r="N154" s="734"/>
      <c r="O154" s="732"/>
      <c r="P154" s="195"/>
      <c r="Q154" s="355"/>
      <c r="R154" s="196"/>
      <c r="S154" s="197"/>
      <c r="T154" s="199"/>
      <c r="U154" s="206"/>
      <c r="V154" s="199"/>
      <c r="W154" s="199"/>
      <c r="X154" s="731"/>
      <c r="Y154" s="200"/>
      <c r="Z154" s="186"/>
      <c r="AA154" s="235"/>
    </row>
    <row r="155" spans="1:27" s="350" customFormat="1" ht="25.5" customHeight="1">
      <c r="A155" s="739"/>
      <c r="B155" s="107"/>
      <c r="C155" s="730"/>
      <c r="D155" s="724"/>
      <c r="E155" s="40"/>
      <c r="F155" s="724"/>
      <c r="G155" s="724"/>
      <c r="H155" s="724"/>
      <c r="I155" s="40"/>
      <c r="J155" s="61"/>
      <c r="K155" s="735"/>
      <c r="L155" s="735"/>
      <c r="M155" s="735"/>
      <c r="N155" s="734"/>
      <c r="O155" s="732"/>
      <c r="P155" s="195"/>
      <c r="Q155" s="355"/>
      <c r="R155" s="238"/>
      <c r="S155" s="239"/>
      <c r="T155" s="240"/>
      <c r="U155" s="241"/>
      <c r="V155" s="240"/>
      <c r="W155" s="199"/>
      <c r="X155" s="731"/>
      <c r="Y155" s="200"/>
      <c r="Z155" s="186"/>
      <c r="AA155" s="235"/>
    </row>
    <row r="156" spans="1:27" s="350" customFormat="1" ht="25.5" hidden="1" customHeight="1">
      <c r="A156" s="34"/>
      <c r="B156" s="107"/>
      <c r="C156" s="115"/>
      <c r="D156" s="40"/>
      <c r="E156" s="40"/>
      <c r="F156" s="40"/>
      <c r="G156" s="40"/>
      <c r="H156" s="40"/>
      <c r="I156" s="40"/>
      <c r="J156" s="61"/>
      <c r="K156" s="33"/>
      <c r="L156" s="33"/>
      <c r="M156" s="33"/>
      <c r="N156" s="120"/>
      <c r="O156" s="106"/>
      <c r="P156" s="195"/>
      <c r="Q156" s="355"/>
      <c r="R156" s="238"/>
      <c r="S156" s="239"/>
      <c r="T156" s="240"/>
      <c r="U156" s="241"/>
      <c r="V156" s="240"/>
      <c r="W156" s="199"/>
      <c r="X156" s="731"/>
      <c r="Y156" s="200"/>
      <c r="Z156" s="186"/>
      <c r="AA156" s="235"/>
    </row>
    <row r="157" spans="1:27" s="350" customFormat="1" ht="25.5" customHeight="1">
      <c r="A157" s="34"/>
      <c r="B157" s="107"/>
      <c r="C157" s="115"/>
      <c r="D157" s="40"/>
      <c r="E157" s="40"/>
      <c r="F157" s="40"/>
      <c r="G157" s="40"/>
      <c r="H157" s="40"/>
      <c r="I157" s="40"/>
      <c r="J157" s="61"/>
      <c r="K157" s="33"/>
      <c r="L157" s="33"/>
      <c r="M157" s="33"/>
      <c r="N157" s="120"/>
      <c r="O157" s="106"/>
      <c r="P157" s="195"/>
      <c r="Q157" s="355"/>
      <c r="R157" s="196"/>
      <c r="S157" s="239"/>
      <c r="T157" s="240"/>
      <c r="U157" s="241"/>
      <c r="V157" s="199"/>
      <c r="W157" s="199"/>
      <c r="X157" s="731"/>
      <c r="Y157" s="200"/>
      <c r="Z157" s="186"/>
      <c r="AA157" s="235"/>
    </row>
    <row r="158" spans="1:27" s="350" customFormat="1" ht="25.5" customHeight="1">
      <c r="A158" s="691"/>
      <c r="B158" s="202"/>
      <c r="C158" s="580"/>
      <c r="D158" s="692"/>
      <c r="E158" s="505"/>
      <c r="F158" s="692"/>
      <c r="G158" s="692"/>
      <c r="H158" s="692"/>
      <c r="I158" s="505"/>
      <c r="J158" s="554"/>
      <c r="K158" s="693"/>
      <c r="L158" s="693"/>
      <c r="M158" s="693"/>
      <c r="N158" s="694"/>
      <c r="O158" s="694"/>
      <c r="P158" s="191"/>
      <c r="Q158" s="191"/>
      <c r="R158" s="192"/>
      <c r="S158" s="188"/>
      <c r="T158" s="193"/>
      <c r="U158" s="194"/>
      <c r="V158" s="193"/>
      <c r="W158" s="193"/>
      <c r="X158" s="738"/>
      <c r="Y158" s="191"/>
      <c r="Z158" s="191"/>
      <c r="AA158" s="248" t="s">
        <v>81</v>
      </c>
    </row>
    <row r="159" spans="1:27" s="350" customFormat="1" ht="25.5" customHeight="1">
      <c r="A159" s="683"/>
      <c r="B159" s="202"/>
      <c r="C159" s="499"/>
      <c r="D159" s="683"/>
      <c r="E159" s="505"/>
      <c r="F159" s="683"/>
      <c r="G159" s="683"/>
      <c r="H159" s="683"/>
      <c r="I159" s="505"/>
      <c r="J159" s="554"/>
      <c r="K159" s="683"/>
      <c r="L159" s="683"/>
      <c r="M159" s="683"/>
      <c r="N159" s="683"/>
      <c r="O159" s="683"/>
      <c r="P159" s="191"/>
      <c r="Q159" s="191"/>
      <c r="R159" s="192"/>
      <c r="S159" s="188"/>
      <c r="T159" s="509"/>
      <c r="U159" s="194"/>
      <c r="V159" s="193"/>
      <c r="W159" s="193"/>
      <c r="X159" s="731"/>
      <c r="Y159" s="191"/>
      <c r="Z159" s="191"/>
      <c r="AA159" s="235"/>
    </row>
    <row r="160" spans="1:27" s="350" customFormat="1" ht="25.5" customHeight="1">
      <c r="A160" s="34"/>
      <c r="B160" s="107"/>
      <c r="C160" s="115"/>
      <c r="D160" s="40"/>
      <c r="E160" s="40"/>
      <c r="F160" s="40"/>
      <c r="G160" s="40"/>
      <c r="H160" s="40"/>
      <c r="I160" s="40"/>
      <c r="J160" s="61"/>
      <c r="K160" s="33"/>
      <c r="L160" s="33"/>
      <c r="M160" s="33"/>
      <c r="N160" s="120"/>
      <c r="O160" s="106"/>
      <c r="P160" s="201"/>
      <c r="Q160" s="191"/>
      <c r="R160" s="203"/>
      <c r="S160" s="204"/>
      <c r="T160" s="193"/>
      <c r="U160" s="205"/>
      <c r="V160" s="193"/>
      <c r="W160" s="193"/>
      <c r="X160" s="731"/>
      <c r="Y160" s="191"/>
      <c r="Z160" s="191"/>
      <c r="AA160" s="235"/>
    </row>
    <row r="161" spans="1:27" s="350" customFormat="1" ht="25.5" customHeight="1">
      <c r="A161" s="34"/>
      <c r="B161" s="107"/>
      <c r="C161" s="115"/>
      <c r="D161" s="40"/>
      <c r="E161" s="40"/>
      <c r="F161" s="40"/>
      <c r="G161" s="40"/>
      <c r="H161" s="40"/>
      <c r="I161" s="40"/>
      <c r="J161" s="61"/>
      <c r="K161" s="33"/>
      <c r="L161" s="33"/>
      <c r="M161" s="33"/>
      <c r="N161" s="120"/>
      <c r="O161" s="106"/>
      <c r="P161" s="201"/>
      <c r="Q161" s="191"/>
      <c r="R161" s="203"/>
      <c r="S161" s="204"/>
      <c r="T161" s="193"/>
      <c r="U161" s="205"/>
      <c r="V161" s="193"/>
      <c r="W161" s="193"/>
      <c r="X161" s="731"/>
      <c r="Y161" s="191"/>
      <c r="Z161" s="191"/>
      <c r="AA161" s="235"/>
    </row>
    <row r="162" spans="1:27" s="350" customFormat="1" ht="25.5" customHeight="1">
      <c r="A162" s="34"/>
      <c r="B162" s="107"/>
      <c r="C162" s="115"/>
      <c r="D162" s="40"/>
      <c r="E162" s="40"/>
      <c r="F162" s="40"/>
      <c r="G162" s="40"/>
      <c r="H162" s="40"/>
      <c r="I162" s="40"/>
      <c r="J162" s="61"/>
      <c r="K162" s="33"/>
      <c r="L162" s="33"/>
      <c r="M162" s="33"/>
      <c r="N162" s="120"/>
      <c r="O162" s="106"/>
      <c r="P162" s="195"/>
      <c r="Q162" s="355"/>
      <c r="R162" s="238"/>
      <c r="S162" s="239"/>
      <c r="T162" s="240"/>
      <c r="U162" s="206"/>
      <c r="V162" s="199"/>
      <c r="W162" s="199"/>
      <c r="X162" s="731"/>
      <c r="Y162" s="200"/>
      <c r="Z162" s="186"/>
      <c r="AA162" s="235"/>
    </row>
    <row r="163" spans="1:27" s="350" customFormat="1" ht="33.75" customHeight="1">
      <c r="A163" s="739"/>
      <c r="B163" s="107"/>
      <c r="C163" s="730"/>
      <c r="D163" s="724"/>
      <c r="E163" s="40"/>
      <c r="F163" s="724"/>
      <c r="G163" s="724"/>
      <c r="H163" s="724"/>
      <c r="I163" s="40"/>
      <c r="J163" s="61"/>
      <c r="K163" s="735"/>
      <c r="L163" s="735"/>
      <c r="M163" s="735"/>
      <c r="N163" s="734"/>
      <c r="O163" s="732"/>
      <c r="P163" s="195"/>
      <c r="Q163" s="355"/>
      <c r="R163" s="238"/>
      <c r="S163" s="239"/>
      <c r="T163" s="199"/>
      <c r="U163" s="206"/>
      <c r="V163" s="199"/>
      <c r="W163" s="199"/>
      <c r="X163" s="731"/>
      <c r="Y163" s="200"/>
      <c r="Z163" s="186"/>
      <c r="AA163" s="235"/>
    </row>
    <row r="164" spans="1:27" s="350" customFormat="1" ht="25.5" customHeight="1">
      <c r="A164" s="739"/>
      <c r="B164" s="107"/>
      <c r="C164" s="730"/>
      <c r="D164" s="724"/>
      <c r="E164" s="40"/>
      <c r="F164" s="724"/>
      <c r="G164" s="724"/>
      <c r="H164" s="724"/>
      <c r="I164" s="40"/>
      <c r="J164" s="61"/>
      <c r="K164" s="735"/>
      <c r="L164" s="735"/>
      <c r="M164" s="735"/>
      <c r="N164" s="734"/>
      <c r="O164" s="732"/>
      <c r="P164" s="195"/>
      <c r="Q164" s="355"/>
      <c r="R164" s="196"/>
      <c r="S164" s="197"/>
      <c r="T164" s="199"/>
      <c r="U164" s="206"/>
      <c r="V164" s="199"/>
      <c r="W164" s="199"/>
      <c r="X164" s="731"/>
      <c r="Y164" s="200"/>
      <c r="Z164" s="186"/>
      <c r="AA164" s="235"/>
    </row>
    <row r="165" spans="1:27" s="350" customFormat="1" ht="25.5" customHeight="1">
      <c r="A165" s="739"/>
      <c r="B165" s="107"/>
      <c r="C165" s="730"/>
      <c r="D165" s="724"/>
      <c r="E165" s="40"/>
      <c r="F165" s="724"/>
      <c r="G165" s="724"/>
      <c r="H165" s="724"/>
      <c r="I165" s="40"/>
      <c r="J165" s="61"/>
      <c r="K165" s="735"/>
      <c r="L165" s="735"/>
      <c r="M165" s="735"/>
      <c r="N165" s="734"/>
      <c r="O165" s="732"/>
      <c r="P165" s="195"/>
      <c r="Q165" s="355"/>
      <c r="R165" s="238"/>
      <c r="S165" s="239"/>
      <c r="T165" s="240"/>
      <c r="U165" s="241"/>
      <c r="V165" s="240"/>
      <c r="W165" s="199"/>
      <c r="X165" s="731"/>
      <c r="Y165" s="200"/>
      <c r="Z165" s="186"/>
      <c r="AA165" s="235"/>
    </row>
    <row r="166" spans="1:27" s="350" customFormat="1" ht="25.5" customHeight="1">
      <c r="A166" s="739"/>
      <c r="B166" s="107"/>
      <c r="C166" s="730"/>
      <c r="D166" s="724"/>
      <c r="E166" s="40"/>
      <c r="F166" s="724"/>
      <c r="G166" s="724"/>
      <c r="H166" s="724"/>
      <c r="I166" s="40"/>
      <c r="J166" s="61"/>
      <c r="K166" s="735"/>
      <c r="L166" s="735"/>
      <c r="M166" s="735"/>
      <c r="N166" s="734"/>
      <c r="O166" s="732"/>
      <c r="P166" s="195"/>
      <c r="Q166" s="355"/>
      <c r="R166" s="238"/>
      <c r="S166" s="239"/>
      <c r="T166" s="240"/>
      <c r="U166" s="241"/>
      <c r="V166" s="240"/>
      <c r="W166" s="199"/>
      <c r="X166" s="731"/>
      <c r="Y166" s="200"/>
      <c r="Z166" s="186"/>
      <c r="AA166" s="235"/>
    </row>
    <row r="167" spans="1:27" s="350" customFormat="1" ht="25.5" customHeight="1">
      <c r="A167" s="34"/>
      <c r="B167" s="107"/>
      <c r="C167" s="115"/>
      <c r="D167" s="40"/>
      <c r="E167" s="40"/>
      <c r="F167" s="40"/>
      <c r="G167" s="40"/>
      <c r="H167" s="40"/>
      <c r="I167" s="40"/>
      <c r="J167" s="61"/>
      <c r="K167" s="33"/>
      <c r="L167" s="33"/>
      <c r="M167" s="33"/>
      <c r="N167" s="120"/>
      <c r="O167" s="106"/>
      <c r="P167" s="195"/>
      <c r="Q167" s="355"/>
      <c r="R167" s="196"/>
      <c r="S167" s="239"/>
      <c r="T167" s="240"/>
      <c r="U167" s="241"/>
      <c r="V167" s="199"/>
      <c r="W167" s="199"/>
      <c r="X167" s="731"/>
      <c r="Y167" s="200"/>
      <c r="Z167" s="186"/>
      <c r="AA167" s="235"/>
    </row>
    <row r="168" spans="1:27" s="350" customFormat="1" ht="25.5" customHeight="1">
      <c r="A168" s="691"/>
      <c r="B168" s="618"/>
      <c r="C168" s="692"/>
      <c r="D168" s="692"/>
      <c r="E168" s="334"/>
      <c r="F168" s="692"/>
      <c r="G168" s="692"/>
      <c r="H168" s="692"/>
      <c r="I168" s="334"/>
      <c r="J168" s="341"/>
      <c r="K168" s="693"/>
      <c r="L168" s="693"/>
      <c r="M168" s="693"/>
      <c r="N168" s="694"/>
      <c r="O168" s="694"/>
      <c r="P168" s="245"/>
      <c r="Q168" s="191"/>
      <c r="R168" s="192"/>
      <c r="S168" s="188"/>
      <c r="T168" s="193"/>
      <c r="U168" s="194"/>
      <c r="V168" s="193"/>
      <c r="W168" s="193"/>
      <c r="X168" s="738"/>
      <c r="Y168" s="191"/>
      <c r="Z168" s="191"/>
      <c r="AA168" s="248" t="s">
        <v>81</v>
      </c>
    </row>
    <row r="169" spans="1:27" s="350" customFormat="1" ht="26.25" customHeight="1">
      <c r="A169" s="690"/>
      <c r="B169" s="618"/>
      <c r="C169" s="690"/>
      <c r="D169" s="690"/>
      <c r="E169" s="334"/>
      <c r="F169" s="690"/>
      <c r="G169" s="690"/>
      <c r="H169" s="690"/>
      <c r="I169" s="334"/>
      <c r="J169" s="341"/>
      <c r="K169" s="690"/>
      <c r="L169" s="690"/>
      <c r="M169" s="690"/>
      <c r="N169" s="690"/>
      <c r="O169" s="690"/>
      <c r="P169" s="245"/>
      <c r="Q169" s="191"/>
      <c r="R169" s="192"/>
      <c r="S169" s="188"/>
      <c r="T169" s="509"/>
      <c r="U169" s="194"/>
      <c r="V169" s="193"/>
      <c r="W169" s="193"/>
      <c r="X169" s="731"/>
      <c r="Y169" s="191"/>
      <c r="Z169" s="191"/>
      <c r="AA169" s="235"/>
    </row>
    <row r="170" spans="1:27" s="350" customFormat="1" ht="25.5" hidden="1" customHeight="1">
      <c r="A170" s="683"/>
      <c r="B170" s="618"/>
      <c r="C170" s="683"/>
      <c r="D170" s="683"/>
      <c r="E170" s="334"/>
      <c r="F170" s="683"/>
      <c r="G170" s="683"/>
      <c r="H170" s="683"/>
      <c r="I170" s="334"/>
      <c r="J170" s="341"/>
      <c r="K170" s="683"/>
      <c r="L170" s="683"/>
      <c r="M170" s="683"/>
      <c r="N170" s="683"/>
      <c r="O170" s="683"/>
      <c r="P170" s="248"/>
      <c r="Q170" s="191"/>
      <c r="R170" s="203"/>
      <c r="S170" s="204"/>
      <c r="T170" s="193"/>
      <c r="U170" s="205"/>
      <c r="V170" s="193"/>
      <c r="W170" s="193"/>
      <c r="X170" s="731"/>
      <c r="Y170" s="191"/>
      <c r="Z170" s="191"/>
      <c r="AA170" s="235"/>
    </row>
    <row r="171" spans="1:27" s="350" customFormat="1" ht="25.5" hidden="1" customHeight="1">
      <c r="A171" s="34"/>
      <c r="B171" s="107"/>
      <c r="C171" s="115"/>
      <c r="D171" s="40"/>
      <c r="E171" s="40"/>
      <c r="F171" s="40"/>
      <c r="G171" s="40"/>
      <c r="H171" s="40"/>
      <c r="I171" s="40"/>
      <c r="J171" s="61"/>
      <c r="K171" s="33"/>
      <c r="L171" s="33"/>
      <c r="M171" s="33"/>
      <c r="N171" s="120"/>
      <c r="O171" s="106"/>
      <c r="P171" s="617"/>
      <c r="Q171" s="191"/>
      <c r="R171" s="203"/>
      <c r="S171" s="204"/>
      <c r="T171" s="193"/>
      <c r="U171" s="205"/>
      <c r="V171" s="193"/>
      <c r="W171" s="193"/>
      <c r="X171" s="731"/>
      <c r="Y171" s="191"/>
      <c r="Z171" s="191"/>
      <c r="AA171" s="235"/>
    </row>
    <row r="172" spans="1:27" s="350" customFormat="1" ht="25.5" hidden="1" customHeight="1">
      <c r="A172" s="34"/>
      <c r="B172" s="107"/>
      <c r="C172" s="115"/>
      <c r="D172" s="40"/>
      <c r="E172" s="40"/>
      <c r="F172" s="40"/>
      <c r="G172" s="40"/>
      <c r="H172" s="40"/>
      <c r="I172" s="40"/>
      <c r="J172" s="61"/>
      <c r="K172" s="33"/>
      <c r="L172" s="33"/>
      <c r="M172" s="33"/>
      <c r="N172" s="120"/>
      <c r="O172" s="106"/>
      <c r="P172" s="195"/>
      <c r="Q172" s="355"/>
      <c r="R172" s="238"/>
      <c r="S172" s="239"/>
      <c r="T172" s="240"/>
      <c r="U172" s="206"/>
      <c r="V172" s="199"/>
      <c r="W172" s="199"/>
      <c r="X172" s="731"/>
      <c r="Y172" s="200"/>
      <c r="Z172" s="186"/>
      <c r="AA172" s="235"/>
    </row>
    <row r="173" spans="1:27" s="350" customFormat="1" ht="54.75" customHeight="1">
      <c r="A173" s="34"/>
      <c r="B173" s="107"/>
      <c r="C173" s="115"/>
      <c r="D173" s="40"/>
      <c r="E173" s="40"/>
      <c r="F173" s="40"/>
      <c r="G173" s="40"/>
      <c r="H173" s="40"/>
      <c r="I173" s="40"/>
      <c r="J173" s="61"/>
      <c r="K173" s="33"/>
      <c r="L173" s="33"/>
      <c r="M173" s="33"/>
      <c r="N173" s="120"/>
      <c r="O173" s="106"/>
      <c r="P173" s="195"/>
      <c r="Q173" s="355"/>
      <c r="R173" s="238"/>
      <c r="S173" s="239"/>
      <c r="T173" s="199"/>
      <c r="U173" s="206"/>
      <c r="V173" s="199"/>
      <c r="W173" s="199"/>
      <c r="X173" s="731"/>
      <c r="Y173" s="200"/>
      <c r="Z173" s="186"/>
      <c r="AA173" s="235"/>
    </row>
    <row r="174" spans="1:27" s="350" customFormat="1" ht="25.5" customHeight="1">
      <c r="A174" s="34"/>
      <c r="B174" s="107"/>
      <c r="C174" s="115"/>
      <c r="D174" s="40"/>
      <c r="E174" s="40"/>
      <c r="F174" s="40"/>
      <c r="G174" s="40"/>
      <c r="H174" s="40"/>
      <c r="I174" s="40"/>
      <c r="J174" s="61"/>
      <c r="K174" s="33"/>
      <c r="L174" s="33"/>
      <c r="M174" s="33"/>
      <c r="N174" s="120"/>
      <c r="O174" s="106"/>
      <c r="P174" s="195"/>
      <c r="Q174" s="355"/>
      <c r="R174" s="196"/>
      <c r="S174" s="197"/>
      <c r="T174" s="199"/>
      <c r="U174" s="206"/>
      <c r="V174" s="199"/>
      <c r="W174" s="199"/>
      <c r="X174" s="731"/>
      <c r="Y174" s="200"/>
      <c r="Z174" s="186"/>
      <c r="AA174" s="235"/>
    </row>
    <row r="175" spans="1:27" s="350" customFormat="1" ht="25.5" customHeight="1">
      <c r="A175" s="34"/>
      <c r="B175" s="107"/>
      <c r="C175" s="115"/>
      <c r="D175" s="40"/>
      <c r="E175" s="40"/>
      <c r="F175" s="40"/>
      <c r="G175" s="40"/>
      <c r="H175" s="40"/>
      <c r="I175" s="40"/>
      <c r="J175" s="61"/>
      <c r="K175" s="33"/>
      <c r="L175" s="33"/>
      <c r="M175" s="33"/>
      <c r="N175" s="120"/>
      <c r="O175" s="106"/>
      <c r="P175" s="195"/>
      <c r="Q175" s="355"/>
      <c r="R175" s="238"/>
      <c r="S175" s="239"/>
      <c r="T175" s="240"/>
      <c r="U175" s="241"/>
      <c r="V175" s="240"/>
      <c r="W175" s="199"/>
      <c r="X175" s="731"/>
      <c r="Y175" s="200"/>
      <c r="Z175" s="186"/>
      <c r="AA175" s="235"/>
    </row>
    <row r="176" spans="1:27" s="350" customFormat="1" ht="25.5" hidden="1" customHeight="1">
      <c r="A176" s="34"/>
      <c r="B176" s="107"/>
      <c r="C176" s="115"/>
      <c r="D176" s="40"/>
      <c r="E176" s="40"/>
      <c r="F176" s="40"/>
      <c r="G176" s="40"/>
      <c r="H176" s="40"/>
      <c r="I176" s="40"/>
      <c r="J176" s="61"/>
      <c r="K176" s="33"/>
      <c r="L176" s="33"/>
      <c r="M176" s="33"/>
      <c r="N176" s="120"/>
      <c r="O176" s="106"/>
      <c r="P176" s="195"/>
      <c r="Q176" s="355"/>
      <c r="R176" s="238"/>
      <c r="S176" s="239"/>
      <c r="T176" s="240"/>
      <c r="U176" s="241"/>
      <c r="V176" s="240"/>
      <c r="W176" s="199"/>
      <c r="X176" s="731"/>
      <c r="Y176" s="200"/>
      <c r="Z176" s="186"/>
      <c r="AA176" s="235"/>
    </row>
    <row r="177" spans="1:27" s="350" customFormat="1" ht="25.5" customHeight="1">
      <c r="A177" s="34"/>
      <c r="B177" s="107"/>
      <c r="C177" s="115"/>
      <c r="D177" s="40"/>
      <c r="E177" s="40"/>
      <c r="F177" s="40"/>
      <c r="G177" s="40"/>
      <c r="H177" s="40"/>
      <c r="I177" s="40"/>
      <c r="J177" s="61"/>
      <c r="K177" s="33"/>
      <c r="L177" s="33"/>
      <c r="M177" s="33"/>
      <c r="N177" s="120"/>
      <c r="O177" s="106"/>
      <c r="P177" s="195"/>
      <c r="Q177" s="355"/>
      <c r="R177" s="196"/>
      <c r="S177" s="239"/>
      <c r="T177" s="240"/>
      <c r="U177" s="241"/>
      <c r="V177" s="199"/>
      <c r="W177" s="199"/>
      <c r="X177" s="731"/>
      <c r="Y177" s="200"/>
      <c r="Z177" s="186"/>
      <c r="AA177" s="235"/>
    </row>
    <row r="178" spans="1:27" s="350" customFormat="1" ht="25.5" customHeight="1">
      <c r="A178" s="691"/>
      <c r="B178" s="618"/>
      <c r="C178" s="692"/>
      <c r="D178" s="692"/>
      <c r="E178" s="334"/>
      <c r="F178" s="692"/>
      <c r="G178" s="692"/>
      <c r="H178" s="692"/>
      <c r="I178" s="334"/>
      <c r="J178" s="341"/>
      <c r="K178" s="693"/>
      <c r="L178" s="693"/>
      <c r="M178" s="693"/>
      <c r="N178" s="694"/>
      <c r="O178" s="694"/>
      <c r="P178" s="245"/>
      <c r="Q178" s="191"/>
      <c r="R178" s="192"/>
      <c r="S178" s="188"/>
      <c r="T178" s="193"/>
      <c r="U178" s="194"/>
      <c r="V178" s="193"/>
      <c r="W178" s="193"/>
      <c r="X178" s="738"/>
      <c r="Y178" s="191"/>
      <c r="Z178" s="191"/>
      <c r="AA178" s="248" t="s">
        <v>81</v>
      </c>
    </row>
    <row r="179" spans="1:27" s="350" customFormat="1" ht="25.5" customHeight="1">
      <c r="A179" s="690"/>
      <c r="B179" s="618"/>
      <c r="C179" s="690"/>
      <c r="D179" s="690"/>
      <c r="E179" s="334"/>
      <c r="F179" s="690"/>
      <c r="G179" s="690"/>
      <c r="H179" s="690"/>
      <c r="I179" s="334"/>
      <c r="J179" s="341"/>
      <c r="K179" s="690"/>
      <c r="L179" s="690"/>
      <c r="M179" s="690"/>
      <c r="N179" s="690"/>
      <c r="O179" s="690"/>
      <c r="P179" s="245"/>
      <c r="Q179" s="191"/>
      <c r="R179" s="192"/>
      <c r="S179" s="188"/>
      <c r="T179" s="509"/>
      <c r="U179" s="194"/>
      <c r="V179" s="193"/>
      <c r="W179" s="193"/>
      <c r="X179" s="731"/>
      <c r="Y179" s="191"/>
      <c r="Z179" s="191"/>
      <c r="AA179" s="235"/>
    </row>
    <row r="180" spans="1:27" s="350" customFormat="1" ht="33" customHeight="1">
      <c r="A180" s="690"/>
      <c r="B180" s="618"/>
      <c r="C180" s="690"/>
      <c r="D180" s="690"/>
      <c r="E180" s="334"/>
      <c r="F180" s="690"/>
      <c r="G180" s="690"/>
      <c r="H180" s="690"/>
      <c r="I180" s="334"/>
      <c r="J180" s="341"/>
      <c r="K180" s="690"/>
      <c r="L180" s="690"/>
      <c r="M180" s="690"/>
      <c r="N180" s="690"/>
      <c r="O180" s="690"/>
      <c r="P180" s="248"/>
      <c r="Q180" s="191"/>
      <c r="R180" s="203"/>
      <c r="S180" s="204"/>
      <c r="T180" s="193"/>
      <c r="U180" s="205"/>
      <c r="V180" s="193"/>
      <c r="W180" s="193"/>
      <c r="X180" s="690"/>
      <c r="Y180" s="191"/>
      <c r="Z180" s="191"/>
      <c r="AA180" s="235"/>
    </row>
    <row r="181" spans="1:27" ht="22.5" customHeight="1">
      <c r="A181" s="714"/>
      <c r="B181" s="726"/>
      <c r="C181" s="714"/>
      <c r="D181" s="714"/>
      <c r="E181" s="727"/>
      <c r="F181" s="714"/>
      <c r="G181" s="714"/>
      <c r="H181" s="714"/>
      <c r="I181" s="727"/>
      <c r="J181" s="728"/>
      <c r="K181" s="683"/>
      <c r="L181" s="683"/>
      <c r="M181" s="683"/>
      <c r="N181" s="683"/>
      <c r="O181" s="683"/>
      <c r="P181" s="195"/>
      <c r="Q181" s="355"/>
      <c r="R181" s="649"/>
      <c r="S181" s="650"/>
      <c r="T181" s="368"/>
      <c r="U181" s="651"/>
      <c r="V181" s="368"/>
      <c r="W181" s="368"/>
      <c r="X181" s="690"/>
      <c r="Y181" s="200"/>
      <c r="Z181" s="186"/>
      <c r="AA181" s="235"/>
    </row>
    <row r="182" spans="1:27" ht="15.6" customHeight="1">
      <c r="A182" s="34"/>
      <c r="B182" s="107"/>
      <c r="C182" s="115"/>
      <c r="D182" s="40"/>
      <c r="E182" s="40"/>
      <c r="F182" s="40"/>
      <c r="G182" s="40"/>
      <c r="H182" s="40"/>
      <c r="I182" s="40"/>
      <c r="J182" s="61"/>
      <c r="K182" s="735"/>
      <c r="L182" s="735"/>
      <c r="M182" s="735"/>
      <c r="N182" s="734"/>
      <c r="O182" s="732"/>
      <c r="P182" s="719"/>
      <c r="Q182" s="720"/>
      <c r="R182" s="740"/>
      <c r="S182" s="741"/>
      <c r="T182" s="744"/>
      <c r="U182" s="749"/>
      <c r="V182" s="746"/>
      <c r="W182" s="746"/>
      <c r="X182" s="731"/>
      <c r="Y182" s="747"/>
      <c r="Z182" s="186"/>
      <c r="AA182" s="235"/>
    </row>
    <row r="183" spans="1:27" ht="15.6" customHeight="1">
      <c r="A183" s="34"/>
      <c r="B183" s="107"/>
      <c r="C183" s="115"/>
      <c r="D183" s="40"/>
      <c r="E183" s="40"/>
      <c r="F183" s="40"/>
      <c r="G183" s="40"/>
      <c r="H183" s="40"/>
      <c r="I183" s="40"/>
      <c r="J183" s="61"/>
      <c r="K183" s="33"/>
      <c r="L183" s="33"/>
      <c r="M183" s="33"/>
      <c r="N183" s="120"/>
      <c r="O183" s="106"/>
      <c r="P183" s="195"/>
      <c r="Q183" s="355"/>
      <c r="R183" s="238"/>
      <c r="S183" s="239"/>
      <c r="T183" s="199"/>
      <c r="U183" s="206"/>
      <c r="V183" s="199"/>
      <c r="W183" s="199"/>
      <c r="X183" s="690"/>
      <c r="Y183" s="200"/>
      <c r="Z183" s="186"/>
      <c r="AA183" s="235"/>
    </row>
    <row r="184" spans="1:27" ht="33.9" customHeight="1">
      <c r="A184" s="34"/>
      <c r="B184" s="107"/>
      <c r="C184" s="115"/>
      <c r="D184" s="40"/>
      <c r="E184" s="40"/>
      <c r="F184" s="40"/>
      <c r="G184" s="40"/>
      <c r="H184" s="40"/>
      <c r="I184" s="40"/>
      <c r="J184" s="743"/>
      <c r="K184" s="735"/>
      <c r="L184" s="735"/>
      <c r="M184" s="735"/>
      <c r="N184" s="734"/>
      <c r="O184" s="106"/>
      <c r="P184" s="719"/>
      <c r="Q184" s="720"/>
      <c r="R184" s="721"/>
      <c r="S184" s="722"/>
      <c r="T184" s="199"/>
      <c r="U184" s="206"/>
      <c r="V184" s="199"/>
      <c r="W184" s="199"/>
      <c r="X184" s="690"/>
      <c r="Y184" s="200"/>
      <c r="Z184" s="186"/>
      <c r="AA184" s="235"/>
    </row>
    <row r="185" spans="1:27" ht="32.4" customHeight="1">
      <c r="A185" s="34"/>
      <c r="B185" s="107"/>
      <c r="C185" s="115"/>
      <c r="D185" s="40"/>
      <c r="E185" s="40"/>
      <c r="F185" s="40"/>
      <c r="G185" s="40"/>
      <c r="H185" s="40"/>
      <c r="I185" s="40"/>
      <c r="J185" s="743"/>
      <c r="K185" s="735"/>
      <c r="L185" s="735"/>
      <c r="M185" s="735"/>
      <c r="N185" s="734"/>
      <c r="O185" s="106"/>
      <c r="P185" s="719"/>
      <c r="Q185" s="720"/>
      <c r="R185" s="740"/>
      <c r="S185" s="741"/>
      <c r="T185" s="240"/>
      <c r="U185" s="241"/>
      <c r="V185" s="240"/>
      <c r="W185" s="199"/>
      <c r="X185" s="690"/>
      <c r="Y185" s="200"/>
      <c r="Z185" s="186"/>
      <c r="AA185" s="235"/>
    </row>
    <row r="186" spans="1:27" ht="30" customHeight="1">
      <c r="A186" s="34"/>
      <c r="B186" s="107"/>
      <c r="C186" s="115"/>
      <c r="D186" s="40"/>
      <c r="E186" s="40"/>
      <c r="F186" s="40"/>
      <c r="G186" s="40"/>
      <c r="H186" s="40"/>
      <c r="I186" s="40"/>
      <c r="J186" s="743"/>
      <c r="K186" s="735"/>
      <c r="L186" s="735"/>
      <c r="M186" s="735"/>
      <c r="N186" s="734"/>
      <c r="O186" s="106"/>
      <c r="P186" s="719"/>
      <c r="Q186" s="720"/>
      <c r="R186" s="740"/>
      <c r="S186" s="741"/>
      <c r="T186" s="240"/>
      <c r="U186" s="241"/>
      <c r="V186" s="240"/>
      <c r="W186" s="199"/>
      <c r="X186" s="690"/>
      <c r="Y186" s="200"/>
      <c r="Z186" s="186"/>
      <c r="AA186" s="235"/>
    </row>
    <row r="187" spans="1:27" ht="15.6" customHeight="1">
      <c r="A187" s="34"/>
      <c r="B187" s="107"/>
      <c r="C187" s="115"/>
      <c r="D187" s="40"/>
      <c r="E187" s="40"/>
      <c r="F187" s="40"/>
      <c r="G187" s="40"/>
      <c r="H187" s="40"/>
      <c r="I187" s="40"/>
      <c r="J187" s="61"/>
      <c r="K187" s="33"/>
      <c r="L187" s="33"/>
      <c r="M187" s="33"/>
      <c r="N187" s="120"/>
      <c r="O187" s="106"/>
      <c r="P187" s="195"/>
      <c r="Q187" s="355"/>
      <c r="R187" s="196"/>
      <c r="S187" s="741"/>
      <c r="T187" s="744"/>
      <c r="U187" s="745"/>
      <c r="V187" s="746"/>
      <c r="W187" s="746"/>
      <c r="X187" s="731"/>
      <c r="Y187" s="747"/>
      <c r="Z187" s="186"/>
      <c r="AA187" s="235"/>
    </row>
    <row r="188" spans="1:27" ht="15.6" customHeight="1">
      <c r="A188" s="674"/>
      <c r="B188" s="202"/>
      <c r="C188" s="237"/>
      <c r="D188" s="189"/>
      <c r="E188" s="189"/>
      <c r="F188" s="505"/>
      <c r="G188" s="505"/>
      <c r="H188" s="505"/>
      <c r="I188" s="334"/>
      <c r="J188" s="399"/>
      <c r="K188" s="190"/>
      <c r="L188" s="190"/>
      <c r="M188" s="190"/>
      <c r="N188" s="243"/>
      <c r="O188" s="503"/>
      <c r="P188" s="191"/>
      <c r="Q188" s="354"/>
      <c r="R188" s="192"/>
      <c r="S188" s="188"/>
      <c r="T188" s="736"/>
      <c r="U188" s="737"/>
      <c r="V188" s="736"/>
      <c r="W188" s="736"/>
      <c r="X188" s="738"/>
      <c r="Y188" s="191"/>
      <c r="Z188" s="248"/>
      <c r="AA188" s="248" t="s">
        <v>81</v>
      </c>
    </row>
    <row r="189" spans="1:27" ht="14.4">
      <c r="A189" s="34"/>
      <c r="B189" s="107"/>
      <c r="C189" s="115"/>
      <c r="D189" s="40"/>
      <c r="E189" s="40"/>
      <c r="F189" s="40"/>
      <c r="G189" s="40"/>
      <c r="H189" s="40"/>
      <c r="I189" s="40"/>
      <c r="J189" s="61"/>
      <c r="K189" s="33"/>
      <c r="L189" s="33"/>
      <c r="M189" s="33"/>
      <c r="N189" s="120"/>
      <c r="O189" s="120"/>
      <c r="P189" s="191"/>
      <c r="Q189" s="354"/>
      <c r="R189" s="192"/>
      <c r="S189" s="188"/>
      <c r="T189" s="509"/>
      <c r="U189" s="194"/>
      <c r="V189" s="193"/>
      <c r="W189" s="193"/>
      <c r="X189" s="690"/>
      <c r="Y189" s="191"/>
      <c r="Z189" s="248"/>
      <c r="AA189" s="235"/>
    </row>
    <row r="190" spans="1:27" ht="14.4">
      <c r="A190" s="34"/>
      <c r="B190" s="107"/>
      <c r="C190" s="115"/>
      <c r="D190" s="40"/>
      <c r="E190" s="40"/>
      <c r="F190" s="40"/>
      <c r="G190" s="40"/>
      <c r="H190" s="40"/>
      <c r="I190" s="40"/>
      <c r="J190" s="61"/>
      <c r="K190" s="33"/>
      <c r="L190" s="33"/>
      <c r="M190" s="33"/>
      <c r="N190" s="120"/>
      <c r="O190" s="120"/>
      <c r="P190" s="201"/>
      <c r="Q190" s="354"/>
      <c r="R190" s="203"/>
      <c r="S190" s="204"/>
      <c r="T190" s="193"/>
      <c r="U190" s="205"/>
      <c r="V190" s="193"/>
      <c r="W190" s="193"/>
      <c r="X190" s="690"/>
      <c r="Y190" s="191"/>
      <c r="Z190" s="191"/>
      <c r="AA190" s="235"/>
    </row>
    <row r="191" spans="1:27" ht="14.4">
      <c r="A191" s="34"/>
      <c r="B191" s="107"/>
      <c r="C191" s="115"/>
      <c r="D191" s="40"/>
      <c r="E191" s="40"/>
      <c r="F191" s="40"/>
      <c r="G191" s="40"/>
      <c r="H191" s="40"/>
      <c r="I191" s="40"/>
      <c r="J191" s="61"/>
      <c r="K191" s="33"/>
      <c r="L191" s="33"/>
      <c r="M191" s="33"/>
      <c r="N191" s="120"/>
      <c r="O191" s="120"/>
      <c r="P191" s="191"/>
      <c r="Q191" s="354"/>
      <c r="R191" s="249"/>
      <c r="S191" s="250"/>
      <c r="T191" s="247"/>
      <c r="U191" s="205"/>
      <c r="V191" s="193"/>
      <c r="W191" s="193"/>
      <c r="X191" s="690"/>
      <c r="Y191" s="302"/>
      <c r="Z191" s="186"/>
      <c r="AA191" s="235"/>
    </row>
    <row r="192" spans="1:27" ht="16.8" customHeight="1">
      <c r="A192" s="34"/>
      <c r="B192" s="107"/>
      <c r="C192" s="115"/>
      <c r="D192" s="40"/>
      <c r="E192" s="40"/>
      <c r="F192" s="40"/>
      <c r="G192" s="40"/>
      <c r="H192" s="40"/>
      <c r="I192" s="40"/>
      <c r="J192" s="61"/>
      <c r="K192" s="33"/>
      <c r="L192" s="33"/>
      <c r="M192" s="33"/>
      <c r="N192" s="120"/>
      <c r="O192" s="106"/>
      <c r="P192" s="195"/>
      <c r="Q192" s="355"/>
      <c r="R192" s="196"/>
      <c r="S192" s="197"/>
      <c r="T192" s="746"/>
      <c r="U192" s="749"/>
      <c r="V192" s="746"/>
      <c r="W192" s="746"/>
      <c r="X192" s="731"/>
      <c r="Y192" s="200"/>
      <c r="Z192" s="186"/>
      <c r="AA192" s="235"/>
    </row>
    <row r="193" spans="1:27" ht="15.6" customHeight="1">
      <c r="A193" s="34"/>
      <c r="B193" s="107"/>
      <c r="C193" s="730"/>
      <c r="D193" s="724"/>
      <c r="E193" s="724"/>
      <c r="F193" s="724"/>
      <c r="G193" s="724"/>
      <c r="H193" s="724"/>
      <c r="I193" s="724"/>
      <c r="J193" s="743"/>
      <c r="K193" s="33"/>
      <c r="L193" s="33"/>
      <c r="M193" s="33"/>
      <c r="N193" s="120"/>
      <c r="O193" s="106"/>
      <c r="P193" s="195"/>
      <c r="Q193" s="355"/>
      <c r="R193" s="196"/>
      <c r="S193" s="722"/>
      <c r="T193" s="746"/>
      <c r="U193" s="749"/>
      <c r="V193" s="746"/>
      <c r="W193" s="746"/>
      <c r="X193" s="731"/>
      <c r="Y193" s="747"/>
      <c r="Z193" s="186"/>
      <c r="AA193" s="235"/>
    </row>
    <row r="194" spans="1:27" ht="15.6" customHeight="1">
      <c r="A194" s="34"/>
      <c r="B194" s="723"/>
      <c r="C194" s="730"/>
      <c r="D194" s="724"/>
      <c r="E194" s="724"/>
      <c r="F194" s="724"/>
      <c r="G194" s="724"/>
      <c r="H194" s="724"/>
      <c r="I194" s="724"/>
      <c r="J194" s="743"/>
      <c r="K194" s="735"/>
      <c r="L194" s="735"/>
      <c r="M194" s="735"/>
      <c r="N194" s="734"/>
      <c r="O194" s="106"/>
      <c r="P194" s="195"/>
      <c r="Q194" s="355"/>
      <c r="R194" s="196"/>
      <c r="S194" s="197"/>
      <c r="T194" s="199"/>
      <c r="U194" s="206"/>
      <c r="V194" s="199"/>
      <c r="W194" s="199"/>
      <c r="X194" s="690"/>
      <c r="Y194" s="200"/>
      <c r="Z194" s="186"/>
      <c r="AA194" s="235"/>
    </row>
    <row r="195" spans="1:27" ht="15.6" customHeight="1">
      <c r="A195" s="301"/>
      <c r="B195" s="754"/>
      <c r="C195" s="755"/>
      <c r="D195" s="755"/>
      <c r="E195" s="755"/>
      <c r="F195" s="756"/>
      <c r="G195" s="756"/>
      <c r="H195" s="756"/>
      <c r="I195" s="756"/>
      <c r="J195" s="755"/>
      <c r="K195" s="755"/>
      <c r="L195" s="755"/>
      <c r="M195" s="755"/>
      <c r="N195" s="755"/>
      <c r="O195" s="301"/>
      <c r="P195" s="405"/>
      <c r="Q195" s="360"/>
      <c r="R195" s="301"/>
      <c r="S195" s="301"/>
      <c r="T195" s="301"/>
      <c r="U195" s="301"/>
      <c r="V195" s="301"/>
      <c r="W195" s="301"/>
      <c r="X195" s="301"/>
      <c r="Y195" s="200"/>
      <c r="Z195" s="186"/>
      <c r="AA195" s="387"/>
    </row>
    <row r="196" spans="1:27" ht="15.6" customHeight="1">
      <c r="A196" s="684" t="s">
        <v>26</v>
      </c>
      <c r="B196" s="681"/>
      <c r="C196" s="681"/>
      <c r="D196" s="681"/>
      <c r="E196" s="681"/>
      <c r="F196" s="681"/>
      <c r="G196" s="681"/>
      <c r="H196" s="681"/>
      <c r="I196" s="681"/>
      <c r="J196" s="682"/>
      <c r="K196" s="220">
        <f>SUM(K13:K180)</f>
        <v>0</v>
      </c>
      <c r="L196" s="220">
        <f>SUM(L13:L180)</f>
        <v>0</v>
      </c>
      <c r="M196" s="220">
        <f>SUM(M13:M180)</f>
        <v>1</v>
      </c>
      <c r="N196" s="220"/>
      <c r="O196" s="220"/>
      <c r="P196" s="226"/>
      <c r="Q196" s="361"/>
      <c r="R196" s="221"/>
      <c r="S196" s="227"/>
      <c r="T196" s="220">
        <f>SUM(T13:T180)</f>
        <v>0</v>
      </c>
      <c r="U196" s="224"/>
      <c r="V196" s="220">
        <f>SUM(V13:V180)</f>
        <v>0</v>
      </c>
      <c r="W196" s="220">
        <f>SUM(W13:W180)</f>
        <v>0</v>
      </c>
      <c r="X196" s="224">
        <f>SUM(X13:X180)</f>
        <v>0</v>
      </c>
      <c r="Y196" s="200"/>
      <c r="Z196" s="208"/>
      <c r="AA196" s="388"/>
    </row>
    <row r="197" spans="1:27" ht="15.6" customHeight="1">
      <c r="A197" s="15"/>
      <c r="B197" s="51"/>
      <c r="C197" s="116"/>
      <c r="D197" s="15"/>
      <c r="E197" s="15"/>
      <c r="F197" s="15"/>
      <c r="G197" s="15"/>
      <c r="H197" s="15"/>
      <c r="I197" s="15"/>
      <c r="J197" s="16"/>
      <c r="K197" s="29"/>
      <c r="T197" s="29"/>
      <c r="Z197" s="36"/>
    </row>
    <row r="198" spans="1:27" ht="15.6" customHeight="1">
      <c r="A198" s="15"/>
      <c r="B198" s="51"/>
      <c r="C198" s="116"/>
      <c r="D198" s="15"/>
      <c r="E198" s="15"/>
      <c r="F198" s="15"/>
      <c r="G198" s="15"/>
      <c r="H198" s="15"/>
      <c r="I198" s="15"/>
      <c r="J198" s="16"/>
      <c r="K198" s="26"/>
      <c r="L198" s="29"/>
      <c r="M198" s="29"/>
      <c r="N198" s="51"/>
      <c r="O198" s="29"/>
      <c r="P198" s="29"/>
      <c r="Q198" s="362"/>
      <c r="R198" s="29"/>
      <c r="S198" s="29"/>
      <c r="T198" s="26"/>
      <c r="U198" s="29"/>
      <c r="V198" s="29"/>
      <c r="W198" s="29"/>
      <c r="X198" s="29"/>
      <c r="Y198" s="29"/>
      <c r="Z198" s="36"/>
    </row>
    <row r="199" spans="1:27" ht="15.6" customHeight="1">
      <c r="A199" s="15"/>
      <c r="B199" s="51"/>
      <c r="D199" s="47"/>
      <c r="E199" s="53"/>
      <c r="F199" s="53"/>
      <c r="G199" s="53"/>
      <c r="H199" s="53"/>
      <c r="I199" s="53"/>
      <c r="J199" s="685" t="s">
        <v>52</v>
      </c>
      <c r="N199" s="686"/>
      <c r="O199" s="178"/>
      <c r="P199" s="687">
        <f>+P185+P186</f>
        <v>0</v>
      </c>
      <c r="Q199" s="681"/>
      <c r="R199" s="681"/>
      <c r="S199" s="682"/>
      <c r="T199" s="68"/>
      <c r="U199" s="29"/>
      <c r="V199" s="29"/>
      <c r="W199" s="29"/>
      <c r="X199" s="29"/>
      <c r="Y199" s="29"/>
      <c r="Z199" s="36"/>
    </row>
    <row r="200" spans="1:27" ht="15.6" customHeight="1">
      <c r="A200" s="15"/>
      <c r="B200" s="51"/>
      <c r="C200" s="117"/>
      <c r="D200" s="48"/>
      <c r="E200" s="48"/>
      <c r="F200" s="48"/>
      <c r="G200" s="48"/>
      <c r="H200" s="48"/>
      <c r="I200" s="48"/>
      <c r="J200" s="688" t="s">
        <v>53</v>
      </c>
      <c r="N200" s="686"/>
      <c r="O200" s="177"/>
      <c r="P200" s="695">
        <f>SUMIF($Y:$Y,"Phí dịch vụ",$W:$W)</f>
        <v>0</v>
      </c>
      <c r="Q200" s="681"/>
      <c r="R200" s="681"/>
      <c r="S200" s="682"/>
      <c r="T200" s="26"/>
      <c r="U200" s="29"/>
      <c r="V200" s="29"/>
      <c r="W200" s="29"/>
      <c r="X200" s="29"/>
      <c r="Y200" s="29"/>
      <c r="Z200" s="36"/>
    </row>
    <row r="201" spans="1:27" ht="15.6" customHeight="1">
      <c r="A201" s="15"/>
      <c r="B201" s="51"/>
      <c r="C201" s="118"/>
      <c r="D201" s="37"/>
      <c r="E201" s="37"/>
      <c r="F201" s="37"/>
      <c r="G201" s="37"/>
      <c r="H201" s="37"/>
      <c r="I201" s="37"/>
      <c r="J201" s="688" t="s">
        <v>54</v>
      </c>
      <c r="N201" s="686"/>
      <c r="O201" s="177"/>
      <c r="P201" s="687">
        <f>SUMIF($Y:$Y,"Phí chi hộ",$W:$W)</f>
        <v>0</v>
      </c>
      <c r="Q201" s="681"/>
      <c r="R201" s="681"/>
      <c r="S201" s="682"/>
      <c r="T201" s="29"/>
      <c r="U201" s="29"/>
      <c r="V201" s="29"/>
      <c r="W201" s="29"/>
      <c r="X201" s="29"/>
      <c r="Y201" s="29"/>
      <c r="Z201" s="36"/>
    </row>
    <row r="202" spans="1:27" ht="15.6" customHeight="1">
      <c r="A202" s="15"/>
      <c r="B202" s="17"/>
      <c r="C202" s="119" t="s">
        <v>55</v>
      </c>
      <c r="D202" s="18"/>
      <c r="E202" s="18"/>
      <c r="F202" s="18"/>
      <c r="G202" s="18"/>
      <c r="H202" s="18"/>
      <c r="I202" s="18"/>
      <c r="J202" s="62"/>
      <c r="K202" s="17"/>
      <c r="L202" s="17"/>
      <c r="M202" s="17"/>
      <c r="N202" s="17"/>
      <c r="O202" s="17"/>
      <c r="P202" s="16"/>
      <c r="Q202" s="363"/>
      <c r="R202" s="15"/>
      <c r="S202" s="28" t="s">
        <v>56</v>
      </c>
      <c r="Z202" s="37"/>
    </row>
    <row r="203" spans="1:27" ht="15.6" customHeight="1">
      <c r="A203" s="15"/>
      <c r="B203" s="17"/>
      <c r="C203" s="119" t="s">
        <v>57</v>
      </c>
      <c r="D203" s="18"/>
      <c r="E203" s="18"/>
      <c r="F203" s="18"/>
      <c r="G203" s="18"/>
      <c r="H203" s="18"/>
      <c r="I203" s="18"/>
      <c r="J203" s="62"/>
      <c r="K203" s="17"/>
      <c r="L203" s="17"/>
      <c r="M203" s="17"/>
      <c r="N203" s="17"/>
      <c r="O203" s="17"/>
      <c r="P203" s="16"/>
      <c r="Q203" s="364"/>
      <c r="R203" s="15"/>
      <c r="S203" s="15"/>
      <c r="T203" s="27" t="s">
        <v>88</v>
      </c>
      <c r="Y203" s="70"/>
      <c r="Z203" s="24"/>
      <c r="AA203" s="63"/>
    </row>
    <row r="204" spans="1:27" ht="15.6" customHeight="1">
      <c r="A204" s="15"/>
      <c r="B204" s="17"/>
      <c r="C204" s="119" t="s">
        <v>59</v>
      </c>
      <c r="D204" s="18"/>
      <c r="E204" s="18"/>
      <c r="F204" s="18"/>
      <c r="G204" s="18"/>
      <c r="H204" s="18"/>
      <c r="I204" s="18"/>
      <c r="J204" s="62"/>
      <c r="K204" s="17"/>
      <c r="L204" s="17"/>
      <c r="M204" s="17"/>
      <c r="N204" s="17"/>
      <c r="O204" s="17"/>
      <c r="P204" s="16"/>
      <c r="Q204" s="364"/>
      <c r="R204" s="15"/>
      <c r="S204" s="15"/>
      <c r="T204" s="15"/>
      <c r="U204" s="15"/>
      <c r="V204" s="15"/>
      <c r="W204" s="15"/>
      <c r="X204" s="15"/>
      <c r="Y204" s="71"/>
      <c r="Z204" s="38"/>
    </row>
    <row r="205" spans="1:27">
      <c r="A205" s="15"/>
      <c r="B205" s="17"/>
      <c r="C205" s="119" t="s">
        <v>60</v>
      </c>
      <c r="D205" s="18"/>
      <c r="E205" s="18"/>
      <c r="F205" s="18"/>
      <c r="G205" s="18"/>
      <c r="H205" s="18"/>
      <c r="I205" s="18"/>
      <c r="J205" s="62"/>
      <c r="K205" s="17"/>
      <c r="L205" s="17"/>
      <c r="M205" s="17"/>
      <c r="N205" s="17"/>
      <c r="O205" s="17"/>
      <c r="P205" s="16"/>
      <c r="Q205" s="364"/>
      <c r="R205" s="15"/>
      <c r="S205" s="15"/>
      <c r="T205" s="15"/>
      <c r="U205" s="15"/>
      <c r="V205" s="15"/>
      <c r="W205" s="15"/>
      <c r="X205" s="15"/>
      <c r="Y205" s="71"/>
      <c r="Z205" s="38"/>
    </row>
    <row r="206" spans="1:27">
      <c r="A206" s="15"/>
      <c r="B206" s="17"/>
      <c r="C206" s="119" t="s">
        <v>61</v>
      </c>
      <c r="D206" s="18"/>
      <c r="E206" s="18"/>
      <c r="F206" s="18"/>
      <c r="G206" s="18"/>
      <c r="H206" s="18"/>
      <c r="I206" s="18"/>
      <c r="J206" s="62"/>
      <c r="K206" s="17"/>
      <c r="L206" s="17"/>
      <c r="M206" s="17"/>
      <c r="N206" s="17"/>
      <c r="O206" s="17"/>
      <c r="P206" s="16"/>
      <c r="Q206" s="364"/>
      <c r="R206" s="15"/>
      <c r="S206" s="15"/>
      <c r="T206" s="15"/>
      <c r="U206" s="15"/>
      <c r="V206" s="15"/>
      <c r="W206" s="15"/>
      <c r="X206" s="15"/>
      <c r="Y206" s="71"/>
      <c r="Z206" s="38"/>
    </row>
    <row r="207" spans="1:27" ht="16.8">
      <c r="A207" s="15"/>
      <c r="B207" s="17"/>
      <c r="C207" s="119"/>
      <c r="D207" s="18"/>
      <c r="E207" s="18"/>
      <c r="F207" s="18"/>
      <c r="G207" s="18"/>
      <c r="H207" s="18"/>
      <c r="I207" s="18"/>
      <c r="J207" s="62"/>
      <c r="K207" s="17"/>
      <c r="L207" s="17"/>
      <c r="M207" s="17"/>
      <c r="N207" s="17"/>
      <c r="O207" s="17"/>
      <c r="P207" s="16"/>
      <c r="Q207" s="364"/>
      <c r="R207" s="15"/>
      <c r="S207" s="15"/>
      <c r="T207" s="679"/>
      <c r="Y207" s="71"/>
      <c r="Z207" s="38"/>
    </row>
    <row r="208" spans="1:27" ht="62.4">
      <c r="A208" s="15"/>
      <c r="B208" s="17"/>
      <c r="C208" s="49" t="s">
        <v>62</v>
      </c>
      <c r="K208" s="49"/>
      <c r="L208" s="49"/>
      <c r="M208" s="49"/>
      <c r="N208" s="49"/>
      <c r="O208" s="19"/>
      <c r="P208" s="16"/>
      <c r="Q208" s="364"/>
      <c r="R208" s="15"/>
      <c r="S208" s="28" t="s">
        <v>63</v>
      </c>
      <c r="Z208" s="37"/>
    </row>
    <row r="209" spans="1:26" ht="15.6">
      <c r="A209" s="15"/>
      <c r="B209" s="28" t="s">
        <v>64</v>
      </c>
      <c r="O209" s="28"/>
      <c r="P209" s="16"/>
      <c r="Q209" s="364"/>
      <c r="R209" s="15"/>
      <c r="S209" s="15"/>
      <c r="T209" s="15"/>
      <c r="U209" s="15"/>
      <c r="V209" s="15"/>
      <c r="W209" s="15"/>
      <c r="X209" s="15"/>
      <c r="Y209" s="71"/>
      <c r="Z209" s="38"/>
    </row>
    <row r="210" spans="1:26" ht="15.6">
      <c r="A210" s="15"/>
      <c r="B210" s="27" t="s">
        <v>88</v>
      </c>
      <c r="O210" s="27"/>
      <c r="P210" s="16"/>
      <c r="Q210" s="364"/>
      <c r="R210" s="15"/>
      <c r="S210" s="15"/>
      <c r="T210" s="15"/>
      <c r="U210" s="15"/>
      <c r="V210" s="15"/>
      <c r="W210" s="15"/>
      <c r="X210" s="15"/>
      <c r="Y210" s="71"/>
      <c r="Z210" s="38"/>
    </row>
    <row r="211" spans="1:26" ht="15.6">
      <c r="A211" s="15"/>
      <c r="B211" s="51"/>
      <c r="C211" s="116"/>
      <c r="D211" s="15"/>
      <c r="E211" s="15"/>
      <c r="F211" s="15"/>
      <c r="G211" s="15"/>
      <c r="H211" s="15"/>
      <c r="I211" s="15"/>
      <c r="J211" s="16"/>
      <c r="K211" s="15"/>
      <c r="L211" s="15"/>
      <c r="M211" s="15"/>
      <c r="N211" s="15"/>
      <c r="O211" s="15"/>
      <c r="P211" s="16"/>
      <c r="Q211" s="364"/>
      <c r="R211" s="15"/>
      <c r="S211" s="15"/>
      <c r="T211" s="15"/>
      <c r="U211" s="15"/>
      <c r="V211" s="15"/>
      <c r="W211" s="15"/>
      <c r="X211" s="15"/>
      <c r="Y211" s="71"/>
      <c r="Z211" s="38"/>
    </row>
    <row r="212" spans="1:26" ht="15.6">
      <c r="A212" s="15"/>
      <c r="B212" s="51"/>
      <c r="C212" s="116"/>
      <c r="D212" s="15"/>
      <c r="E212" s="15"/>
      <c r="F212" s="15"/>
      <c r="G212" s="15"/>
      <c r="H212" s="15"/>
      <c r="I212" s="15"/>
      <c r="J212" s="16"/>
      <c r="K212" s="15"/>
      <c r="L212" s="15"/>
      <c r="M212" s="15"/>
      <c r="N212" s="15"/>
      <c r="O212" s="15"/>
      <c r="P212" s="16"/>
      <c r="Q212" s="364"/>
      <c r="R212" s="15"/>
      <c r="S212" s="15"/>
      <c r="T212" s="15"/>
      <c r="U212" s="15"/>
      <c r="V212" s="15"/>
      <c r="W212" s="15"/>
      <c r="X212" s="15"/>
      <c r="Y212" s="71"/>
      <c r="Z212" s="38"/>
    </row>
    <row r="213" spans="1:26" ht="15.6">
      <c r="A213" s="2"/>
      <c r="B213" s="50"/>
      <c r="C213" s="111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3"/>
      <c r="Q213" s="352"/>
      <c r="R213" s="2"/>
      <c r="S213" s="2"/>
      <c r="T213" s="2"/>
      <c r="U213" s="2"/>
      <c r="V213" s="2"/>
      <c r="W213" s="2"/>
      <c r="X213" s="2"/>
      <c r="Y213" s="69"/>
      <c r="Z213" s="8"/>
    </row>
    <row r="214" spans="1:26" ht="15.6">
      <c r="B214" s="55"/>
      <c r="O214" s="20"/>
      <c r="R214" s="20"/>
      <c r="S214" s="20"/>
      <c r="T214" s="20"/>
      <c r="U214" s="20"/>
      <c r="V214" s="20"/>
      <c r="W214" s="20"/>
      <c r="X214" s="20"/>
    </row>
    <row r="215" spans="1:26" ht="15.6">
      <c r="B215" s="55"/>
      <c r="O215" s="20"/>
      <c r="R215" s="20"/>
      <c r="S215" s="20"/>
      <c r="T215" s="20"/>
      <c r="U215" s="20"/>
      <c r="V215" s="20"/>
      <c r="W215" s="20"/>
      <c r="X215" s="20"/>
    </row>
    <row r="216" spans="1:26" ht="15.6">
      <c r="B216" s="55"/>
      <c r="O216" s="20"/>
      <c r="R216" s="20"/>
      <c r="S216" s="20"/>
      <c r="T216" s="20"/>
      <c r="U216" s="20"/>
      <c r="V216" s="20"/>
      <c r="W216" s="20"/>
      <c r="X216" s="20"/>
    </row>
    <row r="217" spans="1:26" ht="15.6">
      <c r="B217" s="55"/>
      <c r="O217" s="20"/>
      <c r="R217" s="20"/>
      <c r="S217" s="20"/>
      <c r="T217" s="20"/>
      <c r="U217" s="20"/>
      <c r="V217" s="20"/>
      <c r="W217" s="20"/>
      <c r="X217" s="20"/>
    </row>
    <row r="218" spans="1:26" ht="15.6">
      <c r="B218" s="55"/>
      <c r="O218" s="20"/>
      <c r="R218" s="20"/>
      <c r="S218" s="20"/>
      <c r="T218" s="20"/>
      <c r="U218" s="20"/>
      <c r="V218" s="20"/>
      <c r="W218" s="20"/>
      <c r="X218" s="20"/>
    </row>
    <row r="219" spans="1:26" ht="15.6">
      <c r="B219" s="55"/>
      <c r="O219" s="20"/>
      <c r="R219" s="20"/>
      <c r="S219" s="20"/>
      <c r="T219" s="20"/>
      <c r="U219" s="20"/>
      <c r="V219" s="20"/>
      <c r="W219" s="20"/>
      <c r="X219" s="20"/>
    </row>
  </sheetData>
  <mergeCells count="107">
    <mergeCell ref="A13:A16"/>
    <mergeCell ref="M163:M166"/>
    <mergeCell ref="X115:X125"/>
    <mergeCell ref="G163:G166"/>
    <mergeCell ref="A28:A29"/>
    <mergeCell ref="A86:A88"/>
    <mergeCell ref="X133:X142"/>
    <mergeCell ref="F143:F144"/>
    <mergeCell ref="X97:X114"/>
    <mergeCell ref="H143:H144"/>
    <mergeCell ref="X39:X47"/>
    <mergeCell ref="B195:N195"/>
    <mergeCell ref="L163:L166"/>
    <mergeCell ref="W1:Y4"/>
    <mergeCell ref="G9:G10"/>
    <mergeCell ref="I9:I10"/>
    <mergeCell ref="A9:A10"/>
    <mergeCell ref="K143:K144"/>
    <mergeCell ref="M143:M144"/>
    <mergeCell ref="U10:V10"/>
    <mergeCell ref="K133:K134"/>
    <mergeCell ref="N163:N166"/>
    <mergeCell ref="K182:S182"/>
    <mergeCell ref="Y9:Y10"/>
    <mergeCell ref="A17:A19"/>
    <mergeCell ref="B194:N194"/>
    <mergeCell ref="B9:B10"/>
    <mergeCell ref="T192:X192"/>
    <mergeCell ref="D133:D134"/>
    <mergeCell ref="N133:N134"/>
    <mergeCell ref="C9:C10"/>
    <mergeCell ref="E9:E10"/>
    <mergeCell ref="S193:Y193"/>
    <mergeCell ref="C193:J193"/>
    <mergeCell ref="G133:G134"/>
    <mergeCell ref="E2:S2"/>
    <mergeCell ref="A26:A27"/>
    <mergeCell ref="P11:Q11"/>
    <mergeCell ref="L143:L144"/>
    <mergeCell ref="A31:A33"/>
    <mergeCell ref="D143:D144"/>
    <mergeCell ref="D163:D166"/>
    <mergeCell ref="F163:F166"/>
    <mergeCell ref="D9:D10"/>
    <mergeCell ref="F9:F10"/>
    <mergeCell ref="A153:A155"/>
    <mergeCell ref="A34:A36"/>
    <mergeCell ref="D153:D155"/>
    <mergeCell ref="K9:N9"/>
    <mergeCell ref="E3:S3"/>
    <mergeCell ref="N153:N155"/>
    <mergeCell ref="K153:K155"/>
    <mergeCell ref="M153:M155"/>
    <mergeCell ref="A58:A59"/>
    <mergeCell ref="A133:A134"/>
    <mergeCell ref="A77:A79"/>
    <mergeCell ref="A23:A25"/>
    <mergeCell ref="L133:L134"/>
    <mergeCell ref="G153:G155"/>
    <mergeCell ref="T188:X188"/>
    <mergeCell ref="A143:A144"/>
    <mergeCell ref="A163:A166"/>
    <mergeCell ref="F153:F155"/>
    <mergeCell ref="H153:H155"/>
    <mergeCell ref="P185:S185"/>
    <mergeCell ref="X163:X172"/>
    <mergeCell ref="A48:A49"/>
    <mergeCell ref="X31:X38"/>
    <mergeCell ref="L153:L155"/>
    <mergeCell ref="X143:X152"/>
    <mergeCell ref="J186:N186"/>
    <mergeCell ref="S187:Y187"/>
    <mergeCell ref="A39:A41"/>
    <mergeCell ref="P186:S186"/>
    <mergeCell ref="J185:N185"/>
    <mergeCell ref="X126:X132"/>
    <mergeCell ref="J184:N184"/>
    <mergeCell ref="H133:H134"/>
    <mergeCell ref="K163:K166"/>
    <mergeCell ref="O153:O155"/>
    <mergeCell ref="H163:H166"/>
    <mergeCell ref="X173:X179"/>
    <mergeCell ref="T182:Y182"/>
    <mergeCell ref="P184:S184"/>
    <mergeCell ref="F133:F134"/>
    <mergeCell ref="H9:H10"/>
    <mergeCell ref="A181:J181"/>
    <mergeCell ref="J9:J10"/>
    <mergeCell ref="C153:C155"/>
    <mergeCell ref="A20:A22"/>
    <mergeCell ref="C163:C166"/>
    <mergeCell ref="O163:O166"/>
    <mergeCell ref="P9:X9"/>
    <mergeCell ref="X48:X57"/>
    <mergeCell ref="O143:O144"/>
    <mergeCell ref="M133:M134"/>
    <mergeCell ref="O133:O134"/>
    <mergeCell ref="G143:G144"/>
    <mergeCell ref="P10:Q10"/>
    <mergeCell ref="X23:X30"/>
    <mergeCell ref="X13:X22"/>
    <mergeCell ref="X67:X76"/>
    <mergeCell ref="X77:X85"/>
    <mergeCell ref="N143:N144"/>
    <mergeCell ref="X86:X94"/>
    <mergeCell ref="X153:X162"/>
    <mergeCell ref="X58:X66"/>
  </mergeCells>
  <conditionalFormatting sqref="C187:C192">
    <cfRule type="duplicateValues" dxfId="23" priority="29"/>
  </conditionalFormatting>
  <conditionalFormatting sqref="R1 R4:R8 R205:R1048576">
    <cfRule type="duplicateValues" dxfId="22" priority="65"/>
  </conditionalFormatting>
  <conditionalFormatting sqref="R9:R12 R18:R23 R25:R33 R36:R41 R43:R51 R53:R57 R97:R116 R125:R142 R181:R204">
    <cfRule type="duplicateValues" dxfId="21" priority="28"/>
  </conditionalFormatting>
  <conditionalFormatting sqref="R17">
    <cfRule type="duplicateValues" dxfId="20" priority="26"/>
  </conditionalFormatting>
  <conditionalFormatting sqref="R58">
    <cfRule type="duplicateValues" dxfId="19" priority="25"/>
  </conditionalFormatting>
  <conditionalFormatting sqref="R59:R66">
    <cfRule type="duplicateValues" dxfId="18" priority="17"/>
  </conditionalFormatting>
  <conditionalFormatting sqref="R67">
    <cfRule type="duplicateValues" dxfId="17" priority="10"/>
  </conditionalFormatting>
  <conditionalFormatting sqref="R68:R71 R73:R76">
    <cfRule type="duplicateValues" dxfId="16" priority="9"/>
  </conditionalFormatting>
  <conditionalFormatting sqref="R72">
    <cfRule type="duplicateValues" dxfId="15" priority="6"/>
  </conditionalFormatting>
  <conditionalFormatting sqref="R77:R79 R81:R85">
    <cfRule type="duplicateValues" dxfId="14" priority="8"/>
  </conditionalFormatting>
  <conditionalFormatting sqref="R90:R94">
    <cfRule type="duplicateValues" dxfId="13" priority="5"/>
  </conditionalFormatting>
  <conditionalFormatting sqref="R95:R96">
    <cfRule type="duplicateValues" dxfId="12" priority="2"/>
  </conditionalFormatting>
  <conditionalFormatting sqref="R119:R124">
    <cfRule type="duplicateValues" dxfId="11" priority="15"/>
  </conditionalFormatting>
  <conditionalFormatting sqref="R143:R152">
    <cfRule type="duplicateValues" dxfId="10" priority="12"/>
  </conditionalFormatting>
  <conditionalFormatting sqref="R153:R162">
    <cfRule type="duplicateValues" dxfId="9" priority="11"/>
  </conditionalFormatting>
  <conditionalFormatting sqref="R163:R172">
    <cfRule type="duplicateValues" dxfId="8" priority="3"/>
  </conditionalFormatting>
  <conditionalFormatting sqref="R173:R179">
    <cfRule type="duplicateValues" dxfId="7" priority="1"/>
  </conditionalFormatting>
  <conditionalFormatting sqref="R42:T42">
    <cfRule type="duplicateValues" dxfId="6" priority="18"/>
  </conditionalFormatting>
  <conditionalFormatting sqref="R80:T80">
    <cfRule type="duplicateValues" dxfId="5" priority="7"/>
  </conditionalFormatting>
  <conditionalFormatting sqref="R89:T89">
    <cfRule type="duplicateValues" dxfId="4" priority="4"/>
  </conditionalFormatting>
  <pageMargins left="0.25" right="0.25" top="0.75" bottom="0.75" header="0.3" footer="0.3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RowHeight="13.8"/>
  <cols>
    <col min="1" max="1" width="4.109375" style="73" customWidth="1"/>
    <col min="2" max="2" width="13.33203125" style="73" customWidth="1"/>
    <col min="3" max="3" width="11.44140625" style="73" customWidth="1"/>
    <col min="4" max="4" width="15.88671875" style="74" customWidth="1"/>
    <col min="5" max="5" width="13.44140625" style="74" customWidth="1"/>
    <col min="6" max="6" width="15.6640625" style="74" customWidth="1"/>
    <col min="7" max="7" width="5.109375" style="73" customWidth="1"/>
    <col min="8" max="8" width="7.44140625" style="73" customWidth="1"/>
    <col min="9" max="9" width="7.109375" style="73" customWidth="1"/>
    <col min="10" max="10" width="9.5546875" style="74" customWidth="1"/>
    <col min="11" max="11" width="21.5546875" style="75" customWidth="1"/>
    <col min="12" max="12" width="18.44140625" style="75" hidden="1" customWidth="1"/>
    <col min="13" max="13" width="10.33203125" style="76" customWidth="1"/>
    <col min="14" max="14" width="9.88671875" style="76" customWidth="1"/>
    <col min="15" max="15" width="12.33203125" style="76" customWidth="1"/>
    <col min="16" max="16" width="7.6640625" style="76" customWidth="1"/>
    <col min="17" max="17" width="9.5546875" style="76" customWidth="1"/>
    <col min="18" max="18" width="13" style="76" customWidth="1"/>
    <col min="19" max="19" width="13.33203125" style="74" customWidth="1"/>
    <col min="20" max="20" width="11.5546875" style="74" customWidth="1"/>
    <col min="21" max="21" width="6.88671875" style="74" bestFit="1" customWidth="1"/>
    <col min="22" max="22" width="17.88671875" style="74" customWidth="1"/>
    <col min="23" max="258" width="9.109375" style="74" customWidth="1"/>
    <col min="259" max="259" width="4.109375" style="74" customWidth="1"/>
    <col min="260" max="260" width="13.33203125" style="74" customWidth="1"/>
    <col min="261" max="261" width="9.5546875" style="74" customWidth="1"/>
    <col min="262" max="262" width="15" style="74" customWidth="1"/>
    <col min="263" max="264" width="13" style="74" customWidth="1"/>
    <col min="265" max="265" width="4.33203125" style="74" customWidth="1"/>
    <col min="266" max="266" width="4.88671875" style="74" customWidth="1"/>
    <col min="267" max="267" width="9.5546875" style="74" customWidth="1"/>
    <col min="268" max="268" width="36" style="74" customWidth="1"/>
    <col min="269" max="269" width="11.109375" style="74" customWidth="1"/>
    <col min="270" max="270" width="12.44140625" style="74" customWidth="1"/>
    <col min="271" max="271" width="13.88671875" style="74" customWidth="1"/>
    <col min="272" max="272" width="7.6640625" style="74" customWidth="1"/>
    <col min="273" max="273" width="13" style="74" customWidth="1"/>
    <col min="274" max="274" width="11.5546875" style="74" customWidth="1"/>
    <col min="275" max="275" width="13.33203125" style="74" customWidth="1"/>
    <col min="276" max="276" width="19.44140625" style="74" customWidth="1"/>
    <col min="277" max="277" width="18.88671875" style="74" customWidth="1"/>
    <col min="278" max="514" width="9.109375" style="74" customWidth="1"/>
    <col min="515" max="515" width="4.109375" style="74" customWidth="1"/>
    <col min="516" max="516" width="13.33203125" style="74" customWidth="1"/>
    <col min="517" max="517" width="9.5546875" style="74" customWidth="1"/>
    <col min="518" max="518" width="15" style="74" customWidth="1"/>
    <col min="519" max="520" width="13" style="74" customWidth="1"/>
    <col min="521" max="521" width="4.33203125" style="74" customWidth="1"/>
    <col min="522" max="522" width="4.88671875" style="74" customWidth="1"/>
    <col min="523" max="523" width="9.5546875" style="74" customWidth="1"/>
    <col min="524" max="524" width="36" style="74" customWidth="1"/>
    <col min="525" max="525" width="11.109375" style="74" customWidth="1"/>
    <col min="526" max="526" width="12.44140625" style="74" customWidth="1"/>
    <col min="527" max="527" width="13.88671875" style="74" customWidth="1"/>
    <col min="528" max="528" width="7.6640625" style="74" customWidth="1"/>
    <col min="529" max="529" width="13" style="74" customWidth="1"/>
    <col min="530" max="530" width="11.5546875" style="74" customWidth="1"/>
    <col min="531" max="531" width="13.33203125" style="74" customWidth="1"/>
    <col min="532" max="532" width="19.44140625" style="74" customWidth="1"/>
    <col min="533" max="533" width="18.88671875" style="74" customWidth="1"/>
    <col min="534" max="770" width="9.109375" style="74" customWidth="1"/>
    <col min="771" max="771" width="4.109375" style="74" customWidth="1"/>
    <col min="772" max="772" width="13.33203125" style="74" customWidth="1"/>
    <col min="773" max="773" width="9.5546875" style="74" customWidth="1"/>
    <col min="774" max="774" width="15" style="74" customWidth="1"/>
    <col min="775" max="776" width="13" style="74" customWidth="1"/>
    <col min="777" max="777" width="4.33203125" style="74" customWidth="1"/>
    <col min="778" max="778" width="4.88671875" style="74" customWidth="1"/>
    <col min="779" max="779" width="9.5546875" style="74" customWidth="1"/>
    <col min="780" max="780" width="36" style="74" customWidth="1"/>
    <col min="781" max="781" width="11.109375" style="74" customWidth="1"/>
    <col min="782" max="782" width="12.44140625" style="74" customWidth="1"/>
    <col min="783" max="783" width="13.88671875" style="74" customWidth="1"/>
    <col min="784" max="784" width="7.6640625" style="74" customWidth="1"/>
    <col min="785" max="785" width="13" style="74" customWidth="1"/>
    <col min="786" max="786" width="11.5546875" style="74" customWidth="1"/>
    <col min="787" max="787" width="13.33203125" style="74" customWidth="1"/>
    <col min="788" max="788" width="19.44140625" style="74" customWidth="1"/>
    <col min="789" max="789" width="18.88671875" style="74" customWidth="1"/>
    <col min="790" max="1026" width="9.109375" style="74" customWidth="1"/>
    <col min="1027" max="1027" width="4.109375" style="74" customWidth="1"/>
    <col min="1028" max="1028" width="13.33203125" style="74" customWidth="1"/>
    <col min="1029" max="1029" width="9.5546875" style="74" customWidth="1"/>
    <col min="1030" max="1030" width="15" style="74" customWidth="1"/>
    <col min="1031" max="1032" width="13" style="74" customWidth="1"/>
    <col min="1033" max="1033" width="4.33203125" style="74" customWidth="1"/>
    <col min="1034" max="1034" width="4.88671875" style="74" customWidth="1"/>
    <col min="1035" max="1035" width="9.5546875" style="74" customWidth="1"/>
    <col min="1036" max="1036" width="36" style="74" customWidth="1"/>
    <col min="1037" max="1037" width="11.109375" style="74" customWidth="1"/>
    <col min="1038" max="1038" width="12.44140625" style="74" customWidth="1"/>
    <col min="1039" max="1039" width="13.88671875" style="74" customWidth="1"/>
    <col min="1040" max="1040" width="7.6640625" style="74" customWidth="1"/>
    <col min="1041" max="1041" width="13" style="74" customWidth="1"/>
    <col min="1042" max="1042" width="11.5546875" style="74" customWidth="1"/>
    <col min="1043" max="1043" width="13.33203125" style="74" customWidth="1"/>
    <col min="1044" max="1044" width="19.44140625" style="74" customWidth="1"/>
    <col min="1045" max="1045" width="18.88671875" style="74" customWidth="1"/>
    <col min="1046" max="1282" width="9.109375" style="74" customWidth="1"/>
    <col min="1283" max="1283" width="4.109375" style="74" customWidth="1"/>
    <col min="1284" max="1284" width="13.33203125" style="74" customWidth="1"/>
    <col min="1285" max="1285" width="9.5546875" style="74" customWidth="1"/>
    <col min="1286" max="1286" width="15" style="74" customWidth="1"/>
    <col min="1287" max="1288" width="13" style="74" customWidth="1"/>
    <col min="1289" max="1289" width="4.33203125" style="74" customWidth="1"/>
    <col min="1290" max="1290" width="4.88671875" style="74" customWidth="1"/>
    <col min="1291" max="1291" width="9.5546875" style="74" customWidth="1"/>
    <col min="1292" max="1292" width="36" style="74" customWidth="1"/>
    <col min="1293" max="1293" width="11.109375" style="74" customWidth="1"/>
    <col min="1294" max="1294" width="12.44140625" style="74" customWidth="1"/>
    <col min="1295" max="1295" width="13.88671875" style="74" customWidth="1"/>
    <col min="1296" max="1296" width="7.6640625" style="74" customWidth="1"/>
    <col min="1297" max="1297" width="13" style="74" customWidth="1"/>
    <col min="1298" max="1298" width="11.5546875" style="74" customWidth="1"/>
    <col min="1299" max="1299" width="13.33203125" style="74" customWidth="1"/>
    <col min="1300" max="1300" width="19.44140625" style="74" customWidth="1"/>
    <col min="1301" max="1301" width="18.88671875" style="74" customWidth="1"/>
    <col min="1302" max="1538" width="9.109375" style="74" customWidth="1"/>
    <col min="1539" max="1539" width="4.109375" style="74" customWidth="1"/>
    <col min="1540" max="1540" width="13.33203125" style="74" customWidth="1"/>
    <col min="1541" max="1541" width="9.5546875" style="74" customWidth="1"/>
    <col min="1542" max="1542" width="15" style="74" customWidth="1"/>
    <col min="1543" max="1544" width="13" style="74" customWidth="1"/>
    <col min="1545" max="1545" width="4.33203125" style="74" customWidth="1"/>
    <col min="1546" max="1546" width="4.88671875" style="74" customWidth="1"/>
    <col min="1547" max="1547" width="9.5546875" style="74" customWidth="1"/>
    <col min="1548" max="1548" width="36" style="74" customWidth="1"/>
    <col min="1549" max="1549" width="11.109375" style="74" customWidth="1"/>
    <col min="1550" max="1550" width="12.44140625" style="74" customWidth="1"/>
    <col min="1551" max="1551" width="13.88671875" style="74" customWidth="1"/>
    <col min="1552" max="1552" width="7.6640625" style="74" customWidth="1"/>
    <col min="1553" max="1553" width="13" style="74" customWidth="1"/>
    <col min="1554" max="1554" width="11.5546875" style="74" customWidth="1"/>
    <col min="1555" max="1555" width="13.33203125" style="74" customWidth="1"/>
    <col min="1556" max="1556" width="19.44140625" style="74" customWidth="1"/>
    <col min="1557" max="1557" width="18.88671875" style="74" customWidth="1"/>
    <col min="1558" max="1794" width="9.109375" style="74" customWidth="1"/>
    <col min="1795" max="1795" width="4.109375" style="74" customWidth="1"/>
    <col min="1796" max="1796" width="13.33203125" style="74" customWidth="1"/>
    <col min="1797" max="1797" width="9.5546875" style="74" customWidth="1"/>
    <col min="1798" max="1798" width="15" style="74" customWidth="1"/>
    <col min="1799" max="1800" width="13" style="74" customWidth="1"/>
    <col min="1801" max="1801" width="4.33203125" style="74" customWidth="1"/>
    <col min="1802" max="1802" width="4.88671875" style="74" customWidth="1"/>
    <col min="1803" max="1803" width="9.5546875" style="74" customWidth="1"/>
    <col min="1804" max="1804" width="36" style="74" customWidth="1"/>
    <col min="1805" max="1805" width="11.109375" style="74" customWidth="1"/>
    <col min="1806" max="1806" width="12.44140625" style="74" customWidth="1"/>
    <col min="1807" max="1807" width="13.88671875" style="74" customWidth="1"/>
    <col min="1808" max="1808" width="7.6640625" style="74" customWidth="1"/>
    <col min="1809" max="1809" width="13" style="74" customWidth="1"/>
    <col min="1810" max="1810" width="11.5546875" style="74" customWidth="1"/>
    <col min="1811" max="1811" width="13.33203125" style="74" customWidth="1"/>
    <col min="1812" max="1812" width="19.44140625" style="74" customWidth="1"/>
    <col min="1813" max="1813" width="18.88671875" style="74" customWidth="1"/>
    <col min="1814" max="2050" width="9.109375" style="74" customWidth="1"/>
    <col min="2051" max="2051" width="4.109375" style="74" customWidth="1"/>
    <col min="2052" max="2052" width="13.33203125" style="74" customWidth="1"/>
    <col min="2053" max="2053" width="9.5546875" style="74" customWidth="1"/>
    <col min="2054" max="2054" width="15" style="74" customWidth="1"/>
    <col min="2055" max="2056" width="13" style="74" customWidth="1"/>
    <col min="2057" max="2057" width="4.33203125" style="74" customWidth="1"/>
    <col min="2058" max="2058" width="4.88671875" style="74" customWidth="1"/>
    <col min="2059" max="2059" width="9.5546875" style="74" customWidth="1"/>
    <col min="2060" max="2060" width="36" style="74" customWidth="1"/>
    <col min="2061" max="2061" width="11.109375" style="74" customWidth="1"/>
    <col min="2062" max="2062" width="12.44140625" style="74" customWidth="1"/>
    <col min="2063" max="2063" width="13.88671875" style="74" customWidth="1"/>
    <col min="2064" max="2064" width="7.6640625" style="74" customWidth="1"/>
    <col min="2065" max="2065" width="13" style="74" customWidth="1"/>
    <col min="2066" max="2066" width="11.5546875" style="74" customWidth="1"/>
    <col min="2067" max="2067" width="13.33203125" style="74" customWidth="1"/>
    <col min="2068" max="2068" width="19.44140625" style="74" customWidth="1"/>
    <col min="2069" max="2069" width="18.88671875" style="74" customWidth="1"/>
    <col min="2070" max="2306" width="9.109375" style="74" customWidth="1"/>
    <col min="2307" max="2307" width="4.109375" style="74" customWidth="1"/>
    <col min="2308" max="2308" width="13.33203125" style="74" customWidth="1"/>
    <col min="2309" max="2309" width="9.5546875" style="74" customWidth="1"/>
    <col min="2310" max="2310" width="15" style="74" customWidth="1"/>
    <col min="2311" max="2312" width="13" style="74" customWidth="1"/>
    <col min="2313" max="2313" width="4.33203125" style="74" customWidth="1"/>
    <col min="2314" max="2314" width="4.88671875" style="74" customWidth="1"/>
    <col min="2315" max="2315" width="9.5546875" style="74" customWidth="1"/>
    <col min="2316" max="2316" width="36" style="74" customWidth="1"/>
    <col min="2317" max="2317" width="11.109375" style="74" customWidth="1"/>
    <col min="2318" max="2318" width="12.44140625" style="74" customWidth="1"/>
    <col min="2319" max="2319" width="13.88671875" style="74" customWidth="1"/>
    <col min="2320" max="2320" width="7.6640625" style="74" customWidth="1"/>
    <col min="2321" max="2321" width="13" style="74" customWidth="1"/>
    <col min="2322" max="2322" width="11.5546875" style="74" customWidth="1"/>
    <col min="2323" max="2323" width="13.33203125" style="74" customWidth="1"/>
    <col min="2324" max="2324" width="19.44140625" style="74" customWidth="1"/>
    <col min="2325" max="2325" width="18.88671875" style="74" customWidth="1"/>
    <col min="2326" max="2562" width="9.109375" style="74" customWidth="1"/>
    <col min="2563" max="2563" width="4.109375" style="74" customWidth="1"/>
    <col min="2564" max="2564" width="13.33203125" style="74" customWidth="1"/>
    <col min="2565" max="2565" width="9.5546875" style="74" customWidth="1"/>
    <col min="2566" max="2566" width="15" style="74" customWidth="1"/>
    <col min="2567" max="2568" width="13" style="74" customWidth="1"/>
    <col min="2569" max="2569" width="4.33203125" style="74" customWidth="1"/>
    <col min="2570" max="2570" width="4.88671875" style="74" customWidth="1"/>
    <col min="2571" max="2571" width="9.5546875" style="74" customWidth="1"/>
    <col min="2572" max="2572" width="36" style="74" customWidth="1"/>
    <col min="2573" max="2573" width="11.109375" style="74" customWidth="1"/>
    <col min="2574" max="2574" width="12.44140625" style="74" customWidth="1"/>
    <col min="2575" max="2575" width="13.88671875" style="74" customWidth="1"/>
    <col min="2576" max="2576" width="7.6640625" style="74" customWidth="1"/>
    <col min="2577" max="2577" width="13" style="74" customWidth="1"/>
    <col min="2578" max="2578" width="11.5546875" style="74" customWidth="1"/>
    <col min="2579" max="2579" width="13.33203125" style="74" customWidth="1"/>
    <col min="2580" max="2580" width="19.44140625" style="74" customWidth="1"/>
    <col min="2581" max="2581" width="18.88671875" style="74" customWidth="1"/>
    <col min="2582" max="2818" width="9.109375" style="74" customWidth="1"/>
    <col min="2819" max="2819" width="4.109375" style="74" customWidth="1"/>
    <col min="2820" max="2820" width="13.33203125" style="74" customWidth="1"/>
    <col min="2821" max="2821" width="9.5546875" style="74" customWidth="1"/>
    <col min="2822" max="2822" width="15" style="74" customWidth="1"/>
    <col min="2823" max="2824" width="13" style="74" customWidth="1"/>
    <col min="2825" max="2825" width="4.33203125" style="74" customWidth="1"/>
    <col min="2826" max="2826" width="4.88671875" style="74" customWidth="1"/>
    <col min="2827" max="2827" width="9.5546875" style="74" customWidth="1"/>
    <col min="2828" max="2828" width="36" style="74" customWidth="1"/>
    <col min="2829" max="2829" width="11.109375" style="74" customWidth="1"/>
    <col min="2830" max="2830" width="12.44140625" style="74" customWidth="1"/>
    <col min="2831" max="2831" width="13.88671875" style="74" customWidth="1"/>
    <col min="2832" max="2832" width="7.6640625" style="74" customWidth="1"/>
    <col min="2833" max="2833" width="13" style="74" customWidth="1"/>
    <col min="2834" max="2834" width="11.5546875" style="74" customWidth="1"/>
    <col min="2835" max="2835" width="13.33203125" style="74" customWidth="1"/>
    <col min="2836" max="2836" width="19.44140625" style="74" customWidth="1"/>
    <col min="2837" max="2837" width="18.88671875" style="74" customWidth="1"/>
    <col min="2838" max="3074" width="9.109375" style="74" customWidth="1"/>
    <col min="3075" max="3075" width="4.109375" style="74" customWidth="1"/>
    <col min="3076" max="3076" width="13.33203125" style="74" customWidth="1"/>
    <col min="3077" max="3077" width="9.5546875" style="74" customWidth="1"/>
    <col min="3078" max="3078" width="15" style="74" customWidth="1"/>
    <col min="3079" max="3080" width="13" style="74" customWidth="1"/>
    <col min="3081" max="3081" width="4.33203125" style="74" customWidth="1"/>
    <col min="3082" max="3082" width="4.88671875" style="74" customWidth="1"/>
    <col min="3083" max="3083" width="9.5546875" style="74" customWidth="1"/>
    <col min="3084" max="3084" width="36" style="74" customWidth="1"/>
    <col min="3085" max="3085" width="11.109375" style="74" customWidth="1"/>
    <col min="3086" max="3086" width="12.44140625" style="74" customWidth="1"/>
    <col min="3087" max="3087" width="13.88671875" style="74" customWidth="1"/>
    <col min="3088" max="3088" width="7.6640625" style="74" customWidth="1"/>
    <col min="3089" max="3089" width="13" style="74" customWidth="1"/>
    <col min="3090" max="3090" width="11.5546875" style="74" customWidth="1"/>
    <col min="3091" max="3091" width="13.33203125" style="74" customWidth="1"/>
    <col min="3092" max="3092" width="19.44140625" style="74" customWidth="1"/>
    <col min="3093" max="3093" width="18.88671875" style="74" customWidth="1"/>
    <col min="3094" max="3330" width="9.109375" style="74" customWidth="1"/>
    <col min="3331" max="3331" width="4.109375" style="74" customWidth="1"/>
    <col min="3332" max="3332" width="13.33203125" style="74" customWidth="1"/>
    <col min="3333" max="3333" width="9.5546875" style="74" customWidth="1"/>
    <col min="3334" max="3334" width="15" style="74" customWidth="1"/>
    <col min="3335" max="3336" width="13" style="74" customWidth="1"/>
    <col min="3337" max="3337" width="4.33203125" style="74" customWidth="1"/>
    <col min="3338" max="3338" width="4.88671875" style="74" customWidth="1"/>
    <col min="3339" max="3339" width="9.5546875" style="74" customWidth="1"/>
    <col min="3340" max="3340" width="36" style="74" customWidth="1"/>
    <col min="3341" max="3341" width="11.109375" style="74" customWidth="1"/>
    <col min="3342" max="3342" width="12.44140625" style="74" customWidth="1"/>
    <col min="3343" max="3343" width="13.88671875" style="74" customWidth="1"/>
    <col min="3344" max="3344" width="7.6640625" style="74" customWidth="1"/>
    <col min="3345" max="3345" width="13" style="74" customWidth="1"/>
    <col min="3346" max="3346" width="11.5546875" style="74" customWidth="1"/>
    <col min="3347" max="3347" width="13.33203125" style="74" customWidth="1"/>
    <col min="3348" max="3348" width="19.44140625" style="74" customWidth="1"/>
    <col min="3349" max="3349" width="18.88671875" style="74" customWidth="1"/>
    <col min="3350" max="3586" width="9.109375" style="74" customWidth="1"/>
    <col min="3587" max="3587" width="4.109375" style="74" customWidth="1"/>
    <col min="3588" max="3588" width="13.33203125" style="74" customWidth="1"/>
    <col min="3589" max="3589" width="9.5546875" style="74" customWidth="1"/>
    <col min="3590" max="3590" width="15" style="74" customWidth="1"/>
    <col min="3591" max="3592" width="13" style="74" customWidth="1"/>
    <col min="3593" max="3593" width="4.33203125" style="74" customWidth="1"/>
    <col min="3594" max="3594" width="4.88671875" style="74" customWidth="1"/>
    <col min="3595" max="3595" width="9.5546875" style="74" customWidth="1"/>
    <col min="3596" max="3596" width="36" style="74" customWidth="1"/>
    <col min="3597" max="3597" width="11.109375" style="74" customWidth="1"/>
    <col min="3598" max="3598" width="12.44140625" style="74" customWidth="1"/>
    <col min="3599" max="3599" width="13.88671875" style="74" customWidth="1"/>
    <col min="3600" max="3600" width="7.6640625" style="74" customWidth="1"/>
    <col min="3601" max="3601" width="13" style="74" customWidth="1"/>
    <col min="3602" max="3602" width="11.5546875" style="74" customWidth="1"/>
    <col min="3603" max="3603" width="13.33203125" style="74" customWidth="1"/>
    <col min="3604" max="3604" width="19.44140625" style="74" customWidth="1"/>
    <col min="3605" max="3605" width="18.88671875" style="74" customWidth="1"/>
    <col min="3606" max="3842" width="9.109375" style="74" customWidth="1"/>
    <col min="3843" max="3843" width="4.109375" style="74" customWidth="1"/>
    <col min="3844" max="3844" width="13.33203125" style="74" customWidth="1"/>
    <col min="3845" max="3845" width="9.5546875" style="74" customWidth="1"/>
    <col min="3846" max="3846" width="15" style="74" customWidth="1"/>
    <col min="3847" max="3848" width="13" style="74" customWidth="1"/>
    <col min="3849" max="3849" width="4.33203125" style="74" customWidth="1"/>
    <col min="3850" max="3850" width="4.88671875" style="74" customWidth="1"/>
    <col min="3851" max="3851" width="9.5546875" style="74" customWidth="1"/>
    <col min="3852" max="3852" width="36" style="74" customWidth="1"/>
    <col min="3853" max="3853" width="11.109375" style="74" customWidth="1"/>
    <col min="3854" max="3854" width="12.44140625" style="74" customWidth="1"/>
    <col min="3855" max="3855" width="13.88671875" style="74" customWidth="1"/>
    <col min="3856" max="3856" width="7.6640625" style="74" customWidth="1"/>
    <col min="3857" max="3857" width="13" style="74" customWidth="1"/>
    <col min="3858" max="3858" width="11.5546875" style="74" customWidth="1"/>
    <col min="3859" max="3859" width="13.33203125" style="74" customWidth="1"/>
    <col min="3860" max="3860" width="19.44140625" style="74" customWidth="1"/>
    <col min="3861" max="3861" width="18.88671875" style="74" customWidth="1"/>
    <col min="3862" max="4098" width="9.109375" style="74" customWidth="1"/>
    <col min="4099" max="4099" width="4.109375" style="74" customWidth="1"/>
    <col min="4100" max="4100" width="13.33203125" style="74" customWidth="1"/>
    <col min="4101" max="4101" width="9.5546875" style="74" customWidth="1"/>
    <col min="4102" max="4102" width="15" style="74" customWidth="1"/>
    <col min="4103" max="4104" width="13" style="74" customWidth="1"/>
    <col min="4105" max="4105" width="4.33203125" style="74" customWidth="1"/>
    <col min="4106" max="4106" width="4.88671875" style="74" customWidth="1"/>
    <col min="4107" max="4107" width="9.5546875" style="74" customWidth="1"/>
    <col min="4108" max="4108" width="36" style="74" customWidth="1"/>
    <col min="4109" max="4109" width="11.109375" style="74" customWidth="1"/>
    <col min="4110" max="4110" width="12.44140625" style="74" customWidth="1"/>
    <col min="4111" max="4111" width="13.88671875" style="74" customWidth="1"/>
    <col min="4112" max="4112" width="7.6640625" style="74" customWidth="1"/>
    <col min="4113" max="4113" width="13" style="74" customWidth="1"/>
    <col min="4114" max="4114" width="11.5546875" style="74" customWidth="1"/>
    <col min="4115" max="4115" width="13.33203125" style="74" customWidth="1"/>
    <col min="4116" max="4116" width="19.44140625" style="74" customWidth="1"/>
    <col min="4117" max="4117" width="18.88671875" style="74" customWidth="1"/>
    <col min="4118" max="4354" width="9.109375" style="74" customWidth="1"/>
    <col min="4355" max="4355" width="4.109375" style="74" customWidth="1"/>
    <col min="4356" max="4356" width="13.33203125" style="74" customWidth="1"/>
    <col min="4357" max="4357" width="9.5546875" style="74" customWidth="1"/>
    <col min="4358" max="4358" width="15" style="74" customWidth="1"/>
    <col min="4359" max="4360" width="13" style="74" customWidth="1"/>
    <col min="4361" max="4361" width="4.33203125" style="74" customWidth="1"/>
    <col min="4362" max="4362" width="4.88671875" style="74" customWidth="1"/>
    <col min="4363" max="4363" width="9.5546875" style="74" customWidth="1"/>
    <col min="4364" max="4364" width="36" style="74" customWidth="1"/>
    <col min="4365" max="4365" width="11.109375" style="74" customWidth="1"/>
    <col min="4366" max="4366" width="12.44140625" style="74" customWidth="1"/>
    <col min="4367" max="4367" width="13.88671875" style="74" customWidth="1"/>
    <col min="4368" max="4368" width="7.6640625" style="74" customWidth="1"/>
    <col min="4369" max="4369" width="13" style="74" customWidth="1"/>
    <col min="4370" max="4370" width="11.5546875" style="74" customWidth="1"/>
    <col min="4371" max="4371" width="13.33203125" style="74" customWidth="1"/>
    <col min="4372" max="4372" width="19.44140625" style="74" customWidth="1"/>
    <col min="4373" max="4373" width="18.88671875" style="74" customWidth="1"/>
    <col min="4374" max="4610" width="9.109375" style="74" customWidth="1"/>
    <col min="4611" max="4611" width="4.109375" style="74" customWidth="1"/>
    <col min="4612" max="4612" width="13.33203125" style="74" customWidth="1"/>
    <col min="4613" max="4613" width="9.5546875" style="74" customWidth="1"/>
    <col min="4614" max="4614" width="15" style="74" customWidth="1"/>
    <col min="4615" max="4616" width="13" style="74" customWidth="1"/>
    <col min="4617" max="4617" width="4.33203125" style="74" customWidth="1"/>
    <col min="4618" max="4618" width="4.88671875" style="74" customWidth="1"/>
    <col min="4619" max="4619" width="9.5546875" style="74" customWidth="1"/>
    <col min="4620" max="4620" width="36" style="74" customWidth="1"/>
    <col min="4621" max="4621" width="11.109375" style="74" customWidth="1"/>
    <col min="4622" max="4622" width="12.44140625" style="74" customWidth="1"/>
    <col min="4623" max="4623" width="13.88671875" style="74" customWidth="1"/>
    <col min="4624" max="4624" width="7.6640625" style="74" customWidth="1"/>
    <col min="4625" max="4625" width="13" style="74" customWidth="1"/>
    <col min="4626" max="4626" width="11.5546875" style="74" customWidth="1"/>
    <col min="4627" max="4627" width="13.33203125" style="74" customWidth="1"/>
    <col min="4628" max="4628" width="19.44140625" style="74" customWidth="1"/>
    <col min="4629" max="4629" width="18.88671875" style="74" customWidth="1"/>
    <col min="4630" max="4866" width="9.109375" style="74" customWidth="1"/>
    <col min="4867" max="4867" width="4.109375" style="74" customWidth="1"/>
    <col min="4868" max="4868" width="13.33203125" style="74" customWidth="1"/>
    <col min="4869" max="4869" width="9.5546875" style="74" customWidth="1"/>
    <col min="4870" max="4870" width="15" style="74" customWidth="1"/>
    <col min="4871" max="4872" width="13" style="74" customWidth="1"/>
    <col min="4873" max="4873" width="4.33203125" style="74" customWidth="1"/>
    <col min="4874" max="4874" width="4.88671875" style="74" customWidth="1"/>
    <col min="4875" max="4875" width="9.5546875" style="74" customWidth="1"/>
    <col min="4876" max="4876" width="36" style="74" customWidth="1"/>
    <col min="4877" max="4877" width="11.109375" style="74" customWidth="1"/>
    <col min="4878" max="4878" width="12.44140625" style="74" customWidth="1"/>
    <col min="4879" max="4879" width="13.88671875" style="74" customWidth="1"/>
    <col min="4880" max="4880" width="7.6640625" style="74" customWidth="1"/>
    <col min="4881" max="4881" width="13" style="74" customWidth="1"/>
    <col min="4882" max="4882" width="11.5546875" style="74" customWidth="1"/>
    <col min="4883" max="4883" width="13.33203125" style="74" customWidth="1"/>
    <col min="4884" max="4884" width="19.44140625" style="74" customWidth="1"/>
    <col min="4885" max="4885" width="18.88671875" style="74" customWidth="1"/>
    <col min="4886" max="5122" width="9.109375" style="74" customWidth="1"/>
    <col min="5123" max="5123" width="4.109375" style="74" customWidth="1"/>
    <col min="5124" max="5124" width="13.33203125" style="74" customWidth="1"/>
    <col min="5125" max="5125" width="9.5546875" style="74" customWidth="1"/>
    <col min="5126" max="5126" width="15" style="74" customWidth="1"/>
    <col min="5127" max="5128" width="13" style="74" customWidth="1"/>
    <col min="5129" max="5129" width="4.33203125" style="74" customWidth="1"/>
    <col min="5130" max="5130" width="4.88671875" style="74" customWidth="1"/>
    <col min="5131" max="5131" width="9.5546875" style="74" customWidth="1"/>
    <col min="5132" max="5132" width="36" style="74" customWidth="1"/>
    <col min="5133" max="5133" width="11.109375" style="74" customWidth="1"/>
    <col min="5134" max="5134" width="12.44140625" style="74" customWidth="1"/>
    <col min="5135" max="5135" width="13.88671875" style="74" customWidth="1"/>
    <col min="5136" max="5136" width="7.6640625" style="74" customWidth="1"/>
    <col min="5137" max="5137" width="13" style="74" customWidth="1"/>
    <col min="5138" max="5138" width="11.5546875" style="74" customWidth="1"/>
    <col min="5139" max="5139" width="13.33203125" style="74" customWidth="1"/>
    <col min="5140" max="5140" width="19.44140625" style="74" customWidth="1"/>
    <col min="5141" max="5141" width="18.88671875" style="74" customWidth="1"/>
    <col min="5142" max="5378" width="9.109375" style="74" customWidth="1"/>
    <col min="5379" max="5379" width="4.109375" style="74" customWidth="1"/>
    <col min="5380" max="5380" width="13.33203125" style="74" customWidth="1"/>
    <col min="5381" max="5381" width="9.5546875" style="74" customWidth="1"/>
    <col min="5382" max="5382" width="15" style="74" customWidth="1"/>
    <col min="5383" max="5384" width="13" style="74" customWidth="1"/>
    <col min="5385" max="5385" width="4.33203125" style="74" customWidth="1"/>
    <col min="5386" max="5386" width="4.88671875" style="74" customWidth="1"/>
    <col min="5387" max="5387" width="9.5546875" style="74" customWidth="1"/>
    <col min="5388" max="5388" width="36" style="74" customWidth="1"/>
    <col min="5389" max="5389" width="11.109375" style="74" customWidth="1"/>
    <col min="5390" max="5390" width="12.44140625" style="74" customWidth="1"/>
    <col min="5391" max="5391" width="13.88671875" style="74" customWidth="1"/>
    <col min="5392" max="5392" width="7.6640625" style="74" customWidth="1"/>
    <col min="5393" max="5393" width="13" style="74" customWidth="1"/>
    <col min="5394" max="5394" width="11.5546875" style="74" customWidth="1"/>
    <col min="5395" max="5395" width="13.33203125" style="74" customWidth="1"/>
    <col min="5396" max="5396" width="19.44140625" style="74" customWidth="1"/>
    <col min="5397" max="5397" width="18.88671875" style="74" customWidth="1"/>
    <col min="5398" max="5634" width="9.109375" style="74" customWidth="1"/>
    <col min="5635" max="5635" width="4.109375" style="74" customWidth="1"/>
    <col min="5636" max="5636" width="13.33203125" style="74" customWidth="1"/>
    <col min="5637" max="5637" width="9.5546875" style="74" customWidth="1"/>
    <col min="5638" max="5638" width="15" style="74" customWidth="1"/>
    <col min="5639" max="5640" width="13" style="74" customWidth="1"/>
    <col min="5641" max="5641" width="4.33203125" style="74" customWidth="1"/>
    <col min="5642" max="5642" width="4.88671875" style="74" customWidth="1"/>
    <col min="5643" max="5643" width="9.5546875" style="74" customWidth="1"/>
    <col min="5644" max="5644" width="36" style="74" customWidth="1"/>
    <col min="5645" max="5645" width="11.109375" style="74" customWidth="1"/>
    <col min="5646" max="5646" width="12.44140625" style="74" customWidth="1"/>
    <col min="5647" max="5647" width="13.88671875" style="74" customWidth="1"/>
    <col min="5648" max="5648" width="7.6640625" style="74" customWidth="1"/>
    <col min="5649" max="5649" width="13" style="74" customWidth="1"/>
    <col min="5650" max="5650" width="11.5546875" style="74" customWidth="1"/>
    <col min="5651" max="5651" width="13.33203125" style="74" customWidth="1"/>
    <col min="5652" max="5652" width="19.44140625" style="74" customWidth="1"/>
    <col min="5653" max="5653" width="18.88671875" style="74" customWidth="1"/>
    <col min="5654" max="5890" width="9.109375" style="74" customWidth="1"/>
    <col min="5891" max="5891" width="4.109375" style="74" customWidth="1"/>
    <col min="5892" max="5892" width="13.33203125" style="74" customWidth="1"/>
    <col min="5893" max="5893" width="9.5546875" style="74" customWidth="1"/>
    <col min="5894" max="5894" width="15" style="74" customWidth="1"/>
    <col min="5895" max="5896" width="13" style="74" customWidth="1"/>
    <col min="5897" max="5897" width="4.33203125" style="74" customWidth="1"/>
    <col min="5898" max="5898" width="4.88671875" style="74" customWidth="1"/>
    <col min="5899" max="5899" width="9.5546875" style="74" customWidth="1"/>
    <col min="5900" max="5900" width="36" style="74" customWidth="1"/>
    <col min="5901" max="5901" width="11.109375" style="74" customWidth="1"/>
    <col min="5902" max="5902" width="12.44140625" style="74" customWidth="1"/>
    <col min="5903" max="5903" width="13.88671875" style="74" customWidth="1"/>
    <col min="5904" max="5904" width="7.6640625" style="74" customWidth="1"/>
    <col min="5905" max="5905" width="13" style="74" customWidth="1"/>
    <col min="5906" max="5906" width="11.5546875" style="74" customWidth="1"/>
    <col min="5907" max="5907" width="13.33203125" style="74" customWidth="1"/>
    <col min="5908" max="5908" width="19.44140625" style="74" customWidth="1"/>
    <col min="5909" max="5909" width="18.88671875" style="74" customWidth="1"/>
    <col min="5910" max="6146" width="9.109375" style="74" customWidth="1"/>
    <col min="6147" max="6147" width="4.109375" style="74" customWidth="1"/>
    <col min="6148" max="6148" width="13.33203125" style="74" customWidth="1"/>
    <col min="6149" max="6149" width="9.5546875" style="74" customWidth="1"/>
    <col min="6150" max="6150" width="15" style="74" customWidth="1"/>
    <col min="6151" max="6152" width="13" style="74" customWidth="1"/>
    <col min="6153" max="6153" width="4.33203125" style="74" customWidth="1"/>
    <col min="6154" max="6154" width="4.88671875" style="74" customWidth="1"/>
    <col min="6155" max="6155" width="9.5546875" style="74" customWidth="1"/>
    <col min="6156" max="6156" width="36" style="74" customWidth="1"/>
    <col min="6157" max="6157" width="11.109375" style="74" customWidth="1"/>
    <col min="6158" max="6158" width="12.44140625" style="74" customWidth="1"/>
    <col min="6159" max="6159" width="13.88671875" style="74" customWidth="1"/>
    <col min="6160" max="6160" width="7.6640625" style="74" customWidth="1"/>
    <col min="6161" max="6161" width="13" style="74" customWidth="1"/>
    <col min="6162" max="6162" width="11.5546875" style="74" customWidth="1"/>
    <col min="6163" max="6163" width="13.33203125" style="74" customWidth="1"/>
    <col min="6164" max="6164" width="19.44140625" style="74" customWidth="1"/>
    <col min="6165" max="6165" width="18.88671875" style="74" customWidth="1"/>
    <col min="6166" max="6402" width="9.109375" style="74" customWidth="1"/>
    <col min="6403" max="6403" width="4.109375" style="74" customWidth="1"/>
    <col min="6404" max="6404" width="13.33203125" style="74" customWidth="1"/>
    <col min="6405" max="6405" width="9.5546875" style="74" customWidth="1"/>
    <col min="6406" max="6406" width="15" style="74" customWidth="1"/>
    <col min="6407" max="6408" width="13" style="74" customWidth="1"/>
    <col min="6409" max="6409" width="4.33203125" style="74" customWidth="1"/>
    <col min="6410" max="6410" width="4.88671875" style="74" customWidth="1"/>
    <col min="6411" max="6411" width="9.5546875" style="74" customWidth="1"/>
    <col min="6412" max="6412" width="36" style="74" customWidth="1"/>
    <col min="6413" max="6413" width="11.109375" style="74" customWidth="1"/>
    <col min="6414" max="6414" width="12.44140625" style="74" customWidth="1"/>
    <col min="6415" max="6415" width="13.88671875" style="74" customWidth="1"/>
    <col min="6416" max="6416" width="7.6640625" style="74" customWidth="1"/>
    <col min="6417" max="6417" width="13" style="74" customWidth="1"/>
    <col min="6418" max="6418" width="11.5546875" style="74" customWidth="1"/>
    <col min="6419" max="6419" width="13.33203125" style="74" customWidth="1"/>
    <col min="6420" max="6420" width="19.44140625" style="74" customWidth="1"/>
    <col min="6421" max="6421" width="18.88671875" style="74" customWidth="1"/>
    <col min="6422" max="6658" width="9.109375" style="74" customWidth="1"/>
    <col min="6659" max="6659" width="4.109375" style="74" customWidth="1"/>
    <col min="6660" max="6660" width="13.33203125" style="74" customWidth="1"/>
    <col min="6661" max="6661" width="9.5546875" style="74" customWidth="1"/>
    <col min="6662" max="6662" width="15" style="74" customWidth="1"/>
    <col min="6663" max="6664" width="13" style="74" customWidth="1"/>
    <col min="6665" max="6665" width="4.33203125" style="74" customWidth="1"/>
    <col min="6666" max="6666" width="4.88671875" style="74" customWidth="1"/>
    <col min="6667" max="6667" width="9.5546875" style="74" customWidth="1"/>
    <col min="6668" max="6668" width="36" style="74" customWidth="1"/>
    <col min="6669" max="6669" width="11.109375" style="74" customWidth="1"/>
    <col min="6670" max="6670" width="12.44140625" style="74" customWidth="1"/>
    <col min="6671" max="6671" width="13.88671875" style="74" customWidth="1"/>
    <col min="6672" max="6672" width="7.6640625" style="74" customWidth="1"/>
    <col min="6673" max="6673" width="13" style="74" customWidth="1"/>
    <col min="6674" max="6674" width="11.5546875" style="74" customWidth="1"/>
    <col min="6675" max="6675" width="13.33203125" style="74" customWidth="1"/>
    <col min="6676" max="6676" width="19.44140625" style="74" customWidth="1"/>
    <col min="6677" max="6677" width="18.88671875" style="74" customWidth="1"/>
    <col min="6678" max="6914" width="9.109375" style="74" customWidth="1"/>
    <col min="6915" max="6915" width="4.109375" style="74" customWidth="1"/>
    <col min="6916" max="6916" width="13.33203125" style="74" customWidth="1"/>
    <col min="6917" max="6917" width="9.5546875" style="74" customWidth="1"/>
    <col min="6918" max="6918" width="15" style="74" customWidth="1"/>
    <col min="6919" max="6920" width="13" style="74" customWidth="1"/>
    <col min="6921" max="6921" width="4.33203125" style="74" customWidth="1"/>
    <col min="6922" max="6922" width="4.88671875" style="74" customWidth="1"/>
    <col min="6923" max="6923" width="9.5546875" style="74" customWidth="1"/>
    <col min="6924" max="6924" width="36" style="74" customWidth="1"/>
    <col min="6925" max="6925" width="11.109375" style="74" customWidth="1"/>
    <col min="6926" max="6926" width="12.44140625" style="74" customWidth="1"/>
    <col min="6927" max="6927" width="13.88671875" style="74" customWidth="1"/>
    <col min="6928" max="6928" width="7.6640625" style="74" customWidth="1"/>
    <col min="6929" max="6929" width="13" style="74" customWidth="1"/>
    <col min="6930" max="6930" width="11.5546875" style="74" customWidth="1"/>
    <col min="6931" max="6931" width="13.33203125" style="74" customWidth="1"/>
    <col min="6932" max="6932" width="19.44140625" style="74" customWidth="1"/>
    <col min="6933" max="6933" width="18.88671875" style="74" customWidth="1"/>
    <col min="6934" max="7170" width="9.109375" style="74" customWidth="1"/>
    <col min="7171" max="7171" width="4.109375" style="74" customWidth="1"/>
    <col min="7172" max="7172" width="13.33203125" style="74" customWidth="1"/>
    <col min="7173" max="7173" width="9.5546875" style="74" customWidth="1"/>
    <col min="7174" max="7174" width="15" style="74" customWidth="1"/>
    <col min="7175" max="7176" width="13" style="74" customWidth="1"/>
    <col min="7177" max="7177" width="4.33203125" style="74" customWidth="1"/>
    <col min="7178" max="7178" width="4.88671875" style="74" customWidth="1"/>
    <col min="7179" max="7179" width="9.5546875" style="74" customWidth="1"/>
    <col min="7180" max="7180" width="36" style="74" customWidth="1"/>
    <col min="7181" max="7181" width="11.109375" style="74" customWidth="1"/>
    <col min="7182" max="7182" width="12.44140625" style="74" customWidth="1"/>
    <col min="7183" max="7183" width="13.88671875" style="74" customWidth="1"/>
    <col min="7184" max="7184" width="7.6640625" style="74" customWidth="1"/>
    <col min="7185" max="7185" width="13" style="74" customWidth="1"/>
    <col min="7186" max="7186" width="11.5546875" style="74" customWidth="1"/>
    <col min="7187" max="7187" width="13.33203125" style="74" customWidth="1"/>
    <col min="7188" max="7188" width="19.44140625" style="74" customWidth="1"/>
    <col min="7189" max="7189" width="18.88671875" style="74" customWidth="1"/>
    <col min="7190" max="7426" width="9.109375" style="74" customWidth="1"/>
    <col min="7427" max="7427" width="4.109375" style="74" customWidth="1"/>
    <col min="7428" max="7428" width="13.33203125" style="74" customWidth="1"/>
    <col min="7429" max="7429" width="9.5546875" style="74" customWidth="1"/>
    <col min="7430" max="7430" width="15" style="74" customWidth="1"/>
    <col min="7431" max="7432" width="13" style="74" customWidth="1"/>
    <col min="7433" max="7433" width="4.33203125" style="74" customWidth="1"/>
    <col min="7434" max="7434" width="4.88671875" style="74" customWidth="1"/>
    <col min="7435" max="7435" width="9.5546875" style="74" customWidth="1"/>
    <col min="7436" max="7436" width="36" style="74" customWidth="1"/>
    <col min="7437" max="7437" width="11.109375" style="74" customWidth="1"/>
    <col min="7438" max="7438" width="12.44140625" style="74" customWidth="1"/>
    <col min="7439" max="7439" width="13.88671875" style="74" customWidth="1"/>
    <col min="7440" max="7440" width="7.6640625" style="74" customWidth="1"/>
    <col min="7441" max="7441" width="13" style="74" customWidth="1"/>
    <col min="7442" max="7442" width="11.5546875" style="74" customWidth="1"/>
    <col min="7443" max="7443" width="13.33203125" style="74" customWidth="1"/>
    <col min="7444" max="7444" width="19.44140625" style="74" customWidth="1"/>
    <col min="7445" max="7445" width="18.88671875" style="74" customWidth="1"/>
    <col min="7446" max="7682" width="9.109375" style="74" customWidth="1"/>
    <col min="7683" max="7683" width="4.109375" style="74" customWidth="1"/>
    <col min="7684" max="7684" width="13.33203125" style="74" customWidth="1"/>
    <col min="7685" max="7685" width="9.5546875" style="74" customWidth="1"/>
    <col min="7686" max="7686" width="15" style="74" customWidth="1"/>
    <col min="7687" max="7688" width="13" style="74" customWidth="1"/>
    <col min="7689" max="7689" width="4.33203125" style="74" customWidth="1"/>
    <col min="7690" max="7690" width="4.88671875" style="74" customWidth="1"/>
    <col min="7691" max="7691" width="9.5546875" style="74" customWidth="1"/>
    <col min="7692" max="7692" width="36" style="74" customWidth="1"/>
    <col min="7693" max="7693" width="11.109375" style="74" customWidth="1"/>
    <col min="7694" max="7694" width="12.44140625" style="74" customWidth="1"/>
    <col min="7695" max="7695" width="13.88671875" style="74" customWidth="1"/>
    <col min="7696" max="7696" width="7.6640625" style="74" customWidth="1"/>
    <col min="7697" max="7697" width="13" style="74" customWidth="1"/>
    <col min="7698" max="7698" width="11.5546875" style="74" customWidth="1"/>
    <col min="7699" max="7699" width="13.33203125" style="74" customWidth="1"/>
    <col min="7700" max="7700" width="19.44140625" style="74" customWidth="1"/>
    <col min="7701" max="7701" width="18.88671875" style="74" customWidth="1"/>
    <col min="7702" max="7938" width="9.109375" style="74" customWidth="1"/>
    <col min="7939" max="7939" width="4.109375" style="74" customWidth="1"/>
    <col min="7940" max="7940" width="13.33203125" style="74" customWidth="1"/>
    <col min="7941" max="7941" width="9.5546875" style="74" customWidth="1"/>
    <col min="7942" max="7942" width="15" style="74" customWidth="1"/>
    <col min="7943" max="7944" width="13" style="74" customWidth="1"/>
    <col min="7945" max="7945" width="4.33203125" style="74" customWidth="1"/>
    <col min="7946" max="7946" width="4.88671875" style="74" customWidth="1"/>
    <col min="7947" max="7947" width="9.5546875" style="74" customWidth="1"/>
    <col min="7948" max="7948" width="36" style="74" customWidth="1"/>
    <col min="7949" max="7949" width="11.109375" style="74" customWidth="1"/>
    <col min="7950" max="7950" width="12.44140625" style="74" customWidth="1"/>
    <col min="7951" max="7951" width="13.88671875" style="74" customWidth="1"/>
    <col min="7952" max="7952" width="7.6640625" style="74" customWidth="1"/>
    <col min="7953" max="7953" width="13" style="74" customWidth="1"/>
    <col min="7954" max="7954" width="11.5546875" style="74" customWidth="1"/>
    <col min="7955" max="7955" width="13.33203125" style="74" customWidth="1"/>
    <col min="7956" max="7956" width="19.44140625" style="74" customWidth="1"/>
    <col min="7957" max="7957" width="18.88671875" style="74" customWidth="1"/>
    <col min="7958" max="8194" width="9.109375" style="74" customWidth="1"/>
    <col min="8195" max="8195" width="4.109375" style="74" customWidth="1"/>
    <col min="8196" max="8196" width="13.33203125" style="74" customWidth="1"/>
    <col min="8197" max="8197" width="9.5546875" style="74" customWidth="1"/>
    <col min="8198" max="8198" width="15" style="74" customWidth="1"/>
    <col min="8199" max="8200" width="13" style="74" customWidth="1"/>
    <col min="8201" max="8201" width="4.33203125" style="74" customWidth="1"/>
    <col min="8202" max="8202" width="4.88671875" style="74" customWidth="1"/>
    <col min="8203" max="8203" width="9.5546875" style="74" customWidth="1"/>
    <col min="8204" max="8204" width="36" style="74" customWidth="1"/>
    <col min="8205" max="8205" width="11.109375" style="74" customWidth="1"/>
    <col min="8206" max="8206" width="12.44140625" style="74" customWidth="1"/>
    <col min="8207" max="8207" width="13.88671875" style="74" customWidth="1"/>
    <col min="8208" max="8208" width="7.6640625" style="74" customWidth="1"/>
    <col min="8209" max="8209" width="13" style="74" customWidth="1"/>
    <col min="8210" max="8210" width="11.5546875" style="74" customWidth="1"/>
    <col min="8211" max="8211" width="13.33203125" style="74" customWidth="1"/>
    <col min="8212" max="8212" width="19.44140625" style="74" customWidth="1"/>
    <col min="8213" max="8213" width="18.88671875" style="74" customWidth="1"/>
    <col min="8214" max="8450" width="9.109375" style="74" customWidth="1"/>
    <col min="8451" max="8451" width="4.109375" style="74" customWidth="1"/>
    <col min="8452" max="8452" width="13.33203125" style="74" customWidth="1"/>
    <col min="8453" max="8453" width="9.5546875" style="74" customWidth="1"/>
    <col min="8454" max="8454" width="15" style="74" customWidth="1"/>
    <col min="8455" max="8456" width="13" style="74" customWidth="1"/>
    <col min="8457" max="8457" width="4.33203125" style="74" customWidth="1"/>
    <col min="8458" max="8458" width="4.88671875" style="74" customWidth="1"/>
    <col min="8459" max="8459" width="9.5546875" style="74" customWidth="1"/>
    <col min="8460" max="8460" width="36" style="74" customWidth="1"/>
    <col min="8461" max="8461" width="11.109375" style="74" customWidth="1"/>
    <col min="8462" max="8462" width="12.44140625" style="74" customWidth="1"/>
    <col min="8463" max="8463" width="13.88671875" style="74" customWidth="1"/>
    <col min="8464" max="8464" width="7.6640625" style="74" customWidth="1"/>
    <col min="8465" max="8465" width="13" style="74" customWidth="1"/>
    <col min="8466" max="8466" width="11.5546875" style="74" customWidth="1"/>
    <col min="8467" max="8467" width="13.33203125" style="74" customWidth="1"/>
    <col min="8468" max="8468" width="19.44140625" style="74" customWidth="1"/>
    <col min="8469" max="8469" width="18.88671875" style="74" customWidth="1"/>
    <col min="8470" max="8706" width="9.109375" style="74" customWidth="1"/>
    <col min="8707" max="8707" width="4.109375" style="74" customWidth="1"/>
    <col min="8708" max="8708" width="13.33203125" style="74" customWidth="1"/>
    <col min="8709" max="8709" width="9.5546875" style="74" customWidth="1"/>
    <col min="8710" max="8710" width="15" style="74" customWidth="1"/>
    <col min="8711" max="8712" width="13" style="74" customWidth="1"/>
    <col min="8713" max="8713" width="4.33203125" style="74" customWidth="1"/>
    <col min="8714" max="8714" width="4.88671875" style="74" customWidth="1"/>
    <col min="8715" max="8715" width="9.5546875" style="74" customWidth="1"/>
    <col min="8716" max="8716" width="36" style="74" customWidth="1"/>
    <col min="8717" max="8717" width="11.109375" style="74" customWidth="1"/>
    <col min="8718" max="8718" width="12.44140625" style="74" customWidth="1"/>
    <col min="8719" max="8719" width="13.88671875" style="74" customWidth="1"/>
    <col min="8720" max="8720" width="7.6640625" style="74" customWidth="1"/>
    <col min="8721" max="8721" width="13" style="74" customWidth="1"/>
    <col min="8722" max="8722" width="11.5546875" style="74" customWidth="1"/>
    <col min="8723" max="8723" width="13.33203125" style="74" customWidth="1"/>
    <col min="8724" max="8724" width="19.44140625" style="74" customWidth="1"/>
    <col min="8725" max="8725" width="18.88671875" style="74" customWidth="1"/>
    <col min="8726" max="8962" width="9.109375" style="74" customWidth="1"/>
    <col min="8963" max="8963" width="4.109375" style="74" customWidth="1"/>
    <col min="8964" max="8964" width="13.33203125" style="74" customWidth="1"/>
    <col min="8965" max="8965" width="9.5546875" style="74" customWidth="1"/>
    <col min="8966" max="8966" width="15" style="74" customWidth="1"/>
    <col min="8967" max="8968" width="13" style="74" customWidth="1"/>
    <col min="8969" max="8969" width="4.33203125" style="74" customWidth="1"/>
    <col min="8970" max="8970" width="4.88671875" style="74" customWidth="1"/>
    <col min="8971" max="8971" width="9.5546875" style="74" customWidth="1"/>
    <col min="8972" max="8972" width="36" style="74" customWidth="1"/>
    <col min="8973" max="8973" width="11.109375" style="74" customWidth="1"/>
    <col min="8974" max="8974" width="12.44140625" style="74" customWidth="1"/>
    <col min="8975" max="8975" width="13.88671875" style="74" customWidth="1"/>
    <col min="8976" max="8976" width="7.6640625" style="74" customWidth="1"/>
    <col min="8977" max="8977" width="13" style="74" customWidth="1"/>
    <col min="8978" max="8978" width="11.5546875" style="74" customWidth="1"/>
    <col min="8979" max="8979" width="13.33203125" style="74" customWidth="1"/>
    <col min="8980" max="8980" width="19.44140625" style="74" customWidth="1"/>
    <col min="8981" max="8981" width="18.88671875" style="74" customWidth="1"/>
    <col min="8982" max="9218" width="9.109375" style="74" customWidth="1"/>
    <col min="9219" max="9219" width="4.109375" style="74" customWidth="1"/>
    <col min="9220" max="9220" width="13.33203125" style="74" customWidth="1"/>
    <col min="9221" max="9221" width="9.5546875" style="74" customWidth="1"/>
    <col min="9222" max="9222" width="15" style="74" customWidth="1"/>
    <col min="9223" max="9224" width="13" style="74" customWidth="1"/>
    <col min="9225" max="9225" width="4.33203125" style="74" customWidth="1"/>
    <col min="9226" max="9226" width="4.88671875" style="74" customWidth="1"/>
    <col min="9227" max="9227" width="9.5546875" style="74" customWidth="1"/>
    <col min="9228" max="9228" width="36" style="74" customWidth="1"/>
    <col min="9229" max="9229" width="11.109375" style="74" customWidth="1"/>
    <col min="9230" max="9230" width="12.44140625" style="74" customWidth="1"/>
    <col min="9231" max="9231" width="13.88671875" style="74" customWidth="1"/>
    <col min="9232" max="9232" width="7.6640625" style="74" customWidth="1"/>
    <col min="9233" max="9233" width="13" style="74" customWidth="1"/>
    <col min="9234" max="9234" width="11.5546875" style="74" customWidth="1"/>
    <col min="9235" max="9235" width="13.33203125" style="74" customWidth="1"/>
    <col min="9236" max="9236" width="19.44140625" style="74" customWidth="1"/>
    <col min="9237" max="9237" width="18.88671875" style="74" customWidth="1"/>
    <col min="9238" max="9474" width="9.109375" style="74" customWidth="1"/>
    <col min="9475" max="9475" width="4.109375" style="74" customWidth="1"/>
    <col min="9476" max="9476" width="13.33203125" style="74" customWidth="1"/>
    <col min="9477" max="9477" width="9.5546875" style="74" customWidth="1"/>
    <col min="9478" max="9478" width="15" style="74" customWidth="1"/>
    <col min="9479" max="9480" width="13" style="74" customWidth="1"/>
    <col min="9481" max="9481" width="4.33203125" style="74" customWidth="1"/>
    <col min="9482" max="9482" width="4.88671875" style="74" customWidth="1"/>
    <col min="9483" max="9483" width="9.5546875" style="74" customWidth="1"/>
    <col min="9484" max="9484" width="36" style="74" customWidth="1"/>
    <col min="9485" max="9485" width="11.109375" style="74" customWidth="1"/>
    <col min="9486" max="9486" width="12.44140625" style="74" customWidth="1"/>
    <col min="9487" max="9487" width="13.88671875" style="74" customWidth="1"/>
    <col min="9488" max="9488" width="7.6640625" style="74" customWidth="1"/>
    <col min="9489" max="9489" width="13" style="74" customWidth="1"/>
    <col min="9490" max="9490" width="11.5546875" style="74" customWidth="1"/>
    <col min="9491" max="9491" width="13.33203125" style="74" customWidth="1"/>
    <col min="9492" max="9492" width="19.44140625" style="74" customWidth="1"/>
    <col min="9493" max="9493" width="18.88671875" style="74" customWidth="1"/>
    <col min="9494" max="9730" width="9.109375" style="74" customWidth="1"/>
    <col min="9731" max="9731" width="4.109375" style="74" customWidth="1"/>
    <col min="9732" max="9732" width="13.33203125" style="74" customWidth="1"/>
    <col min="9733" max="9733" width="9.5546875" style="74" customWidth="1"/>
    <col min="9734" max="9734" width="15" style="74" customWidth="1"/>
    <col min="9735" max="9736" width="13" style="74" customWidth="1"/>
    <col min="9737" max="9737" width="4.33203125" style="74" customWidth="1"/>
    <col min="9738" max="9738" width="4.88671875" style="74" customWidth="1"/>
    <col min="9739" max="9739" width="9.5546875" style="74" customWidth="1"/>
    <col min="9740" max="9740" width="36" style="74" customWidth="1"/>
    <col min="9741" max="9741" width="11.109375" style="74" customWidth="1"/>
    <col min="9742" max="9742" width="12.44140625" style="74" customWidth="1"/>
    <col min="9743" max="9743" width="13.88671875" style="74" customWidth="1"/>
    <col min="9744" max="9744" width="7.6640625" style="74" customWidth="1"/>
    <col min="9745" max="9745" width="13" style="74" customWidth="1"/>
    <col min="9746" max="9746" width="11.5546875" style="74" customWidth="1"/>
    <col min="9747" max="9747" width="13.33203125" style="74" customWidth="1"/>
    <col min="9748" max="9748" width="19.44140625" style="74" customWidth="1"/>
    <col min="9749" max="9749" width="18.88671875" style="74" customWidth="1"/>
    <col min="9750" max="9986" width="9.109375" style="74" customWidth="1"/>
    <col min="9987" max="9987" width="4.109375" style="74" customWidth="1"/>
    <col min="9988" max="9988" width="13.33203125" style="74" customWidth="1"/>
    <col min="9989" max="9989" width="9.5546875" style="74" customWidth="1"/>
    <col min="9990" max="9990" width="15" style="74" customWidth="1"/>
    <col min="9991" max="9992" width="13" style="74" customWidth="1"/>
    <col min="9993" max="9993" width="4.33203125" style="74" customWidth="1"/>
    <col min="9994" max="9994" width="4.88671875" style="74" customWidth="1"/>
    <col min="9995" max="9995" width="9.5546875" style="74" customWidth="1"/>
    <col min="9996" max="9996" width="36" style="74" customWidth="1"/>
    <col min="9997" max="9997" width="11.109375" style="74" customWidth="1"/>
    <col min="9998" max="9998" width="12.44140625" style="74" customWidth="1"/>
    <col min="9999" max="9999" width="13.88671875" style="74" customWidth="1"/>
    <col min="10000" max="10000" width="7.6640625" style="74" customWidth="1"/>
    <col min="10001" max="10001" width="13" style="74" customWidth="1"/>
    <col min="10002" max="10002" width="11.5546875" style="74" customWidth="1"/>
    <col min="10003" max="10003" width="13.33203125" style="74" customWidth="1"/>
    <col min="10004" max="10004" width="19.44140625" style="74" customWidth="1"/>
    <col min="10005" max="10005" width="18.88671875" style="74" customWidth="1"/>
    <col min="10006" max="10242" width="9.109375" style="74" customWidth="1"/>
    <col min="10243" max="10243" width="4.109375" style="74" customWidth="1"/>
    <col min="10244" max="10244" width="13.33203125" style="74" customWidth="1"/>
    <col min="10245" max="10245" width="9.5546875" style="74" customWidth="1"/>
    <col min="10246" max="10246" width="15" style="74" customWidth="1"/>
    <col min="10247" max="10248" width="13" style="74" customWidth="1"/>
    <col min="10249" max="10249" width="4.33203125" style="74" customWidth="1"/>
    <col min="10250" max="10250" width="4.88671875" style="74" customWidth="1"/>
    <col min="10251" max="10251" width="9.5546875" style="74" customWidth="1"/>
    <col min="10252" max="10252" width="36" style="74" customWidth="1"/>
    <col min="10253" max="10253" width="11.109375" style="74" customWidth="1"/>
    <col min="10254" max="10254" width="12.44140625" style="74" customWidth="1"/>
    <col min="10255" max="10255" width="13.88671875" style="74" customWidth="1"/>
    <col min="10256" max="10256" width="7.6640625" style="74" customWidth="1"/>
    <col min="10257" max="10257" width="13" style="74" customWidth="1"/>
    <col min="10258" max="10258" width="11.5546875" style="74" customWidth="1"/>
    <col min="10259" max="10259" width="13.33203125" style="74" customWidth="1"/>
    <col min="10260" max="10260" width="19.44140625" style="74" customWidth="1"/>
    <col min="10261" max="10261" width="18.88671875" style="74" customWidth="1"/>
    <col min="10262" max="10498" width="9.109375" style="74" customWidth="1"/>
    <col min="10499" max="10499" width="4.109375" style="74" customWidth="1"/>
    <col min="10500" max="10500" width="13.33203125" style="74" customWidth="1"/>
    <col min="10501" max="10501" width="9.5546875" style="74" customWidth="1"/>
    <col min="10502" max="10502" width="15" style="74" customWidth="1"/>
    <col min="10503" max="10504" width="13" style="74" customWidth="1"/>
    <col min="10505" max="10505" width="4.33203125" style="74" customWidth="1"/>
    <col min="10506" max="10506" width="4.88671875" style="74" customWidth="1"/>
    <col min="10507" max="10507" width="9.5546875" style="74" customWidth="1"/>
    <col min="10508" max="10508" width="36" style="74" customWidth="1"/>
    <col min="10509" max="10509" width="11.109375" style="74" customWidth="1"/>
    <col min="10510" max="10510" width="12.44140625" style="74" customWidth="1"/>
    <col min="10511" max="10511" width="13.88671875" style="74" customWidth="1"/>
    <col min="10512" max="10512" width="7.6640625" style="74" customWidth="1"/>
    <col min="10513" max="10513" width="13" style="74" customWidth="1"/>
    <col min="10514" max="10514" width="11.5546875" style="74" customWidth="1"/>
    <col min="10515" max="10515" width="13.33203125" style="74" customWidth="1"/>
    <col min="10516" max="10516" width="19.44140625" style="74" customWidth="1"/>
    <col min="10517" max="10517" width="18.88671875" style="74" customWidth="1"/>
    <col min="10518" max="10754" width="9.109375" style="74" customWidth="1"/>
    <col min="10755" max="10755" width="4.109375" style="74" customWidth="1"/>
    <col min="10756" max="10756" width="13.33203125" style="74" customWidth="1"/>
    <col min="10757" max="10757" width="9.5546875" style="74" customWidth="1"/>
    <col min="10758" max="10758" width="15" style="74" customWidth="1"/>
    <col min="10759" max="10760" width="13" style="74" customWidth="1"/>
    <col min="10761" max="10761" width="4.33203125" style="74" customWidth="1"/>
    <col min="10762" max="10762" width="4.88671875" style="74" customWidth="1"/>
    <col min="10763" max="10763" width="9.5546875" style="74" customWidth="1"/>
    <col min="10764" max="10764" width="36" style="74" customWidth="1"/>
    <col min="10765" max="10765" width="11.109375" style="74" customWidth="1"/>
    <col min="10766" max="10766" width="12.44140625" style="74" customWidth="1"/>
    <col min="10767" max="10767" width="13.88671875" style="74" customWidth="1"/>
    <col min="10768" max="10768" width="7.6640625" style="74" customWidth="1"/>
    <col min="10769" max="10769" width="13" style="74" customWidth="1"/>
    <col min="10770" max="10770" width="11.5546875" style="74" customWidth="1"/>
    <col min="10771" max="10771" width="13.33203125" style="74" customWidth="1"/>
    <col min="10772" max="10772" width="19.44140625" style="74" customWidth="1"/>
    <col min="10773" max="10773" width="18.88671875" style="74" customWidth="1"/>
    <col min="10774" max="11010" width="9.109375" style="74" customWidth="1"/>
    <col min="11011" max="11011" width="4.109375" style="74" customWidth="1"/>
    <col min="11012" max="11012" width="13.33203125" style="74" customWidth="1"/>
    <col min="11013" max="11013" width="9.5546875" style="74" customWidth="1"/>
    <col min="11014" max="11014" width="15" style="74" customWidth="1"/>
    <col min="11015" max="11016" width="13" style="74" customWidth="1"/>
    <col min="11017" max="11017" width="4.33203125" style="74" customWidth="1"/>
    <col min="11018" max="11018" width="4.88671875" style="74" customWidth="1"/>
    <col min="11019" max="11019" width="9.5546875" style="74" customWidth="1"/>
    <col min="11020" max="11020" width="36" style="74" customWidth="1"/>
    <col min="11021" max="11021" width="11.109375" style="74" customWidth="1"/>
    <col min="11022" max="11022" width="12.44140625" style="74" customWidth="1"/>
    <col min="11023" max="11023" width="13.88671875" style="74" customWidth="1"/>
    <col min="11024" max="11024" width="7.6640625" style="74" customWidth="1"/>
    <col min="11025" max="11025" width="13" style="74" customWidth="1"/>
    <col min="11026" max="11026" width="11.5546875" style="74" customWidth="1"/>
    <col min="11027" max="11027" width="13.33203125" style="74" customWidth="1"/>
    <col min="11028" max="11028" width="19.44140625" style="74" customWidth="1"/>
    <col min="11029" max="11029" width="18.88671875" style="74" customWidth="1"/>
    <col min="11030" max="11266" width="9.109375" style="74" customWidth="1"/>
    <col min="11267" max="11267" width="4.109375" style="74" customWidth="1"/>
    <col min="11268" max="11268" width="13.33203125" style="74" customWidth="1"/>
    <col min="11269" max="11269" width="9.5546875" style="74" customWidth="1"/>
    <col min="11270" max="11270" width="15" style="74" customWidth="1"/>
    <col min="11271" max="11272" width="13" style="74" customWidth="1"/>
    <col min="11273" max="11273" width="4.33203125" style="74" customWidth="1"/>
    <col min="11274" max="11274" width="4.88671875" style="74" customWidth="1"/>
    <col min="11275" max="11275" width="9.5546875" style="74" customWidth="1"/>
    <col min="11276" max="11276" width="36" style="74" customWidth="1"/>
    <col min="11277" max="11277" width="11.109375" style="74" customWidth="1"/>
    <col min="11278" max="11278" width="12.44140625" style="74" customWidth="1"/>
    <col min="11279" max="11279" width="13.88671875" style="74" customWidth="1"/>
    <col min="11280" max="11280" width="7.6640625" style="74" customWidth="1"/>
    <col min="11281" max="11281" width="13" style="74" customWidth="1"/>
    <col min="11282" max="11282" width="11.5546875" style="74" customWidth="1"/>
    <col min="11283" max="11283" width="13.33203125" style="74" customWidth="1"/>
    <col min="11284" max="11284" width="19.44140625" style="74" customWidth="1"/>
    <col min="11285" max="11285" width="18.88671875" style="74" customWidth="1"/>
    <col min="11286" max="11522" width="9.109375" style="74" customWidth="1"/>
    <col min="11523" max="11523" width="4.109375" style="74" customWidth="1"/>
    <col min="11524" max="11524" width="13.33203125" style="74" customWidth="1"/>
    <col min="11525" max="11525" width="9.5546875" style="74" customWidth="1"/>
    <col min="11526" max="11526" width="15" style="74" customWidth="1"/>
    <col min="11527" max="11528" width="13" style="74" customWidth="1"/>
    <col min="11529" max="11529" width="4.33203125" style="74" customWidth="1"/>
    <col min="11530" max="11530" width="4.88671875" style="74" customWidth="1"/>
    <col min="11531" max="11531" width="9.5546875" style="74" customWidth="1"/>
    <col min="11532" max="11532" width="36" style="74" customWidth="1"/>
    <col min="11533" max="11533" width="11.109375" style="74" customWidth="1"/>
    <col min="11534" max="11534" width="12.44140625" style="74" customWidth="1"/>
    <col min="11535" max="11535" width="13.88671875" style="74" customWidth="1"/>
    <col min="11536" max="11536" width="7.6640625" style="74" customWidth="1"/>
    <col min="11537" max="11537" width="13" style="74" customWidth="1"/>
    <col min="11538" max="11538" width="11.5546875" style="74" customWidth="1"/>
    <col min="11539" max="11539" width="13.33203125" style="74" customWidth="1"/>
    <col min="11540" max="11540" width="19.44140625" style="74" customWidth="1"/>
    <col min="11541" max="11541" width="18.88671875" style="74" customWidth="1"/>
    <col min="11542" max="11778" width="9.109375" style="74" customWidth="1"/>
    <col min="11779" max="11779" width="4.109375" style="74" customWidth="1"/>
    <col min="11780" max="11780" width="13.33203125" style="74" customWidth="1"/>
    <col min="11781" max="11781" width="9.5546875" style="74" customWidth="1"/>
    <col min="11782" max="11782" width="15" style="74" customWidth="1"/>
    <col min="11783" max="11784" width="13" style="74" customWidth="1"/>
    <col min="11785" max="11785" width="4.33203125" style="74" customWidth="1"/>
    <col min="11786" max="11786" width="4.88671875" style="74" customWidth="1"/>
    <col min="11787" max="11787" width="9.5546875" style="74" customWidth="1"/>
    <col min="11788" max="11788" width="36" style="74" customWidth="1"/>
    <col min="11789" max="11789" width="11.109375" style="74" customWidth="1"/>
    <col min="11790" max="11790" width="12.44140625" style="74" customWidth="1"/>
    <col min="11791" max="11791" width="13.88671875" style="74" customWidth="1"/>
    <col min="11792" max="11792" width="7.6640625" style="74" customWidth="1"/>
    <col min="11793" max="11793" width="13" style="74" customWidth="1"/>
    <col min="11794" max="11794" width="11.5546875" style="74" customWidth="1"/>
    <col min="11795" max="11795" width="13.33203125" style="74" customWidth="1"/>
    <col min="11796" max="11796" width="19.44140625" style="74" customWidth="1"/>
    <col min="11797" max="11797" width="18.88671875" style="74" customWidth="1"/>
    <col min="11798" max="12034" width="9.109375" style="74" customWidth="1"/>
    <col min="12035" max="12035" width="4.109375" style="74" customWidth="1"/>
    <col min="12036" max="12036" width="13.33203125" style="74" customWidth="1"/>
    <col min="12037" max="12037" width="9.5546875" style="74" customWidth="1"/>
    <col min="12038" max="12038" width="15" style="74" customWidth="1"/>
    <col min="12039" max="12040" width="13" style="74" customWidth="1"/>
    <col min="12041" max="12041" width="4.33203125" style="74" customWidth="1"/>
    <col min="12042" max="12042" width="4.88671875" style="74" customWidth="1"/>
    <col min="12043" max="12043" width="9.5546875" style="74" customWidth="1"/>
    <col min="12044" max="12044" width="36" style="74" customWidth="1"/>
    <col min="12045" max="12045" width="11.109375" style="74" customWidth="1"/>
    <col min="12046" max="12046" width="12.44140625" style="74" customWidth="1"/>
    <col min="12047" max="12047" width="13.88671875" style="74" customWidth="1"/>
    <col min="12048" max="12048" width="7.6640625" style="74" customWidth="1"/>
    <col min="12049" max="12049" width="13" style="74" customWidth="1"/>
    <col min="12050" max="12050" width="11.5546875" style="74" customWidth="1"/>
    <col min="12051" max="12051" width="13.33203125" style="74" customWidth="1"/>
    <col min="12052" max="12052" width="19.44140625" style="74" customWidth="1"/>
    <col min="12053" max="12053" width="18.88671875" style="74" customWidth="1"/>
    <col min="12054" max="12290" width="9.109375" style="74" customWidth="1"/>
    <col min="12291" max="12291" width="4.109375" style="74" customWidth="1"/>
    <col min="12292" max="12292" width="13.33203125" style="74" customWidth="1"/>
    <col min="12293" max="12293" width="9.5546875" style="74" customWidth="1"/>
    <col min="12294" max="12294" width="15" style="74" customWidth="1"/>
    <col min="12295" max="12296" width="13" style="74" customWidth="1"/>
    <col min="12297" max="12297" width="4.33203125" style="74" customWidth="1"/>
    <col min="12298" max="12298" width="4.88671875" style="74" customWidth="1"/>
    <col min="12299" max="12299" width="9.5546875" style="74" customWidth="1"/>
    <col min="12300" max="12300" width="36" style="74" customWidth="1"/>
    <col min="12301" max="12301" width="11.109375" style="74" customWidth="1"/>
    <col min="12302" max="12302" width="12.44140625" style="74" customWidth="1"/>
    <col min="12303" max="12303" width="13.88671875" style="74" customWidth="1"/>
    <col min="12304" max="12304" width="7.6640625" style="74" customWidth="1"/>
    <col min="12305" max="12305" width="13" style="74" customWidth="1"/>
    <col min="12306" max="12306" width="11.5546875" style="74" customWidth="1"/>
    <col min="12307" max="12307" width="13.33203125" style="74" customWidth="1"/>
    <col min="12308" max="12308" width="19.44140625" style="74" customWidth="1"/>
    <col min="12309" max="12309" width="18.88671875" style="74" customWidth="1"/>
    <col min="12310" max="12546" width="9.109375" style="74" customWidth="1"/>
    <col min="12547" max="12547" width="4.109375" style="74" customWidth="1"/>
    <col min="12548" max="12548" width="13.33203125" style="74" customWidth="1"/>
    <col min="12549" max="12549" width="9.5546875" style="74" customWidth="1"/>
    <col min="12550" max="12550" width="15" style="74" customWidth="1"/>
    <col min="12551" max="12552" width="13" style="74" customWidth="1"/>
    <col min="12553" max="12553" width="4.33203125" style="74" customWidth="1"/>
    <col min="12554" max="12554" width="4.88671875" style="74" customWidth="1"/>
    <col min="12555" max="12555" width="9.5546875" style="74" customWidth="1"/>
    <col min="12556" max="12556" width="36" style="74" customWidth="1"/>
    <col min="12557" max="12557" width="11.109375" style="74" customWidth="1"/>
    <col min="12558" max="12558" width="12.44140625" style="74" customWidth="1"/>
    <col min="12559" max="12559" width="13.88671875" style="74" customWidth="1"/>
    <col min="12560" max="12560" width="7.6640625" style="74" customWidth="1"/>
    <col min="12561" max="12561" width="13" style="74" customWidth="1"/>
    <col min="12562" max="12562" width="11.5546875" style="74" customWidth="1"/>
    <col min="12563" max="12563" width="13.33203125" style="74" customWidth="1"/>
    <col min="12564" max="12564" width="19.44140625" style="74" customWidth="1"/>
    <col min="12565" max="12565" width="18.88671875" style="74" customWidth="1"/>
    <col min="12566" max="12802" width="9.109375" style="74" customWidth="1"/>
    <col min="12803" max="12803" width="4.109375" style="74" customWidth="1"/>
    <col min="12804" max="12804" width="13.33203125" style="74" customWidth="1"/>
    <col min="12805" max="12805" width="9.5546875" style="74" customWidth="1"/>
    <col min="12806" max="12806" width="15" style="74" customWidth="1"/>
    <col min="12807" max="12808" width="13" style="74" customWidth="1"/>
    <col min="12809" max="12809" width="4.33203125" style="74" customWidth="1"/>
    <col min="12810" max="12810" width="4.88671875" style="74" customWidth="1"/>
    <col min="12811" max="12811" width="9.5546875" style="74" customWidth="1"/>
    <col min="12812" max="12812" width="36" style="74" customWidth="1"/>
    <col min="12813" max="12813" width="11.109375" style="74" customWidth="1"/>
    <col min="12814" max="12814" width="12.44140625" style="74" customWidth="1"/>
    <col min="12815" max="12815" width="13.88671875" style="74" customWidth="1"/>
    <col min="12816" max="12816" width="7.6640625" style="74" customWidth="1"/>
    <col min="12817" max="12817" width="13" style="74" customWidth="1"/>
    <col min="12818" max="12818" width="11.5546875" style="74" customWidth="1"/>
    <col min="12819" max="12819" width="13.33203125" style="74" customWidth="1"/>
    <col min="12820" max="12820" width="19.44140625" style="74" customWidth="1"/>
    <col min="12821" max="12821" width="18.88671875" style="74" customWidth="1"/>
    <col min="12822" max="13058" width="9.109375" style="74" customWidth="1"/>
    <col min="13059" max="13059" width="4.109375" style="74" customWidth="1"/>
    <col min="13060" max="13060" width="13.33203125" style="74" customWidth="1"/>
    <col min="13061" max="13061" width="9.5546875" style="74" customWidth="1"/>
    <col min="13062" max="13062" width="15" style="74" customWidth="1"/>
    <col min="13063" max="13064" width="13" style="74" customWidth="1"/>
    <col min="13065" max="13065" width="4.33203125" style="74" customWidth="1"/>
    <col min="13066" max="13066" width="4.88671875" style="74" customWidth="1"/>
    <col min="13067" max="13067" width="9.5546875" style="74" customWidth="1"/>
    <col min="13068" max="13068" width="36" style="74" customWidth="1"/>
    <col min="13069" max="13069" width="11.109375" style="74" customWidth="1"/>
    <col min="13070" max="13070" width="12.44140625" style="74" customWidth="1"/>
    <col min="13071" max="13071" width="13.88671875" style="74" customWidth="1"/>
    <col min="13072" max="13072" width="7.6640625" style="74" customWidth="1"/>
    <col min="13073" max="13073" width="13" style="74" customWidth="1"/>
    <col min="13074" max="13074" width="11.5546875" style="74" customWidth="1"/>
    <col min="13075" max="13075" width="13.33203125" style="74" customWidth="1"/>
    <col min="13076" max="13076" width="19.44140625" style="74" customWidth="1"/>
    <col min="13077" max="13077" width="18.88671875" style="74" customWidth="1"/>
    <col min="13078" max="13314" width="9.109375" style="74" customWidth="1"/>
    <col min="13315" max="13315" width="4.109375" style="74" customWidth="1"/>
    <col min="13316" max="13316" width="13.33203125" style="74" customWidth="1"/>
    <col min="13317" max="13317" width="9.5546875" style="74" customWidth="1"/>
    <col min="13318" max="13318" width="15" style="74" customWidth="1"/>
    <col min="13319" max="13320" width="13" style="74" customWidth="1"/>
    <col min="13321" max="13321" width="4.33203125" style="74" customWidth="1"/>
    <col min="13322" max="13322" width="4.88671875" style="74" customWidth="1"/>
    <col min="13323" max="13323" width="9.5546875" style="74" customWidth="1"/>
    <col min="13324" max="13324" width="36" style="74" customWidth="1"/>
    <col min="13325" max="13325" width="11.109375" style="74" customWidth="1"/>
    <col min="13326" max="13326" width="12.44140625" style="74" customWidth="1"/>
    <col min="13327" max="13327" width="13.88671875" style="74" customWidth="1"/>
    <col min="13328" max="13328" width="7.6640625" style="74" customWidth="1"/>
    <col min="13329" max="13329" width="13" style="74" customWidth="1"/>
    <col min="13330" max="13330" width="11.5546875" style="74" customWidth="1"/>
    <col min="13331" max="13331" width="13.33203125" style="74" customWidth="1"/>
    <col min="13332" max="13332" width="19.44140625" style="74" customWidth="1"/>
    <col min="13333" max="13333" width="18.88671875" style="74" customWidth="1"/>
    <col min="13334" max="13570" width="9.109375" style="74" customWidth="1"/>
    <col min="13571" max="13571" width="4.109375" style="74" customWidth="1"/>
    <col min="13572" max="13572" width="13.33203125" style="74" customWidth="1"/>
    <col min="13573" max="13573" width="9.5546875" style="74" customWidth="1"/>
    <col min="13574" max="13574" width="15" style="74" customWidth="1"/>
    <col min="13575" max="13576" width="13" style="74" customWidth="1"/>
    <col min="13577" max="13577" width="4.33203125" style="74" customWidth="1"/>
    <col min="13578" max="13578" width="4.88671875" style="74" customWidth="1"/>
    <col min="13579" max="13579" width="9.5546875" style="74" customWidth="1"/>
    <col min="13580" max="13580" width="36" style="74" customWidth="1"/>
    <col min="13581" max="13581" width="11.109375" style="74" customWidth="1"/>
    <col min="13582" max="13582" width="12.44140625" style="74" customWidth="1"/>
    <col min="13583" max="13583" width="13.88671875" style="74" customWidth="1"/>
    <col min="13584" max="13584" width="7.6640625" style="74" customWidth="1"/>
    <col min="13585" max="13585" width="13" style="74" customWidth="1"/>
    <col min="13586" max="13586" width="11.5546875" style="74" customWidth="1"/>
    <col min="13587" max="13587" width="13.33203125" style="74" customWidth="1"/>
    <col min="13588" max="13588" width="19.44140625" style="74" customWidth="1"/>
    <col min="13589" max="13589" width="18.88671875" style="74" customWidth="1"/>
    <col min="13590" max="13826" width="9.109375" style="74" customWidth="1"/>
    <col min="13827" max="13827" width="4.109375" style="74" customWidth="1"/>
    <col min="13828" max="13828" width="13.33203125" style="74" customWidth="1"/>
    <col min="13829" max="13829" width="9.5546875" style="74" customWidth="1"/>
    <col min="13830" max="13830" width="15" style="74" customWidth="1"/>
    <col min="13831" max="13832" width="13" style="74" customWidth="1"/>
    <col min="13833" max="13833" width="4.33203125" style="74" customWidth="1"/>
    <col min="13834" max="13834" width="4.88671875" style="74" customWidth="1"/>
    <col min="13835" max="13835" width="9.5546875" style="74" customWidth="1"/>
    <col min="13836" max="13836" width="36" style="74" customWidth="1"/>
    <col min="13837" max="13837" width="11.109375" style="74" customWidth="1"/>
    <col min="13838" max="13838" width="12.44140625" style="74" customWidth="1"/>
    <col min="13839" max="13839" width="13.88671875" style="74" customWidth="1"/>
    <col min="13840" max="13840" width="7.6640625" style="74" customWidth="1"/>
    <col min="13841" max="13841" width="13" style="74" customWidth="1"/>
    <col min="13842" max="13842" width="11.5546875" style="74" customWidth="1"/>
    <col min="13843" max="13843" width="13.33203125" style="74" customWidth="1"/>
    <col min="13844" max="13844" width="19.44140625" style="74" customWidth="1"/>
    <col min="13845" max="13845" width="18.88671875" style="74" customWidth="1"/>
    <col min="13846" max="14082" width="9.109375" style="74" customWidth="1"/>
    <col min="14083" max="14083" width="4.109375" style="74" customWidth="1"/>
    <col min="14084" max="14084" width="13.33203125" style="74" customWidth="1"/>
    <col min="14085" max="14085" width="9.5546875" style="74" customWidth="1"/>
    <col min="14086" max="14086" width="15" style="74" customWidth="1"/>
    <col min="14087" max="14088" width="13" style="74" customWidth="1"/>
    <col min="14089" max="14089" width="4.33203125" style="74" customWidth="1"/>
    <col min="14090" max="14090" width="4.88671875" style="74" customWidth="1"/>
    <col min="14091" max="14091" width="9.5546875" style="74" customWidth="1"/>
    <col min="14092" max="14092" width="36" style="74" customWidth="1"/>
    <col min="14093" max="14093" width="11.109375" style="74" customWidth="1"/>
    <col min="14094" max="14094" width="12.44140625" style="74" customWidth="1"/>
    <col min="14095" max="14095" width="13.88671875" style="74" customWidth="1"/>
    <col min="14096" max="14096" width="7.6640625" style="74" customWidth="1"/>
    <col min="14097" max="14097" width="13" style="74" customWidth="1"/>
    <col min="14098" max="14098" width="11.5546875" style="74" customWidth="1"/>
    <col min="14099" max="14099" width="13.33203125" style="74" customWidth="1"/>
    <col min="14100" max="14100" width="19.44140625" style="74" customWidth="1"/>
    <col min="14101" max="14101" width="18.88671875" style="74" customWidth="1"/>
    <col min="14102" max="14338" width="9.109375" style="74" customWidth="1"/>
    <col min="14339" max="14339" width="4.109375" style="74" customWidth="1"/>
    <col min="14340" max="14340" width="13.33203125" style="74" customWidth="1"/>
    <col min="14341" max="14341" width="9.5546875" style="74" customWidth="1"/>
    <col min="14342" max="14342" width="15" style="74" customWidth="1"/>
    <col min="14343" max="14344" width="13" style="74" customWidth="1"/>
    <col min="14345" max="14345" width="4.33203125" style="74" customWidth="1"/>
    <col min="14346" max="14346" width="4.88671875" style="74" customWidth="1"/>
    <col min="14347" max="14347" width="9.5546875" style="74" customWidth="1"/>
    <col min="14348" max="14348" width="36" style="74" customWidth="1"/>
    <col min="14349" max="14349" width="11.109375" style="74" customWidth="1"/>
    <col min="14350" max="14350" width="12.44140625" style="74" customWidth="1"/>
    <col min="14351" max="14351" width="13.88671875" style="74" customWidth="1"/>
    <col min="14352" max="14352" width="7.6640625" style="74" customWidth="1"/>
    <col min="14353" max="14353" width="13" style="74" customWidth="1"/>
    <col min="14354" max="14354" width="11.5546875" style="74" customWidth="1"/>
    <col min="14355" max="14355" width="13.33203125" style="74" customWidth="1"/>
    <col min="14356" max="14356" width="19.44140625" style="74" customWidth="1"/>
    <col min="14357" max="14357" width="18.88671875" style="74" customWidth="1"/>
    <col min="14358" max="14594" width="9.109375" style="74" customWidth="1"/>
    <col min="14595" max="14595" width="4.109375" style="74" customWidth="1"/>
    <col min="14596" max="14596" width="13.33203125" style="74" customWidth="1"/>
    <col min="14597" max="14597" width="9.5546875" style="74" customWidth="1"/>
    <col min="14598" max="14598" width="15" style="74" customWidth="1"/>
    <col min="14599" max="14600" width="13" style="74" customWidth="1"/>
    <col min="14601" max="14601" width="4.33203125" style="74" customWidth="1"/>
    <col min="14602" max="14602" width="4.88671875" style="74" customWidth="1"/>
    <col min="14603" max="14603" width="9.5546875" style="74" customWidth="1"/>
    <col min="14604" max="14604" width="36" style="74" customWidth="1"/>
    <col min="14605" max="14605" width="11.109375" style="74" customWidth="1"/>
    <col min="14606" max="14606" width="12.44140625" style="74" customWidth="1"/>
    <col min="14607" max="14607" width="13.88671875" style="74" customWidth="1"/>
    <col min="14608" max="14608" width="7.6640625" style="74" customWidth="1"/>
    <col min="14609" max="14609" width="13" style="74" customWidth="1"/>
    <col min="14610" max="14610" width="11.5546875" style="74" customWidth="1"/>
    <col min="14611" max="14611" width="13.33203125" style="74" customWidth="1"/>
    <col min="14612" max="14612" width="19.44140625" style="74" customWidth="1"/>
    <col min="14613" max="14613" width="18.88671875" style="74" customWidth="1"/>
    <col min="14614" max="14850" width="9.109375" style="74" customWidth="1"/>
    <col min="14851" max="14851" width="4.109375" style="74" customWidth="1"/>
    <col min="14852" max="14852" width="13.33203125" style="74" customWidth="1"/>
    <col min="14853" max="14853" width="9.5546875" style="74" customWidth="1"/>
    <col min="14854" max="14854" width="15" style="74" customWidth="1"/>
    <col min="14855" max="14856" width="13" style="74" customWidth="1"/>
    <col min="14857" max="14857" width="4.33203125" style="74" customWidth="1"/>
    <col min="14858" max="14858" width="4.88671875" style="74" customWidth="1"/>
    <col min="14859" max="14859" width="9.5546875" style="74" customWidth="1"/>
    <col min="14860" max="14860" width="36" style="74" customWidth="1"/>
    <col min="14861" max="14861" width="11.109375" style="74" customWidth="1"/>
    <col min="14862" max="14862" width="12.44140625" style="74" customWidth="1"/>
    <col min="14863" max="14863" width="13.88671875" style="74" customWidth="1"/>
    <col min="14864" max="14864" width="7.6640625" style="74" customWidth="1"/>
    <col min="14865" max="14865" width="13" style="74" customWidth="1"/>
    <col min="14866" max="14866" width="11.5546875" style="74" customWidth="1"/>
    <col min="14867" max="14867" width="13.33203125" style="74" customWidth="1"/>
    <col min="14868" max="14868" width="19.44140625" style="74" customWidth="1"/>
    <col min="14869" max="14869" width="18.88671875" style="74" customWidth="1"/>
    <col min="14870" max="15106" width="9.109375" style="74" customWidth="1"/>
    <col min="15107" max="15107" width="4.109375" style="74" customWidth="1"/>
    <col min="15108" max="15108" width="13.33203125" style="74" customWidth="1"/>
    <col min="15109" max="15109" width="9.5546875" style="74" customWidth="1"/>
    <col min="15110" max="15110" width="15" style="74" customWidth="1"/>
    <col min="15111" max="15112" width="13" style="74" customWidth="1"/>
    <col min="15113" max="15113" width="4.33203125" style="74" customWidth="1"/>
    <col min="15114" max="15114" width="4.88671875" style="74" customWidth="1"/>
    <col min="15115" max="15115" width="9.5546875" style="74" customWidth="1"/>
    <col min="15116" max="15116" width="36" style="74" customWidth="1"/>
    <col min="15117" max="15117" width="11.109375" style="74" customWidth="1"/>
    <col min="15118" max="15118" width="12.44140625" style="74" customWidth="1"/>
    <col min="15119" max="15119" width="13.88671875" style="74" customWidth="1"/>
    <col min="15120" max="15120" width="7.6640625" style="74" customWidth="1"/>
    <col min="15121" max="15121" width="13" style="74" customWidth="1"/>
    <col min="15122" max="15122" width="11.5546875" style="74" customWidth="1"/>
    <col min="15123" max="15123" width="13.33203125" style="74" customWidth="1"/>
    <col min="15124" max="15124" width="19.44140625" style="74" customWidth="1"/>
    <col min="15125" max="15125" width="18.88671875" style="74" customWidth="1"/>
    <col min="15126" max="15362" width="9.109375" style="74" customWidth="1"/>
    <col min="15363" max="15363" width="4.109375" style="74" customWidth="1"/>
    <col min="15364" max="15364" width="13.33203125" style="74" customWidth="1"/>
    <col min="15365" max="15365" width="9.5546875" style="74" customWidth="1"/>
    <col min="15366" max="15366" width="15" style="74" customWidth="1"/>
    <col min="15367" max="15368" width="13" style="74" customWidth="1"/>
    <col min="15369" max="15369" width="4.33203125" style="74" customWidth="1"/>
    <col min="15370" max="15370" width="4.88671875" style="74" customWidth="1"/>
    <col min="15371" max="15371" width="9.5546875" style="74" customWidth="1"/>
    <col min="15372" max="15372" width="36" style="74" customWidth="1"/>
    <col min="15373" max="15373" width="11.109375" style="74" customWidth="1"/>
    <col min="15374" max="15374" width="12.44140625" style="74" customWidth="1"/>
    <col min="15375" max="15375" width="13.88671875" style="74" customWidth="1"/>
    <col min="15376" max="15376" width="7.6640625" style="74" customWidth="1"/>
    <col min="15377" max="15377" width="13" style="74" customWidth="1"/>
    <col min="15378" max="15378" width="11.5546875" style="74" customWidth="1"/>
    <col min="15379" max="15379" width="13.33203125" style="74" customWidth="1"/>
    <col min="15380" max="15380" width="19.44140625" style="74" customWidth="1"/>
    <col min="15381" max="15381" width="18.88671875" style="74" customWidth="1"/>
    <col min="15382" max="15618" width="9.109375" style="74" customWidth="1"/>
    <col min="15619" max="15619" width="4.109375" style="74" customWidth="1"/>
    <col min="15620" max="15620" width="13.33203125" style="74" customWidth="1"/>
    <col min="15621" max="15621" width="9.5546875" style="74" customWidth="1"/>
    <col min="15622" max="15622" width="15" style="74" customWidth="1"/>
    <col min="15623" max="15624" width="13" style="74" customWidth="1"/>
    <col min="15625" max="15625" width="4.33203125" style="74" customWidth="1"/>
    <col min="15626" max="15626" width="4.88671875" style="74" customWidth="1"/>
    <col min="15627" max="15627" width="9.5546875" style="74" customWidth="1"/>
    <col min="15628" max="15628" width="36" style="74" customWidth="1"/>
    <col min="15629" max="15629" width="11.109375" style="74" customWidth="1"/>
    <col min="15630" max="15630" width="12.44140625" style="74" customWidth="1"/>
    <col min="15631" max="15631" width="13.88671875" style="74" customWidth="1"/>
    <col min="15632" max="15632" width="7.6640625" style="74" customWidth="1"/>
    <col min="15633" max="15633" width="13" style="74" customWidth="1"/>
    <col min="15634" max="15634" width="11.5546875" style="74" customWidth="1"/>
    <col min="15635" max="15635" width="13.33203125" style="74" customWidth="1"/>
    <col min="15636" max="15636" width="19.44140625" style="74" customWidth="1"/>
    <col min="15637" max="15637" width="18.88671875" style="74" customWidth="1"/>
    <col min="15638" max="15874" width="9.109375" style="74" customWidth="1"/>
    <col min="15875" max="15875" width="4.109375" style="74" customWidth="1"/>
    <col min="15876" max="15876" width="13.33203125" style="74" customWidth="1"/>
    <col min="15877" max="15877" width="9.5546875" style="74" customWidth="1"/>
    <col min="15878" max="15878" width="15" style="74" customWidth="1"/>
    <col min="15879" max="15880" width="13" style="74" customWidth="1"/>
    <col min="15881" max="15881" width="4.33203125" style="74" customWidth="1"/>
    <col min="15882" max="15882" width="4.88671875" style="74" customWidth="1"/>
    <col min="15883" max="15883" width="9.5546875" style="74" customWidth="1"/>
    <col min="15884" max="15884" width="36" style="74" customWidth="1"/>
    <col min="15885" max="15885" width="11.109375" style="74" customWidth="1"/>
    <col min="15886" max="15886" width="12.44140625" style="74" customWidth="1"/>
    <col min="15887" max="15887" width="13.88671875" style="74" customWidth="1"/>
    <col min="15888" max="15888" width="7.6640625" style="74" customWidth="1"/>
    <col min="15889" max="15889" width="13" style="74" customWidth="1"/>
    <col min="15890" max="15890" width="11.5546875" style="74" customWidth="1"/>
    <col min="15891" max="15891" width="13.33203125" style="74" customWidth="1"/>
    <col min="15892" max="15892" width="19.44140625" style="74" customWidth="1"/>
    <col min="15893" max="15893" width="18.88671875" style="74" customWidth="1"/>
    <col min="15894" max="16130" width="9.109375" style="74" customWidth="1"/>
    <col min="16131" max="16131" width="4.109375" style="74" customWidth="1"/>
    <col min="16132" max="16132" width="13.33203125" style="74" customWidth="1"/>
    <col min="16133" max="16133" width="9.5546875" style="74" customWidth="1"/>
    <col min="16134" max="16134" width="15" style="74" customWidth="1"/>
    <col min="16135" max="16136" width="13" style="74" customWidth="1"/>
    <col min="16137" max="16137" width="4.33203125" style="74" customWidth="1"/>
    <col min="16138" max="16138" width="4.88671875" style="74" customWidth="1"/>
    <col min="16139" max="16139" width="9.5546875" style="74" customWidth="1"/>
    <col min="16140" max="16140" width="36" style="74" customWidth="1"/>
    <col min="16141" max="16141" width="11.109375" style="74" customWidth="1"/>
    <col min="16142" max="16142" width="12.44140625" style="74" customWidth="1"/>
    <col min="16143" max="16143" width="13.88671875" style="74" customWidth="1"/>
    <col min="16144" max="16144" width="7.6640625" style="74" customWidth="1"/>
    <col min="16145" max="16145" width="13" style="74" customWidth="1"/>
    <col min="16146" max="16146" width="11.5546875" style="74" customWidth="1"/>
    <col min="16147" max="16147" width="13.33203125" style="74" customWidth="1"/>
    <col min="16148" max="16148" width="19.44140625" style="74" customWidth="1"/>
    <col min="16149" max="16149" width="18.88671875" style="74" customWidth="1"/>
    <col min="16150" max="16384" width="9.109375" style="74" customWidth="1"/>
  </cols>
  <sheetData>
    <row r="1" spans="1:22">
      <c r="R1" s="709" t="s">
        <v>0</v>
      </c>
      <c r="S1" s="698"/>
      <c r="T1" s="698"/>
      <c r="U1" s="30"/>
    </row>
    <row r="2" spans="1:22" ht="20.399999999999999" customHeight="1">
      <c r="B2" s="44"/>
      <c r="C2" s="44"/>
      <c r="D2" s="77"/>
      <c r="E2" s="697" t="s">
        <v>1</v>
      </c>
      <c r="F2" s="698"/>
      <c r="G2" s="699"/>
      <c r="H2" s="699"/>
      <c r="I2" s="699"/>
      <c r="J2" s="698"/>
      <c r="K2" s="700"/>
      <c r="L2" s="700"/>
      <c r="M2" s="701"/>
      <c r="N2" s="701"/>
      <c r="O2" s="701"/>
      <c r="P2" s="701"/>
      <c r="Q2" s="701"/>
      <c r="R2" s="701"/>
      <c r="S2" s="698"/>
      <c r="T2" s="698"/>
      <c r="U2" s="30"/>
    </row>
    <row r="3" spans="1:22" ht="20.399999999999999" customHeight="1">
      <c r="B3" s="45"/>
      <c r="C3" s="45"/>
      <c r="D3" s="78"/>
      <c r="E3" s="710" t="s">
        <v>89</v>
      </c>
      <c r="F3" s="698"/>
      <c r="G3" s="699"/>
      <c r="H3" s="699"/>
      <c r="I3" s="699"/>
      <c r="J3" s="698"/>
      <c r="K3" s="700"/>
      <c r="L3" s="700"/>
      <c r="M3" s="701"/>
      <c r="N3" s="701"/>
      <c r="O3" s="701"/>
      <c r="P3" s="701"/>
      <c r="Q3" s="78"/>
      <c r="R3" s="701"/>
      <c r="S3" s="698"/>
      <c r="T3" s="698"/>
      <c r="U3" s="30"/>
    </row>
    <row r="4" spans="1:22" ht="15.6" customHeight="1">
      <c r="A4" s="2"/>
      <c r="B4" s="50"/>
      <c r="C4" s="2"/>
      <c r="D4" s="3"/>
      <c r="E4" s="3"/>
      <c r="F4" s="3"/>
      <c r="G4" s="2"/>
      <c r="H4" s="2"/>
      <c r="I4" s="2"/>
      <c r="J4" s="2"/>
      <c r="K4" s="79"/>
      <c r="L4" s="79"/>
      <c r="M4" s="80"/>
      <c r="N4" s="80"/>
      <c r="O4" s="80"/>
      <c r="P4" s="80"/>
      <c r="Q4" s="80"/>
      <c r="R4" s="701"/>
      <c r="S4" s="698"/>
      <c r="T4" s="698"/>
      <c r="U4" s="30"/>
    </row>
    <row r="5" spans="1:22" s="81" customFormat="1" ht="15.6" customHeight="1">
      <c r="A5" s="4"/>
      <c r="B5" s="50" t="s">
        <v>3</v>
      </c>
      <c r="C5" s="64" t="s">
        <v>4</v>
      </c>
      <c r="G5" s="56"/>
      <c r="H5" s="4"/>
      <c r="I5" s="4"/>
      <c r="J5" s="5"/>
      <c r="K5" s="82"/>
      <c r="L5" s="82"/>
      <c r="M5" s="83"/>
      <c r="N5" s="83"/>
      <c r="O5" s="83"/>
      <c r="P5" s="83"/>
      <c r="Q5" s="83"/>
      <c r="R5" s="76"/>
      <c r="S5" s="76"/>
      <c r="T5" s="76"/>
      <c r="U5" s="76"/>
    </row>
    <row r="6" spans="1:22" s="81" customFormat="1" ht="15.6" customHeight="1">
      <c r="A6" s="4"/>
      <c r="B6" s="50" t="s">
        <v>5</v>
      </c>
      <c r="C6" s="25" t="s">
        <v>6</v>
      </c>
      <c r="G6" s="84"/>
      <c r="H6" s="4"/>
      <c r="I6" s="4"/>
      <c r="J6" s="5"/>
      <c r="K6" s="82"/>
      <c r="L6" s="82"/>
      <c r="M6" s="83"/>
      <c r="N6" s="83"/>
      <c r="O6" s="83"/>
      <c r="P6" s="83"/>
      <c r="Q6" s="83"/>
      <c r="R6" s="76"/>
      <c r="S6" s="76"/>
      <c r="T6" s="76"/>
      <c r="U6" s="76"/>
    </row>
    <row r="7" spans="1:22" s="81" customFormat="1" ht="15.6" customHeight="1">
      <c r="A7" s="4"/>
      <c r="B7" s="50" t="s">
        <v>7</v>
      </c>
      <c r="C7" s="25" t="s">
        <v>8</v>
      </c>
      <c r="G7" s="58"/>
      <c r="H7" s="4"/>
      <c r="I7" s="4"/>
      <c r="J7" s="5"/>
      <c r="K7" s="82"/>
      <c r="L7" s="82"/>
      <c r="M7" s="83"/>
      <c r="N7" s="83"/>
      <c r="O7" s="83"/>
      <c r="P7" s="83"/>
      <c r="Q7" s="83"/>
      <c r="R7" s="83"/>
      <c r="S7" s="5"/>
      <c r="T7" s="7"/>
      <c r="U7" s="7"/>
    </row>
    <row r="8" spans="1:22" ht="15.6" customHeight="1">
      <c r="A8" s="2"/>
      <c r="B8" s="50"/>
      <c r="C8" s="2"/>
      <c r="D8" s="3"/>
      <c r="E8" s="3"/>
      <c r="F8" s="3"/>
      <c r="G8" s="2"/>
      <c r="H8" s="2"/>
      <c r="I8" s="2"/>
      <c r="J8" s="2"/>
      <c r="K8" s="79"/>
      <c r="L8" s="79"/>
      <c r="M8" s="80"/>
      <c r="N8" s="80"/>
      <c r="O8" s="80"/>
      <c r="P8" s="80"/>
      <c r="Q8" s="80"/>
      <c r="R8" s="80"/>
      <c r="S8" s="2"/>
      <c r="T8" s="8"/>
      <c r="U8" s="8"/>
    </row>
    <row r="9" spans="1:22" ht="14.4">
      <c r="A9" s="725" t="s">
        <v>9</v>
      </c>
      <c r="B9" s="725" t="s">
        <v>10</v>
      </c>
      <c r="C9" s="725" t="s">
        <v>11</v>
      </c>
      <c r="D9" s="725" t="s">
        <v>12</v>
      </c>
      <c r="E9" s="725" t="s">
        <v>13</v>
      </c>
      <c r="F9" s="725" t="s">
        <v>14</v>
      </c>
      <c r="G9" s="711" t="s">
        <v>15</v>
      </c>
      <c r="H9" s="704"/>
      <c r="I9" s="704"/>
      <c r="J9" s="705"/>
      <c r="K9" s="708"/>
      <c r="L9" s="704"/>
      <c r="M9" s="704"/>
      <c r="N9" s="704"/>
      <c r="O9" s="704"/>
      <c r="P9" s="704"/>
      <c r="Q9" s="704"/>
      <c r="R9" s="704"/>
      <c r="S9" s="705"/>
      <c r="T9" s="764" t="s">
        <v>16</v>
      </c>
      <c r="U9" s="85"/>
    </row>
    <row r="10" spans="1:22" ht="39.6" customHeight="1">
      <c r="A10" s="714"/>
      <c r="B10" s="714"/>
      <c r="C10" s="714"/>
      <c r="D10" s="714"/>
      <c r="E10" s="714"/>
      <c r="F10" s="714"/>
      <c r="G10" s="181" t="s">
        <v>17</v>
      </c>
      <c r="H10" s="181" t="s">
        <v>18</v>
      </c>
      <c r="I10" s="181" t="s">
        <v>19</v>
      </c>
      <c r="J10" s="181" t="s">
        <v>20</v>
      </c>
      <c r="K10" s="708" t="s">
        <v>21</v>
      </c>
      <c r="L10" s="705"/>
      <c r="M10" s="23" t="s">
        <v>13</v>
      </c>
      <c r="N10" s="23" t="s">
        <v>22</v>
      </c>
      <c r="O10" s="23" t="s">
        <v>23</v>
      </c>
      <c r="P10" s="708" t="s">
        <v>24</v>
      </c>
      <c r="Q10" s="705"/>
      <c r="R10" s="23" t="s">
        <v>25</v>
      </c>
      <c r="S10" s="23" t="s">
        <v>26</v>
      </c>
      <c r="T10" s="714"/>
      <c r="U10" s="85"/>
    </row>
    <row r="11" spans="1:22" ht="41.4" hidden="1" customHeight="1">
      <c r="A11" s="182"/>
      <c r="B11" s="182" t="s">
        <v>27</v>
      </c>
      <c r="C11" s="182" t="s">
        <v>28</v>
      </c>
      <c r="D11" s="182" t="s">
        <v>29</v>
      </c>
      <c r="E11" s="182" t="s">
        <v>30</v>
      </c>
      <c r="F11" s="182" t="s">
        <v>31</v>
      </c>
      <c r="G11" s="182" t="s">
        <v>32</v>
      </c>
      <c r="H11" s="182" t="s">
        <v>33</v>
      </c>
      <c r="I11" s="182" t="s">
        <v>34</v>
      </c>
      <c r="J11" s="182" t="s">
        <v>35</v>
      </c>
      <c r="K11" s="713" t="s">
        <v>36</v>
      </c>
      <c r="L11" s="705"/>
      <c r="M11" s="182" t="s">
        <v>37</v>
      </c>
      <c r="N11" s="182" t="s">
        <v>38</v>
      </c>
      <c r="O11" s="182" t="s">
        <v>39</v>
      </c>
      <c r="P11" s="182" t="s">
        <v>40</v>
      </c>
      <c r="Q11" s="182" t="s">
        <v>40</v>
      </c>
      <c r="R11" s="182" t="s">
        <v>41</v>
      </c>
      <c r="S11" s="182" t="s">
        <v>42</v>
      </c>
      <c r="T11" s="182" t="s">
        <v>43</v>
      </c>
      <c r="U11" s="85"/>
    </row>
    <row r="12" spans="1:22" s="124" customFormat="1" ht="27.6" customHeight="1">
      <c r="A12" s="209">
        <v>1</v>
      </c>
      <c r="B12" s="210"/>
      <c r="C12" s="132"/>
      <c r="D12" s="126"/>
      <c r="E12" s="126"/>
      <c r="F12" s="127" t="s">
        <v>46</v>
      </c>
      <c r="G12" s="128">
        <v>3</v>
      </c>
      <c r="H12" s="128"/>
      <c r="I12" s="128"/>
      <c r="J12" s="129"/>
      <c r="K12" s="211" t="s">
        <v>47</v>
      </c>
      <c r="L12" s="207" t="s">
        <v>48</v>
      </c>
      <c r="M12" s="212"/>
      <c r="N12" s="213"/>
      <c r="O12" s="214">
        <f>600000*1</f>
        <v>600000</v>
      </c>
      <c r="P12" s="215">
        <v>0.08</v>
      </c>
      <c r="Q12" s="216">
        <f>+O12*0.08</f>
        <v>48000</v>
      </c>
      <c r="R12" s="216">
        <f>+O12+Q12</f>
        <v>648000</v>
      </c>
      <c r="S12" s="217">
        <f>+SUM(R12:R12)</f>
        <v>648000</v>
      </c>
      <c r="T12" s="218" t="s">
        <v>49</v>
      </c>
      <c r="U12" s="219" t="s">
        <v>50</v>
      </c>
      <c r="V12" s="74"/>
    </row>
    <row r="13" spans="1:22" ht="15.6" customHeight="1">
      <c r="A13" s="716" t="s">
        <v>26</v>
      </c>
      <c r="B13" s="704"/>
      <c r="C13" s="704"/>
      <c r="D13" s="704"/>
      <c r="E13" s="704"/>
      <c r="F13" s="705"/>
      <c r="G13" s="220">
        <f>+SUM(G12:G12)</f>
        <v>3</v>
      </c>
      <c r="H13" s="220">
        <f>+SUM(H12:H12)</f>
        <v>0</v>
      </c>
      <c r="I13" s="220"/>
      <c r="J13" s="221"/>
      <c r="K13" s="222"/>
      <c r="L13" s="223"/>
      <c r="M13" s="224"/>
      <c r="N13" s="225"/>
      <c r="O13" s="105">
        <f>+SUM(O12:O12)</f>
        <v>600000</v>
      </c>
      <c r="P13" s="222"/>
      <c r="Q13" s="105">
        <f>+SUM(Q12:Q12)</f>
        <v>48000</v>
      </c>
      <c r="R13" s="105">
        <f>+SUM(R12:R12)</f>
        <v>648000</v>
      </c>
      <c r="S13" s="222">
        <f>SUM(S8:S12)</f>
        <v>648000</v>
      </c>
      <c r="T13" s="208"/>
      <c r="U13" s="208"/>
    </row>
    <row r="14" spans="1:22" ht="15.6" customHeight="1">
      <c r="A14" s="15"/>
      <c r="B14" s="51"/>
      <c r="C14" s="52"/>
      <c r="D14" s="16"/>
      <c r="E14" s="16"/>
      <c r="F14" s="16"/>
      <c r="G14" s="15"/>
      <c r="H14" s="15"/>
      <c r="I14" s="15"/>
      <c r="J14" s="15"/>
      <c r="K14" s="92"/>
      <c r="L14" s="92"/>
      <c r="M14" s="93"/>
      <c r="N14" s="93"/>
      <c r="O14" s="93"/>
      <c r="P14" s="93"/>
      <c r="Q14" s="93"/>
      <c r="R14" s="93"/>
      <c r="S14" s="15"/>
      <c r="T14" s="94"/>
      <c r="U14" s="94"/>
    </row>
    <row r="15" spans="1:22" ht="15.6" customHeight="1">
      <c r="A15" s="15"/>
      <c r="B15" s="51"/>
      <c r="C15" s="52"/>
      <c r="D15" s="16"/>
      <c r="E15" s="16"/>
      <c r="F15" s="16"/>
      <c r="G15" s="717"/>
      <c r="H15" s="699"/>
      <c r="I15" s="699"/>
      <c r="J15" s="698"/>
      <c r="K15" s="700"/>
      <c r="L15" s="700"/>
      <c r="M15" s="701"/>
      <c r="N15" s="701"/>
      <c r="O15" s="717"/>
      <c r="P15" s="701"/>
      <c r="Q15" s="701"/>
      <c r="R15" s="701"/>
      <c r="S15" s="698"/>
      <c r="T15" s="698"/>
      <c r="U15" s="29"/>
    </row>
    <row r="16" spans="1:22" ht="16.2" customHeight="1">
      <c r="A16" s="15"/>
      <c r="B16" s="51"/>
      <c r="C16" s="95"/>
      <c r="D16" s="96"/>
      <c r="E16" s="97"/>
      <c r="F16" s="706" t="s">
        <v>52</v>
      </c>
      <c r="G16" s="699"/>
      <c r="H16" s="699"/>
      <c r="I16" s="699"/>
      <c r="J16" s="707"/>
      <c r="K16" s="703">
        <f>+K17+K18</f>
        <v>648000</v>
      </c>
      <c r="L16" s="704"/>
      <c r="M16" s="704"/>
      <c r="N16" s="705"/>
      <c r="O16" s="98"/>
      <c r="P16" s="98"/>
      <c r="Q16" s="98"/>
      <c r="R16" s="99">
        <f>+S13-K16</f>
        <v>0</v>
      </c>
      <c r="S16" s="26"/>
      <c r="T16" s="29"/>
      <c r="U16" s="29"/>
    </row>
    <row r="17" spans="1:21" ht="15.6" customHeight="1">
      <c r="A17" s="15"/>
      <c r="B17" s="51"/>
      <c r="C17" s="48"/>
      <c r="D17" s="100"/>
      <c r="E17" s="100"/>
      <c r="F17" s="712" t="s">
        <v>53</v>
      </c>
      <c r="G17" s="699"/>
      <c r="H17" s="699"/>
      <c r="I17" s="699"/>
      <c r="J17" s="707"/>
      <c r="K17" s="703">
        <f>SUMIF($T:$T,"Phí dịch vụ",$R:$R)</f>
        <v>648000</v>
      </c>
      <c r="L17" s="704"/>
      <c r="M17" s="704"/>
      <c r="N17" s="705"/>
      <c r="O17" s="98"/>
      <c r="P17" s="98"/>
      <c r="Q17" s="98"/>
      <c r="R17" s="98"/>
      <c r="S17" s="29"/>
      <c r="T17" s="29"/>
      <c r="U17" s="29"/>
    </row>
    <row r="18" spans="1:21" ht="15.6" customHeight="1">
      <c r="A18" s="15"/>
      <c r="B18" s="51"/>
      <c r="C18" s="37"/>
      <c r="D18" s="101"/>
      <c r="E18" s="101"/>
      <c r="F18" s="712" t="s">
        <v>54</v>
      </c>
      <c r="G18" s="699"/>
      <c r="H18" s="699"/>
      <c r="I18" s="699"/>
      <c r="J18" s="707"/>
      <c r="K18" s="703">
        <f>SUMIF($T:$T,"Phí chi hộ",$R:$R)</f>
        <v>0</v>
      </c>
      <c r="L18" s="704"/>
      <c r="M18" s="704"/>
      <c r="N18" s="705"/>
      <c r="O18" s="98"/>
      <c r="P18" s="98"/>
      <c r="Q18" s="98"/>
      <c r="R18" s="98"/>
      <c r="S18" s="29"/>
      <c r="T18" s="29"/>
      <c r="U18" s="29"/>
    </row>
    <row r="19" spans="1:21" ht="15.6" customHeight="1">
      <c r="A19" s="15"/>
      <c r="B19" s="17"/>
      <c r="C19" s="54" t="s">
        <v>55</v>
      </c>
      <c r="D19" s="18"/>
      <c r="E19" s="18"/>
      <c r="F19" s="18"/>
      <c r="G19" s="17"/>
      <c r="H19" s="17"/>
      <c r="I19" s="17"/>
      <c r="J19" s="17"/>
      <c r="K19" s="92"/>
      <c r="L19" s="92"/>
      <c r="M19" s="93"/>
      <c r="N19" s="702" t="s">
        <v>56</v>
      </c>
      <c r="O19" s="701"/>
      <c r="P19" s="701"/>
      <c r="Q19" s="701"/>
      <c r="R19" s="701"/>
      <c r="S19" s="698"/>
      <c r="T19" s="698"/>
      <c r="U19" s="28"/>
    </row>
    <row r="20" spans="1:21" ht="15.6" customHeight="1">
      <c r="A20" s="15"/>
      <c r="B20" s="17"/>
      <c r="C20" s="54" t="s">
        <v>57</v>
      </c>
      <c r="D20" s="18"/>
      <c r="E20" s="18"/>
      <c r="F20" s="18"/>
      <c r="G20" s="17"/>
      <c r="H20" s="17"/>
      <c r="I20" s="17"/>
      <c r="J20" s="17"/>
      <c r="K20" s="92"/>
      <c r="L20" s="92"/>
      <c r="M20" s="93"/>
      <c r="N20" s="93"/>
      <c r="O20" s="715" t="s">
        <v>88</v>
      </c>
      <c r="P20" s="701"/>
      <c r="Q20" s="701"/>
      <c r="R20" s="701"/>
      <c r="S20" s="698"/>
      <c r="T20" s="24"/>
      <c r="U20" s="24"/>
    </row>
    <row r="21" spans="1:21">
      <c r="A21" s="15"/>
      <c r="B21" s="17"/>
      <c r="C21" s="54" t="s">
        <v>59</v>
      </c>
      <c r="D21" s="18"/>
      <c r="E21" s="18"/>
      <c r="F21" s="18"/>
      <c r="G21" s="17"/>
      <c r="H21" s="17"/>
      <c r="I21" s="17"/>
      <c r="J21" s="17"/>
      <c r="K21" s="92"/>
      <c r="L21" s="92"/>
      <c r="M21" s="93"/>
      <c r="N21" s="93"/>
      <c r="O21" s="15"/>
      <c r="P21" s="15"/>
      <c r="Q21" s="15"/>
      <c r="R21" s="15"/>
      <c r="S21" s="15"/>
      <c r="T21" s="15"/>
      <c r="U21" s="15"/>
    </row>
    <row r="22" spans="1:21">
      <c r="A22" s="15"/>
      <c r="B22" s="17"/>
      <c r="C22" s="54" t="s">
        <v>60</v>
      </c>
      <c r="D22" s="18"/>
      <c r="E22" s="18"/>
      <c r="F22" s="18"/>
      <c r="G22" s="17"/>
      <c r="H22" s="17"/>
      <c r="I22" s="17"/>
      <c r="J22" s="17"/>
      <c r="K22" s="92"/>
      <c r="L22" s="92"/>
      <c r="M22" s="93"/>
      <c r="N22" s="93"/>
      <c r="O22" s="15"/>
      <c r="P22" s="15"/>
      <c r="Q22" s="15"/>
      <c r="R22" s="15"/>
      <c r="S22" s="15"/>
      <c r="T22" s="15"/>
      <c r="U22" s="15"/>
    </row>
    <row r="23" spans="1:21">
      <c r="A23" s="15"/>
      <c r="B23" s="17"/>
      <c r="C23" s="54" t="s">
        <v>61</v>
      </c>
      <c r="D23" s="18"/>
      <c r="E23" s="18"/>
      <c r="F23" s="18"/>
      <c r="G23" s="17"/>
      <c r="H23" s="17"/>
      <c r="I23" s="17"/>
      <c r="J23" s="17"/>
      <c r="K23" s="92"/>
      <c r="L23" s="92"/>
      <c r="M23" s="93"/>
      <c r="N23" s="93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2"/>
      <c r="L24" s="92"/>
      <c r="M24" s="93"/>
      <c r="N24" s="93"/>
      <c r="O24" s="93"/>
      <c r="P24" s="93"/>
      <c r="Q24" s="93"/>
      <c r="R24" s="93"/>
      <c r="S24" s="15"/>
      <c r="T24" s="94"/>
      <c r="U24" s="94"/>
    </row>
    <row r="25" spans="1:21" ht="15.6" customHeight="1">
      <c r="A25" s="15"/>
      <c r="B25" s="17"/>
      <c r="C25" s="18"/>
      <c r="D25" s="19" t="s">
        <v>62</v>
      </c>
      <c r="E25" s="19"/>
      <c r="F25" s="19"/>
      <c r="G25" s="49"/>
      <c r="H25" s="49"/>
      <c r="I25" s="49"/>
      <c r="J25" s="19"/>
      <c r="K25" s="92"/>
      <c r="L25" s="92"/>
      <c r="M25" s="93"/>
      <c r="N25" s="102"/>
      <c r="O25" s="702" t="s">
        <v>63</v>
      </c>
      <c r="P25" s="701"/>
      <c r="Q25" s="701"/>
      <c r="R25" s="701"/>
      <c r="S25" s="698"/>
      <c r="T25" s="102"/>
      <c r="U25" s="102"/>
    </row>
    <row r="26" spans="1:21" ht="15.6" customHeight="1">
      <c r="A26" s="15"/>
      <c r="B26" s="702" t="s">
        <v>64</v>
      </c>
      <c r="C26" s="699"/>
      <c r="D26" s="698"/>
      <c r="E26" s="698"/>
      <c r="F26" s="698"/>
      <c r="G26" s="699"/>
      <c r="H26" s="699"/>
      <c r="I26" s="28"/>
      <c r="J26" s="28"/>
      <c r="K26" s="92"/>
      <c r="L26" s="92"/>
      <c r="M26" s="93"/>
      <c r="N26" s="93"/>
      <c r="O26" s="15"/>
      <c r="P26" s="15"/>
      <c r="Q26" s="15"/>
      <c r="R26" s="15"/>
      <c r="S26" s="15"/>
      <c r="T26" s="15"/>
      <c r="U26" s="15"/>
    </row>
    <row r="27" spans="1:21" ht="15.6" customHeight="1">
      <c r="A27" s="15"/>
      <c r="B27" s="715" t="s">
        <v>58</v>
      </c>
      <c r="C27" s="699"/>
      <c r="D27" s="698"/>
      <c r="E27" s="698"/>
      <c r="F27" s="698"/>
      <c r="G27" s="699"/>
      <c r="H27" s="699"/>
      <c r="I27" s="27"/>
      <c r="J27" s="27"/>
      <c r="K27" s="92"/>
      <c r="L27" s="92"/>
      <c r="M27" s="93"/>
      <c r="N27" s="93"/>
      <c r="O27" s="93"/>
      <c r="P27" s="93"/>
      <c r="Q27" s="93"/>
      <c r="R27" s="93"/>
      <c r="S27" s="15"/>
      <c r="T27" s="94"/>
      <c r="U27" s="94"/>
    </row>
    <row r="28" spans="1:21" ht="15.6" customHeight="1">
      <c r="A28" s="15"/>
      <c r="B28" s="51"/>
      <c r="C28" s="52"/>
      <c r="D28" s="16"/>
      <c r="E28" s="16"/>
      <c r="F28" s="16"/>
      <c r="G28" s="15"/>
      <c r="H28" s="15"/>
      <c r="I28" s="15"/>
      <c r="J28" s="15"/>
      <c r="K28" s="92"/>
      <c r="L28" s="92"/>
      <c r="M28" s="93"/>
      <c r="N28" s="93"/>
      <c r="O28" s="93"/>
      <c r="P28" s="93"/>
      <c r="Q28" s="93"/>
      <c r="R28" s="93"/>
      <c r="S28" s="15"/>
      <c r="T28" s="94"/>
      <c r="U28" s="94"/>
    </row>
    <row r="29" spans="1:21" ht="15.6" customHeight="1">
      <c r="A29" s="15"/>
      <c r="B29" s="51"/>
      <c r="C29" s="52"/>
      <c r="D29" s="16"/>
      <c r="E29" s="16"/>
      <c r="F29" s="16"/>
      <c r="G29" s="15"/>
      <c r="H29" s="15"/>
      <c r="I29" s="15"/>
      <c r="J29" s="15"/>
      <c r="K29" s="92"/>
      <c r="L29" s="92"/>
      <c r="M29" s="93"/>
      <c r="N29" s="93"/>
      <c r="O29" s="93"/>
      <c r="P29" s="93"/>
      <c r="Q29" s="93"/>
      <c r="R29" s="93"/>
      <c r="S29" s="15"/>
      <c r="T29" s="94"/>
      <c r="U29" s="94"/>
    </row>
    <row r="30" spans="1:21" ht="15.6" customHeight="1">
      <c r="A30" s="2"/>
      <c r="B30" s="50"/>
      <c r="C30" s="2"/>
      <c r="D30" s="3"/>
      <c r="E30" s="3"/>
      <c r="F30" s="3"/>
      <c r="G30" s="2"/>
      <c r="H30" s="2"/>
      <c r="I30" s="2"/>
      <c r="J30" s="2"/>
      <c r="K30" s="79"/>
      <c r="L30" s="79"/>
      <c r="M30" s="80"/>
      <c r="N30" s="80"/>
      <c r="O30" s="80"/>
      <c r="P30" s="80"/>
      <c r="Q30" s="80"/>
      <c r="R30" s="80"/>
      <c r="S30" s="2"/>
      <c r="T30" s="8"/>
      <c r="U30" s="8"/>
    </row>
    <row r="31" spans="1:21" ht="15" customHeight="1">
      <c r="B31" s="103"/>
      <c r="J31" s="73"/>
      <c r="M31" s="104"/>
      <c r="N31" s="104"/>
      <c r="O31" s="104"/>
      <c r="P31" s="104"/>
      <c r="Q31" s="104"/>
      <c r="R31" s="104"/>
      <c r="S31" s="73"/>
    </row>
    <row r="32" spans="1:21" ht="15" customHeight="1">
      <c r="B32" s="103"/>
      <c r="J32" s="73"/>
      <c r="M32" s="104"/>
      <c r="N32" s="104"/>
      <c r="O32" s="104"/>
      <c r="P32" s="104"/>
      <c r="Q32" s="104"/>
      <c r="R32" s="104"/>
      <c r="S32" s="73"/>
    </row>
    <row r="33" spans="2:19" ht="15" customHeight="1">
      <c r="B33" s="103"/>
      <c r="J33" s="73"/>
      <c r="M33" s="104"/>
      <c r="N33" s="104"/>
      <c r="O33" s="104"/>
      <c r="P33" s="104"/>
      <c r="Q33" s="104"/>
      <c r="R33" s="104"/>
      <c r="S33" s="73"/>
    </row>
    <row r="34" spans="2:19" ht="15" customHeight="1">
      <c r="B34" s="103"/>
      <c r="J34" s="73"/>
      <c r="M34" s="104"/>
      <c r="N34" s="104"/>
      <c r="O34" s="104"/>
      <c r="P34" s="104"/>
      <c r="Q34" s="104"/>
      <c r="R34" s="104"/>
      <c r="S34" s="73"/>
    </row>
    <row r="35" spans="2:19" ht="15" customHeight="1">
      <c r="B35" s="103"/>
      <c r="J35" s="73"/>
      <c r="M35" s="104"/>
      <c r="N35" s="104"/>
      <c r="O35" s="104"/>
      <c r="P35" s="104"/>
      <c r="Q35" s="104"/>
      <c r="R35" s="104"/>
      <c r="S35" s="73"/>
    </row>
    <row r="36" spans="2:19" ht="15" customHeight="1">
      <c r="B36" s="103"/>
      <c r="J36" s="73"/>
      <c r="M36" s="104"/>
      <c r="N36" s="104"/>
      <c r="O36" s="104"/>
      <c r="P36" s="104"/>
      <c r="Q36" s="104"/>
      <c r="R36" s="104"/>
      <c r="S36" s="73"/>
    </row>
  </sheetData>
  <mergeCells count="29">
    <mergeCell ref="B9:B10"/>
    <mergeCell ref="D9:D10"/>
    <mergeCell ref="F9:F10"/>
    <mergeCell ref="A13:F13"/>
    <mergeCell ref="B27:H27"/>
    <mergeCell ref="G15:N15"/>
    <mergeCell ref="A9:A10"/>
    <mergeCell ref="K9:S9"/>
    <mergeCell ref="K10:L10"/>
    <mergeCell ref="O20:S20"/>
    <mergeCell ref="B26:H26"/>
    <mergeCell ref="K16:N16"/>
    <mergeCell ref="F18:J18"/>
    <mergeCell ref="F17:J17"/>
    <mergeCell ref="O25:S25"/>
    <mergeCell ref="C9:C10"/>
    <mergeCell ref="E9:E10"/>
    <mergeCell ref="G9:J9"/>
    <mergeCell ref="K11:L11"/>
    <mergeCell ref="E2:Q2"/>
    <mergeCell ref="R1:T4"/>
    <mergeCell ref="E3:P3"/>
    <mergeCell ref="N19:T19"/>
    <mergeCell ref="K17:N17"/>
    <mergeCell ref="F16:J16"/>
    <mergeCell ref="P10:Q10"/>
    <mergeCell ref="K18:N18"/>
    <mergeCell ref="O15:T15"/>
    <mergeCell ref="T9:T10"/>
  </mergeCells>
  <conditionalFormatting sqref="C19:C25">
    <cfRule type="duplicateValues" dxfId="3" priority="1"/>
  </conditionalFormatting>
  <conditionalFormatting sqref="M1:M11 M13:M1048576">
    <cfRule type="duplicateValues" dxfId="2" priority="2"/>
  </conditionalFormatting>
  <conditionalFormatting sqref="M12">
    <cfRule type="duplicateValues" dxfId="1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1"/>
  <sheetViews>
    <sheetView zoomScale="85" zoomScaleNormal="85" workbookViewId="0">
      <selection activeCell="K11" sqref="K11:K12"/>
    </sheetView>
  </sheetViews>
  <sheetFormatPr defaultColWidth="10.33203125" defaultRowHeight="13.2"/>
  <cols>
    <col min="1" max="1" width="7" style="251" customWidth="1"/>
    <col min="2" max="2" width="14.33203125" style="426" customWidth="1"/>
    <col min="3" max="3" width="19.109375" style="306" customWidth="1"/>
    <col min="4" max="4" width="12" style="417" customWidth="1"/>
    <col min="5" max="5" width="17.109375" style="273" customWidth="1"/>
    <col min="6" max="6" width="7.33203125" style="273" customWidth="1"/>
    <col min="7" max="7" width="5.109375" style="231" customWidth="1"/>
    <col min="8" max="9" width="5.109375" style="426" customWidth="1"/>
    <col min="10" max="10" width="13.33203125" style="427" customWidth="1"/>
    <col min="11" max="11" width="19.6640625" style="428" customWidth="1"/>
    <col min="12" max="12" width="15.88671875" style="316" customWidth="1"/>
    <col min="13" max="13" width="11.33203125" style="316" customWidth="1"/>
    <col min="14" max="14" width="12.6640625" style="325" customWidth="1"/>
    <col min="15" max="15" width="10.88671875" style="325" customWidth="1"/>
    <col min="16" max="16" width="19.5546875" style="429" customWidth="1"/>
    <col min="17" max="17" width="16.6640625" style="325" customWidth="1"/>
    <col min="18" max="18" width="11.109375" style="325" customWidth="1"/>
    <col min="19" max="19" width="9.5546875" style="426" customWidth="1"/>
    <col min="20" max="20" width="12.6640625" style="232" customWidth="1"/>
    <col min="21" max="21" width="13.109375" style="232" customWidth="1"/>
    <col min="22" max="22" width="13" style="232" customWidth="1"/>
    <col min="23" max="23" width="11.88671875" style="232" customWidth="1"/>
    <col min="24" max="24" width="15.33203125" style="233" customWidth="1"/>
    <col min="25" max="25" width="11.88671875" style="232" customWidth="1"/>
    <col min="26" max="26" width="16.33203125" style="232" customWidth="1"/>
    <col min="27" max="27" width="19.44140625" style="232" customWidth="1"/>
    <col min="28" max="28" width="15.5546875" style="330" hidden="1" customWidth="1"/>
    <col min="29" max="29" width="38.6640625" style="230" customWidth="1"/>
    <col min="30" max="30" width="18.6640625" style="331" customWidth="1"/>
    <col min="31" max="31" width="16.6640625" style="438" customWidth="1"/>
    <col min="32" max="32" width="18.5546875" style="522" customWidth="1"/>
    <col min="33" max="33" width="37.109375" style="141" customWidth="1"/>
    <col min="34" max="197" width="10.33203125" style="390" customWidth="1"/>
    <col min="198" max="198" width="7" style="390" customWidth="1"/>
    <col min="199" max="199" width="13" style="390" customWidth="1"/>
    <col min="200" max="200" width="14.109375" style="390" customWidth="1"/>
    <col min="201" max="201" width="17.33203125" style="390" customWidth="1"/>
    <col min="202" max="202" width="18.88671875" style="390" customWidth="1"/>
    <col min="203" max="203" width="14.109375" style="390" customWidth="1"/>
    <col min="204" max="204" width="21.5546875" style="390" customWidth="1"/>
    <col min="205" max="206" width="14.109375" style="390" customWidth="1"/>
    <col min="207" max="207" width="15" style="390" customWidth="1"/>
    <col min="208" max="208" width="13.33203125" style="390" customWidth="1"/>
    <col min="209" max="209" width="17" style="390" customWidth="1"/>
    <col min="210" max="210" width="24.88671875" style="390" customWidth="1"/>
    <col min="211" max="211" width="14.44140625" style="390" customWidth="1"/>
    <col min="212" max="212" width="23.109375" style="390" customWidth="1"/>
    <col min="213" max="213" width="13.109375" style="390" customWidth="1"/>
    <col min="214" max="217" width="0" style="390" hidden="1"/>
    <col min="218" max="453" width="10.33203125" style="390" customWidth="1"/>
    <col min="454" max="454" width="7" style="390" customWidth="1"/>
    <col min="455" max="455" width="13" style="390" customWidth="1"/>
    <col min="456" max="456" width="14.109375" style="390" customWidth="1"/>
    <col min="457" max="457" width="17.33203125" style="390" customWidth="1"/>
    <col min="458" max="458" width="18.88671875" style="390" customWidth="1"/>
    <col min="459" max="459" width="14.109375" style="390" customWidth="1"/>
    <col min="460" max="460" width="21.5546875" style="390" customWidth="1"/>
    <col min="461" max="462" width="14.109375" style="390" customWidth="1"/>
    <col min="463" max="463" width="15" style="390" customWidth="1"/>
    <col min="464" max="464" width="13.33203125" style="390" customWidth="1"/>
    <col min="465" max="465" width="17" style="390" customWidth="1"/>
    <col min="466" max="466" width="24.88671875" style="390" customWidth="1"/>
    <col min="467" max="467" width="14.44140625" style="390" customWidth="1"/>
    <col min="468" max="468" width="23.109375" style="390" customWidth="1"/>
    <col min="469" max="469" width="13.109375" style="390" customWidth="1"/>
    <col min="470" max="473" width="0" style="390" hidden="1"/>
    <col min="474" max="709" width="10.33203125" style="390" customWidth="1"/>
    <col min="710" max="710" width="7" style="390" customWidth="1"/>
    <col min="711" max="711" width="13" style="390" customWidth="1"/>
    <col min="712" max="712" width="14.109375" style="390" customWidth="1"/>
    <col min="713" max="713" width="17.33203125" style="390" customWidth="1"/>
    <col min="714" max="714" width="18.88671875" style="390" customWidth="1"/>
    <col min="715" max="715" width="14.109375" style="390" customWidth="1"/>
    <col min="716" max="716" width="21.5546875" style="390" customWidth="1"/>
    <col min="717" max="718" width="14.109375" style="390" customWidth="1"/>
    <col min="719" max="719" width="15" style="390" customWidth="1"/>
    <col min="720" max="720" width="13.33203125" style="390" customWidth="1"/>
    <col min="721" max="721" width="17" style="390" customWidth="1"/>
    <col min="722" max="722" width="24.88671875" style="390" customWidth="1"/>
    <col min="723" max="723" width="14.44140625" style="390" customWidth="1"/>
    <col min="724" max="724" width="23.109375" style="390" customWidth="1"/>
    <col min="725" max="725" width="13.109375" style="390" customWidth="1"/>
    <col min="726" max="729" width="0" style="390" hidden="1"/>
    <col min="730" max="965" width="10.33203125" style="390" customWidth="1"/>
    <col min="966" max="966" width="7" style="390" customWidth="1"/>
    <col min="967" max="967" width="13" style="390" customWidth="1"/>
    <col min="968" max="968" width="14.109375" style="390" customWidth="1"/>
    <col min="969" max="969" width="17.33203125" style="390" customWidth="1"/>
    <col min="970" max="970" width="18.88671875" style="390" customWidth="1"/>
    <col min="971" max="971" width="14.109375" style="390" customWidth="1"/>
    <col min="972" max="972" width="21.5546875" style="390" customWidth="1"/>
    <col min="973" max="974" width="14.109375" style="390" customWidth="1"/>
    <col min="975" max="975" width="15" style="390" customWidth="1"/>
    <col min="976" max="976" width="13.33203125" style="390" customWidth="1"/>
    <col min="977" max="977" width="17" style="390" customWidth="1"/>
    <col min="978" max="978" width="24.88671875" style="390" customWidth="1"/>
    <col min="979" max="979" width="14.44140625" style="390" customWidth="1"/>
    <col min="980" max="980" width="23.109375" style="390" customWidth="1"/>
    <col min="981" max="981" width="13.109375" style="390" customWidth="1"/>
    <col min="982" max="985" width="0" style="390" hidden="1"/>
    <col min="986" max="1221" width="10.33203125" style="390" customWidth="1"/>
    <col min="1222" max="1222" width="7" style="390" customWidth="1"/>
    <col min="1223" max="1223" width="13" style="390" customWidth="1"/>
    <col min="1224" max="1224" width="14.109375" style="390" customWidth="1"/>
    <col min="1225" max="1225" width="17.33203125" style="390" customWidth="1"/>
    <col min="1226" max="1226" width="18.88671875" style="390" customWidth="1"/>
    <col min="1227" max="1227" width="14.109375" style="390" customWidth="1"/>
    <col min="1228" max="1228" width="21.5546875" style="390" customWidth="1"/>
    <col min="1229" max="1230" width="14.109375" style="390" customWidth="1"/>
    <col min="1231" max="1231" width="15" style="390" customWidth="1"/>
    <col min="1232" max="1232" width="13.33203125" style="390" customWidth="1"/>
    <col min="1233" max="1233" width="17" style="390" customWidth="1"/>
    <col min="1234" max="1234" width="24.88671875" style="390" customWidth="1"/>
    <col min="1235" max="1235" width="14.44140625" style="390" customWidth="1"/>
    <col min="1236" max="1236" width="23.109375" style="390" customWidth="1"/>
    <col min="1237" max="1237" width="13.109375" style="390" customWidth="1"/>
    <col min="1238" max="1241" width="0" style="390" hidden="1"/>
    <col min="1242" max="1477" width="10.33203125" style="390" customWidth="1"/>
    <col min="1478" max="1478" width="7" style="390" customWidth="1"/>
    <col min="1479" max="1479" width="13" style="390" customWidth="1"/>
    <col min="1480" max="1480" width="14.109375" style="390" customWidth="1"/>
    <col min="1481" max="1481" width="17.33203125" style="390" customWidth="1"/>
    <col min="1482" max="1482" width="18.88671875" style="390" customWidth="1"/>
    <col min="1483" max="1483" width="14.109375" style="390" customWidth="1"/>
    <col min="1484" max="1484" width="21.5546875" style="390" customWidth="1"/>
    <col min="1485" max="1486" width="14.109375" style="390" customWidth="1"/>
    <col min="1487" max="1487" width="15" style="390" customWidth="1"/>
    <col min="1488" max="1488" width="13.33203125" style="390" customWidth="1"/>
    <col min="1489" max="1489" width="17" style="390" customWidth="1"/>
    <col min="1490" max="1490" width="24.88671875" style="390" customWidth="1"/>
    <col min="1491" max="1491" width="14.44140625" style="390" customWidth="1"/>
    <col min="1492" max="1492" width="23.109375" style="390" customWidth="1"/>
    <col min="1493" max="1493" width="13.109375" style="390" customWidth="1"/>
    <col min="1494" max="1497" width="0" style="390" hidden="1"/>
    <col min="1498" max="1733" width="10.33203125" style="390" customWidth="1"/>
    <col min="1734" max="1734" width="7" style="390" customWidth="1"/>
    <col min="1735" max="1735" width="13" style="390" customWidth="1"/>
    <col min="1736" max="1736" width="14.109375" style="390" customWidth="1"/>
    <col min="1737" max="1737" width="17.33203125" style="390" customWidth="1"/>
    <col min="1738" max="1738" width="18.88671875" style="390" customWidth="1"/>
    <col min="1739" max="1739" width="14.109375" style="390" customWidth="1"/>
    <col min="1740" max="1740" width="21.5546875" style="390" customWidth="1"/>
    <col min="1741" max="1742" width="14.109375" style="390" customWidth="1"/>
    <col min="1743" max="1743" width="15" style="390" customWidth="1"/>
    <col min="1744" max="1744" width="13.33203125" style="390" customWidth="1"/>
    <col min="1745" max="1745" width="17" style="390" customWidth="1"/>
    <col min="1746" max="1746" width="24.88671875" style="390" customWidth="1"/>
    <col min="1747" max="1747" width="14.44140625" style="390" customWidth="1"/>
    <col min="1748" max="1748" width="23.109375" style="390" customWidth="1"/>
    <col min="1749" max="1749" width="13.109375" style="390" customWidth="1"/>
    <col min="1750" max="1753" width="0" style="390" hidden="1"/>
    <col min="1754" max="1989" width="10.33203125" style="390" customWidth="1"/>
    <col min="1990" max="1990" width="7" style="390" customWidth="1"/>
    <col min="1991" max="1991" width="13" style="390" customWidth="1"/>
    <col min="1992" max="1992" width="14.109375" style="390" customWidth="1"/>
    <col min="1993" max="1993" width="17.33203125" style="390" customWidth="1"/>
    <col min="1994" max="1994" width="18.88671875" style="390" customWidth="1"/>
    <col min="1995" max="1995" width="14.109375" style="390" customWidth="1"/>
    <col min="1996" max="1996" width="21.5546875" style="390" customWidth="1"/>
    <col min="1997" max="1998" width="14.109375" style="390" customWidth="1"/>
    <col min="1999" max="1999" width="15" style="390" customWidth="1"/>
    <col min="2000" max="2000" width="13.33203125" style="390" customWidth="1"/>
    <col min="2001" max="2001" width="17" style="390" customWidth="1"/>
    <col min="2002" max="2002" width="24.88671875" style="390" customWidth="1"/>
    <col min="2003" max="2003" width="14.44140625" style="390" customWidth="1"/>
    <col min="2004" max="2004" width="23.109375" style="390" customWidth="1"/>
    <col min="2005" max="2005" width="13.109375" style="390" customWidth="1"/>
    <col min="2006" max="2009" width="0" style="390" hidden="1"/>
    <col min="2010" max="2245" width="10.33203125" style="390" customWidth="1"/>
    <col min="2246" max="2246" width="7" style="390" customWidth="1"/>
    <col min="2247" max="2247" width="13" style="390" customWidth="1"/>
    <col min="2248" max="2248" width="14.109375" style="390" customWidth="1"/>
    <col min="2249" max="2249" width="17.33203125" style="390" customWidth="1"/>
    <col min="2250" max="2250" width="18.88671875" style="390" customWidth="1"/>
    <col min="2251" max="2251" width="14.109375" style="390" customWidth="1"/>
    <col min="2252" max="2252" width="21.5546875" style="390" customWidth="1"/>
    <col min="2253" max="2254" width="14.109375" style="390" customWidth="1"/>
    <col min="2255" max="2255" width="15" style="390" customWidth="1"/>
    <col min="2256" max="2256" width="13.33203125" style="390" customWidth="1"/>
    <col min="2257" max="2257" width="17" style="390" customWidth="1"/>
    <col min="2258" max="2258" width="24.88671875" style="390" customWidth="1"/>
    <col min="2259" max="2259" width="14.44140625" style="390" customWidth="1"/>
    <col min="2260" max="2260" width="23.109375" style="390" customWidth="1"/>
    <col min="2261" max="2261" width="13.109375" style="390" customWidth="1"/>
    <col min="2262" max="2265" width="0" style="390" hidden="1"/>
    <col min="2266" max="2501" width="10.33203125" style="390" customWidth="1"/>
    <col min="2502" max="2502" width="7" style="390" customWidth="1"/>
    <col min="2503" max="2503" width="13" style="390" customWidth="1"/>
    <col min="2504" max="2504" width="14.109375" style="390" customWidth="1"/>
    <col min="2505" max="2505" width="17.33203125" style="390" customWidth="1"/>
    <col min="2506" max="2506" width="18.88671875" style="390" customWidth="1"/>
    <col min="2507" max="2507" width="14.109375" style="390" customWidth="1"/>
    <col min="2508" max="2508" width="21.5546875" style="390" customWidth="1"/>
    <col min="2509" max="2510" width="14.109375" style="390" customWidth="1"/>
    <col min="2511" max="2511" width="15" style="390" customWidth="1"/>
    <col min="2512" max="2512" width="13.33203125" style="390" customWidth="1"/>
    <col min="2513" max="2513" width="17" style="390" customWidth="1"/>
    <col min="2514" max="2514" width="24.88671875" style="390" customWidth="1"/>
    <col min="2515" max="2515" width="14.44140625" style="390" customWidth="1"/>
    <col min="2516" max="2516" width="23.109375" style="390" customWidth="1"/>
    <col min="2517" max="2517" width="13.109375" style="390" customWidth="1"/>
    <col min="2518" max="2521" width="0" style="390" hidden="1"/>
    <col min="2522" max="2757" width="10.33203125" style="390" customWidth="1"/>
    <col min="2758" max="2758" width="7" style="390" customWidth="1"/>
    <col min="2759" max="2759" width="13" style="390" customWidth="1"/>
    <col min="2760" max="2760" width="14.109375" style="390" customWidth="1"/>
    <col min="2761" max="2761" width="17.33203125" style="390" customWidth="1"/>
    <col min="2762" max="2762" width="18.88671875" style="390" customWidth="1"/>
    <col min="2763" max="2763" width="14.109375" style="390" customWidth="1"/>
    <col min="2764" max="2764" width="21.5546875" style="390" customWidth="1"/>
    <col min="2765" max="2766" width="14.109375" style="390" customWidth="1"/>
    <col min="2767" max="2767" width="15" style="390" customWidth="1"/>
    <col min="2768" max="2768" width="13.33203125" style="390" customWidth="1"/>
    <col min="2769" max="2769" width="17" style="390" customWidth="1"/>
    <col min="2770" max="2770" width="24.88671875" style="390" customWidth="1"/>
    <col min="2771" max="2771" width="14.44140625" style="390" customWidth="1"/>
    <col min="2772" max="2772" width="23.109375" style="390" customWidth="1"/>
    <col min="2773" max="2773" width="13.109375" style="390" customWidth="1"/>
    <col min="2774" max="2777" width="0" style="390" hidden="1"/>
    <col min="2778" max="3013" width="10.33203125" style="390" customWidth="1"/>
    <col min="3014" max="3014" width="7" style="390" customWidth="1"/>
    <col min="3015" max="3015" width="13" style="390" customWidth="1"/>
    <col min="3016" max="3016" width="14.109375" style="390" customWidth="1"/>
    <col min="3017" max="3017" width="17.33203125" style="390" customWidth="1"/>
    <col min="3018" max="3018" width="18.88671875" style="390" customWidth="1"/>
    <col min="3019" max="3019" width="14.109375" style="390" customWidth="1"/>
    <col min="3020" max="3020" width="21.5546875" style="390" customWidth="1"/>
    <col min="3021" max="3022" width="14.109375" style="390" customWidth="1"/>
    <col min="3023" max="3023" width="15" style="390" customWidth="1"/>
    <col min="3024" max="3024" width="13.33203125" style="390" customWidth="1"/>
    <col min="3025" max="3025" width="17" style="390" customWidth="1"/>
    <col min="3026" max="3026" width="24.88671875" style="390" customWidth="1"/>
    <col min="3027" max="3027" width="14.44140625" style="390" customWidth="1"/>
    <col min="3028" max="3028" width="23.109375" style="390" customWidth="1"/>
    <col min="3029" max="3029" width="13.109375" style="390" customWidth="1"/>
    <col min="3030" max="3033" width="0" style="390" hidden="1"/>
    <col min="3034" max="3269" width="10.33203125" style="390" customWidth="1"/>
    <col min="3270" max="3270" width="7" style="390" customWidth="1"/>
    <col min="3271" max="3271" width="13" style="390" customWidth="1"/>
    <col min="3272" max="3272" width="14.109375" style="390" customWidth="1"/>
    <col min="3273" max="3273" width="17.33203125" style="390" customWidth="1"/>
    <col min="3274" max="3274" width="18.88671875" style="390" customWidth="1"/>
    <col min="3275" max="3275" width="14.109375" style="390" customWidth="1"/>
    <col min="3276" max="3276" width="21.5546875" style="390" customWidth="1"/>
    <col min="3277" max="3278" width="14.109375" style="390" customWidth="1"/>
    <col min="3279" max="3279" width="15" style="390" customWidth="1"/>
    <col min="3280" max="3280" width="13.33203125" style="390" customWidth="1"/>
    <col min="3281" max="3281" width="17" style="390" customWidth="1"/>
    <col min="3282" max="3282" width="24.88671875" style="390" customWidth="1"/>
    <col min="3283" max="3283" width="14.44140625" style="390" customWidth="1"/>
    <col min="3284" max="3284" width="23.109375" style="390" customWidth="1"/>
    <col min="3285" max="3285" width="13.109375" style="390" customWidth="1"/>
    <col min="3286" max="3289" width="0" style="390" hidden="1"/>
    <col min="3290" max="3525" width="10.33203125" style="390" customWidth="1"/>
    <col min="3526" max="3526" width="7" style="390" customWidth="1"/>
    <col min="3527" max="3527" width="13" style="390" customWidth="1"/>
    <col min="3528" max="3528" width="14.109375" style="390" customWidth="1"/>
    <col min="3529" max="3529" width="17.33203125" style="390" customWidth="1"/>
    <col min="3530" max="3530" width="18.88671875" style="390" customWidth="1"/>
    <col min="3531" max="3531" width="14.109375" style="390" customWidth="1"/>
    <col min="3532" max="3532" width="21.5546875" style="390" customWidth="1"/>
    <col min="3533" max="3534" width="14.109375" style="390" customWidth="1"/>
    <col min="3535" max="3535" width="15" style="390" customWidth="1"/>
    <col min="3536" max="3536" width="13.33203125" style="390" customWidth="1"/>
    <col min="3537" max="3537" width="17" style="390" customWidth="1"/>
    <col min="3538" max="3538" width="24.88671875" style="390" customWidth="1"/>
    <col min="3539" max="3539" width="14.44140625" style="390" customWidth="1"/>
    <col min="3540" max="3540" width="23.109375" style="390" customWidth="1"/>
    <col min="3541" max="3541" width="13.109375" style="390" customWidth="1"/>
    <col min="3542" max="3545" width="0" style="390" hidden="1"/>
    <col min="3546" max="3781" width="10.33203125" style="390" customWidth="1"/>
    <col min="3782" max="3782" width="7" style="390" customWidth="1"/>
    <col min="3783" max="3783" width="13" style="390" customWidth="1"/>
    <col min="3784" max="3784" width="14.109375" style="390" customWidth="1"/>
    <col min="3785" max="3785" width="17.33203125" style="390" customWidth="1"/>
    <col min="3786" max="3786" width="18.88671875" style="390" customWidth="1"/>
    <col min="3787" max="3787" width="14.109375" style="390" customWidth="1"/>
    <col min="3788" max="3788" width="21.5546875" style="390" customWidth="1"/>
    <col min="3789" max="3790" width="14.109375" style="390" customWidth="1"/>
    <col min="3791" max="3791" width="15" style="390" customWidth="1"/>
    <col min="3792" max="3792" width="13.33203125" style="390" customWidth="1"/>
    <col min="3793" max="3793" width="17" style="390" customWidth="1"/>
    <col min="3794" max="3794" width="24.88671875" style="390" customWidth="1"/>
    <col min="3795" max="3795" width="14.44140625" style="390" customWidth="1"/>
    <col min="3796" max="3796" width="23.109375" style="390" customWidth="1"/>
    <col min="3797" max="3797" width="13.109375" style="390" customWidth="1"/>
    <col min="3798" max="3801" width="0" style="390" hidden="1"/>
    <col min="3802" max="4037" width="10.33203125" style="390" customWidth="1"/>
    <col min="4038" max="4038" width="7" style="390" customWidth="1"/>
    <col min="4039" max="4039" width="13" style="390" customWidth="1"/>
    <col min="4040" max="4040" width="14.109375" style="390" customWidth="1"/>
    <col min="4041" max="4041" width="17.33203125" style="390" customWidth="1"/>
    <col min="4042" max="4042" width="18.88671875" style="390" customWidth="1"/>
    <col min="4043" max="4043" width="14.109375" style="390" customWidth="1"/>
    <col min="4044" max="4044" width="21.5546875" style="390" customWidth="1"/>
    <col min="4045" max="4046" width="14.109375" style="390" customWidth="1"/>
    <col min="4047" max="4047" width="15" style="390" customWidth="1"/>
    <col min="4048" max="4048" width="13.33203125" style="390" customWidth="1"/>
    <col min="4049" max="4049" width="17" style="390" customWidth="1"/>
    <col min="4050" max="4050" width="24.88671875" style="390" customWidth="1"/>
    <col min="4051" max="4051" width="14.44140625" style="390" customWidth="1"/>
    <col min="4052" max="4052" width="23.109375" style="390" customWidth="1"/>
    <col min="4053" max="4053" width="13.109375" style="390" customWidth="1"/>
    <col min="4054" max="4057" width="0" style="390" hidden="1"/>
    <col min="4058" max="4293" width="10.33203125" style="390" customWidth="1"/>
    <col min="4294" max="4294" width="7" style="390" customWidth="1"/>
    <col min="4295" max="4295" width="13" style="390" customWidth="1"/>
    <col min="4296" max="4296" width="14.109375" style="390" customWidth="1"/>
    <col min="4297" max="4297" width="17.33203125" style="390" customWidth="1"/>
    <col min="4298" max="4298" width="18.88671875" style="390" customWidth="1"/>
    <col min="4299" max="4299" width="14.109375" style="390" customWidth="1"/>
    <col min="4300" max="4300" width="21.5546875" style="390" customWidth="1"/>
    <col min="4301" max="4302" width="14.109375" style="390" customWidth="1"/>
    <col min="4303" max="4303" width="15" style="390" customWidth="1"/>
    <col min="4304" max="4304" width="13.33203125" style="390" customWidth="1"/>
    <col min="4305" max="4305" width="17" style="390" customWidth="1"/>
    <col min="4306" max="4306" width="24.88671875" style="390" customWidth="1"/>
    <col min="4307" max="4307" width="14.44140625" style="390" customWidth="1"/>
    <col min="4308" max="4308" width="23.109375" style="390" customWidth="1"/>
    <col min="4309" max="4309" width="13.109375" style="390" customWidth="1"/>
    <col min="4310" max="4313" width="0" style="390" hidden="1"/>
    <col min="4314" max="4549" width="10.33203125" style="390" customWidth="1"/>
    <col min="4550" max="4550" width="7" style="390" customWidth="1"/>
    <col min="4551" max="4551" width="13" style="390" customWidth="1"/>
    <col min="4552" max="4552" width="14.109375" style="390" customWidth="1"/>
    <col min="4553" max="4553" width="17.33203125" style="390" customWidth="1"/>
    <col min="4554" max="4554" width="18.88671875" style="390" customWidth="1"/>
    <col min="4555" max="4555" width="14.109375" style="390" customWidth="1"/>
    <col min="4556" max="4556" width="21.5546875" style="390" customWidth="1"/>
    <col min="4557" max="4558" width="14.109375" style="390" customWidth="1"/>
    <col min="4559" max="4559" width="15" style="390" customWidth="1"/>
    <col min="4560" max="4560" width="13.33203125" style="390" customWidth="1"/>
    <col min="4561" max="4561" width="17" style="390" customWidth="1"/>
    <col min="4562" max="4562" width="24.88671875" style="390" customWidth="1"/>
    <col min="4563" max="4563" width="14.44140625" style="390" customWidth="1"/>
    <col min="4564" max="4564" width="23.109375" style="390" customWidth="1"/>
    <col min="4565" max="4565" width="13.109375" style="390" customWidth="1"/>
    <col min="4566" max="4569" width="0" style="390" hidden="1"/>
    <col min="4570" max="4805" width="10.33203125" style="390" customWidth="1"/>
    <col min="4806" max="4806" width="7" style="390" customWidth="1"/>
    <col min="4807" max="4807" width="13" style="390" customWidth="1"/>
    <col min="4808" max="4808" width="14.109375" style="390" customWidth="1"/>
    <col min="4809" max="4809" width="17.33203125" style="390" customWidth="1"/>
    <col min="4810" max="4810" width="18.88671875" style="390" customWidth="1"/>
    <col min="4811" max="4811" width="14.109375" style="390" customWidth="1"/>
    <col min="4812" max="4812" width="21.5546875" style="390" customWidth="1"/>
    <col min="4813" max="4814" width="14.109375" style="390" customWidth="1"/>
    <col min="4815" max="4815" width="15" style="390" customWidth="1"/>
    <col min="4816" max="4816" width="13.33203125" style="390" customWidth="1"/>
    <col min="4817" max="4817" width="17" style="390" customWidth="1"/>
    <col min="4818" max="4818" width="24.88671875" style="390" customWidth="1"/>
    <col min="4819" max="4819" width="14.44140625" style="390" customWidth="1"/>
    <col min="4820" max="4820" width="23.109375" style="390" customWidth="1"/>
    <col min="4821" max="4821" width="13.109375" style="390" customWidth="1"/>
    <col min="4822" max="4825" width="0" style="390" hidden="1"/>
    <col min="4826" max="5061" width="10.33203125" style="390" customWidth="1"/>
    <col min="5062" max="5062" width="7" style="390" customWidth="1"/>
    <col min="5063" max="5063" width="13" style="390" customWidth="1"/>
    <col min="5064" max="5064" width="14.109375" style="390" customWidth="1"/>
    <col min="5065" max="5065" width="17.33203125" style="390" customWidth="1"/>
    <col min="5066" max="5066" width="18.88671875" style="390" customWidth="1"/>
    <col min="5067" max="5067" width="14.109375" style="390" customWidth="1"/>
    <col min="5068" max="5068" width="21.5546875" style="390" customWidth="1"/>
    <col min="5069" max="5070" width="14.109375" style="390" customWidth="1"/>
    <col min="5071" max="5071" width="15" style="390" customWidth="1"/>
    <col min="5072" max="5072" width="13.33203125" style="390" customWidth="1"/>
    <col min="5073" max="5073" width="17" style="390" customWidth="1"/>
    <col min="5074" max="5074" width="24.88671875" style="390" customWidth="1"/>
    <col min="5075" max="5075" width="14.44140625" style="390" customWidth="1"/>
    <col min="5076" max="5076" width="23.109375" style="390" customWidth="1"/>
    <col min="5077" max="5077" width="13.109375" style="390" customWidth="1"/>
    <col min="5078" max="5081" width="0" style="390" hidden="1"/>
    <col min="5082" max="5317" width="10.33203125" style="390" customWidth="1"/>
    <col min="5318" max="5318" width="7" style="390" customWidth="1"/>
    <col min="5319" max="5319" width="13" style="390" customWidth="1"/>
    <col min="5320" max="5320" width="14.109375" style="390" customWidth="1"/>
    <col min="5321" max="5321" width="17.33203125" style="390" customWidth="1"/>
    <col min="5322" max="5322" width="18.88671875" style="390" customWidth="1"/>
    <col min="5323" max="5323" width="14.109375" style="390" customWidth="1"/>
    <col min="5324" max="5324" width="21.5546875" style="390" customWidth="1"/>
    <col min="5325" max="5326" width="14.109375" style="390" customWidth="1"/>
    <col min="5327" max="5327" width="15" style="390" customWidth="1"/>
    <col min="5328" max="5328" width="13.33203125" style="390" customWidth="1"/>
    <col min="5329" max="5329" width="17" style="390" customWidth="1"/>
    <col min="5330" max="5330" width="24.88671875" style="390" customWidth="1"/>
    <col min="5331" max="5331" width="14.44140625" style="390" customWidth="1"/>
    <col min="5332" max="5332" width="23.109375" style="390" customWidth="1"/>
    <col min="5333" max="5333" width="13.109375" style="390" customWidth="1"/>
    <col min="5334" max="5337" width="0" style="390" hidden="1"/>
    <col min="5338" max="5573" width="10.33203125" style="390" customWidth="1"/>
    <col min="5574" max="5574" width="7" style="390" customWidth="1"/>
    <col min="5575" max="5575" width="13" style="390" customWidth="1"/>
    <col min="5576" max="5576" width="14.109375" style="390" customWidth="1"/>
    <col min="5577" max="5577" width="17.33203125" style="390" customWidth="1"/>
    <col min="5578" max="5578" width="18.88671875" style="390" customWidth="1"/>
    <col min="5579" max="5579" width="14.109375" style="390" customWidth="1"/>
    <col min="5580" max="5580" width="21.5546875" style="390" customWidth="1"/>
    <col min="5581" max="5582" width="14.109375" style="390" customWidth="1"/>
    <col min="5583" max="5583" width="15" style="390" customWidth="1"/>
    <col min="5584" max="5584" width="13.33203125" style="390" customWidth="1"/>
    <col min="5585" max="5585" width="17" style="390" customWidth="1"/>
    <col min="5586" max="5586" width="24.88671875" style="390" customWidth="1"/>
    <col min="5587" max="5587" width="14.44140625" style="390" customWidth="1"/>
    <col min="5588" max="5588" width="23.109375" style="390" customWidth="1"/>
    <col min="5589" max="5589" width="13.109375" style="390" customWidth="1"/>
    <col min="5590" max="5593" width="0" style="390" hidden="1"/>
    <col min="5594" max="5829" width="10.33203125" style="390" customWidth="1"/>
    <col min="5830" max="5830" width="7" style="390" customWidth="1"/>
    <col min="5831" max="5831" width="13" style="390" customWidth="1"/>
    <col min="5832" max="5832" width="14.109375" style="390" customWidth="1"/>
    <col min="5833" max="5833" width="17.33203125" style="390" customWidth="1"/>
    <col min="5834" max="5834" width="18.88671875" style="390" customWidth="1"/>
    <col min="5835" max="5835" width="14.109375" style="390" customWidth="1"/>
    <col min="5836" max="5836" width="21.5546875" style="390" customWidth="1"/>
    <col min="5837" max="5838" width="14.109375" style="390" customWidth="1"/>
    <col min="5839" max="5839" width="15" style="390" customWidth="1"/>
    <col min="5840" max="5840" width="13.33203125" style="390" customWidth="1"/>
    <col min="5841" max="5841" width="17" style="390" customWidth="1"/>
    <col min="5842" max="5842" width="24.88671875" style="390" customWidth="1"/>
    <col min="5843" max="5843" width="14.44140625" style="390" customWidth="1"/>
    <col min="5844" max="5844" width="23.109375" style="390" customWidth="1"/>
    <col min="5845" max="5845" width="13.109375" style="390" customWidth="1"/>
    <col min="5846" max="5849" width="0" style="390" hidden="1"/>
    <col min="5850" max="6085" width="10.33203125" style="390" customWidth="1"/>
    <col min="6086" max="6086" width="7" style="390" customWidth="1"/>
    <col min="6087" max="6087" width="13" style="390" customWidth="1"/>
    <col min="6088" max="6088" width="14.109375" style="390" customWidth="1"/>
    <col min="6089" max="6089" width="17.33203125" style="390" customWidth="1"/>
    <col min="6090" max="6090" width="18.88671875" style="390" customWidth="1"/>
    <col min="6091" max="6091" width="14.109375" style="390" customWidth="1"/>
    <col min="6092" max="6092" width="21.5546875" style="390" customWidth="1"/>
    <col min="6093" max="6094" width="14.109375" style="390" customWidth="1"/>
    <col min="6095" max="6095" width="15" style="390" customWidth="1"/>
    <col min="6096" max="6096" width="13.33203125" style="390" customWidth="1"/>
    <col min="6097" max="6097" width="17" style="390" customWidth="1"/>
    <col min="6098" max="6098" width="24.88671875" style="390" customWidth="1"/>
    <col min="6099" max="6099" width="14.44140625" style="390" customWidth="1"/>
    <col min="6100" max="6100" width="23.109375" style="390" customWidth="1"/>
    <col min="6101" max="6101" width="13.109375" style="390" customWidth="1"/>
    <col min="6102" max="6105" width="0" style="390" hidden="1"/>
    <col min="6106" max="6341" width="10.33203125" style="390" customWidth="1"/>
    <col min="6342" max="6342" width="7" style="390" customWidth="1"/>
    <col min="6343" max="6343" width="13" style="390" customWidth="1"/>
    <col min="6344" max="6344" width="14.109375" style="390" customWidth="1"/>
    <col min="6345" max="6345" width="17.33203125" style="390" customWidth="1"/>
    <col min="6346" max="6346" width="18.88671875" style="390" customWidth="1"/>
    <col min="6347" max="6347" width="14.109375" style="390" customWidth="1"/>
    <col min="6348" max="6348" width="21.5546875" style="390" customWidth="1"/>
    <col min="6349" max="6350" width="14.109375" style="390" customWidth="1"/>
    <col min="6351" max="6351" width="15" style="390" customWidth="1"/>
    <col min="6352" max="6352" width="13.33203125" style="390" customWidth="1"/>
    <col min="6353" max="6353" width="17" style="390" customWidth="1"/>
    <col min="6354" max="6354" width="24.88671875" style="390" customWidth="1"/>
    <col min="6355" max="6355" width="14.44140625" style="390" customWidth="1"/>
    <col min="6356" max="6356" width="23.109375" style="390" customWidth="1"/>
    <col min="6357" max="6357" width="13.109375" style="390" customWidth="1"/>
    <col min="6358" max="6361" width="0" style="390" hidden="1"/>
    <col min="6362" max="6597" width="10.33203125" style="390" customWidth="1"/>
    <col min="6598" max="6598" width="7" style="390" customWidth="1"/>
    <col min="6599" max="6599" width="13" style="390" customWidth="1"/>
    <col min="6600" max="6600" width="14.109375" style="390" customWidth="1"/>
    <col min="6601" max="6601" width="17.33203125" style="390" customWidth="1"/>
    <col min="6602" max="6602" width="18.88671875" style="390" customWidth="1"/>
    <col min="6603" max="6603" width="14.109375" style="390" customWidth="1"/>
    <col min="6604" max="6604" width="21.5546875" style="390" customWidth="1"/>
    <col min="6605" max="6606" width="14.109375" style="390" customWidth="1"/>
    <col min="6607" max="6607" width="15" style="390" customWidth="1"/>
    <col min="6608" max="6608" width="13.33203125" style="390" customWidth="1"/>
    <col min="6609" max="6609" width="17" style="390" customWidth="1"/>
    <col min="6610" max="6610" width="24.88671875" style="390" customWidth="1"/>
    <col min="6611" max="6611" width="14.44140625" style="390" customWidth="1"/>
    <col min="6612" max="6612" width="23.109375" style="390" customWidth="1"/>
    <col min="6613" max="6613" width="13.109375" style="390" customWidth="1"/>
    <col min="6614" max="6617" width="0" style="390" hidden="1"/>
    <col min="6618" max="6853" width="10.33203125" style="390" customWidth="1"/>
    <col min="6854" max="6854" width="7" style="390" customWidth="1"/>
    <col min="6855" max="6855" width="13" style="390" customWidth="1"/>
    <col min="6856" max="6856" width="14.109375" style="390" customWidth="1"/>
    <col min="6857" max="6857" width="17.33203125" style="390" customWidth="1"/>
    <col min="6858" max="6858" width="18.88671875" style="390" customWidth="1"/>
    <col min="6859" max="6859" width="14.109375" style="390" customWidth="1"/>
    <col min="6860" max="6860" width="21.5546875" style="390" customWidth="1"/>
    <col min="6861" max="6862" width="14.109375" style="390" customWidth="1"/>
    <col min="6863" max="6863" width="15" style="390" customWidth="1"/>
    <col min="6864" max="6864" width="13.33203125" style="390" customWidth="1"/>
    <col min="6865" max="6865" width="17" style="390" customWidth="1"/>
    <col min="6866" max="6866" width="24.88671875" style="390" customWidth="1"/>
    <col min="6867" max="6867" width="14.44140625" style="390" customWidth="1"/>
    <col min="6868" max="6868" width="23.109375" style="390" customWidth="1"/>
    <col min="6869" max="6869" width="13.109375" style="390" customWidth="1"/>
    <col min="6870" max="6873" width="0" style="390" hidden="1"/>
    <col min="6874" max="7109" width="10.33203125" style="390" customWidth="1"/>
    <col min="7110" max="7110" width="7" style="390" customWidth="1"/>
    <col min="7111" max="7111" width="13" style="390" customWidth="1"/>
    <col min="7112" max="7112" width="14.109375" style="390" customWidth="1"/>
    <col min="7113" max="7113" width="17.33203125" style="390" customWidth="1"/>
    <col min="7114" max="7114" width="18.88671875" style="390" customWidth="1"/>
    <col min="7115" max="7115" width="14.109375" style="390" customWidth="1"/>
    <col min="7116" max="7116" width="21.5546875" style="390" customWidth="1"/>
    <col min="7117" max="7118" width="14.109375" style="390" customWidth="1"/>
    <col min="7119" max="7119" width="15" style="390" customWidth="1"/>
    <col min="7120" max="7120" width="13.33203125" style="390" customWidth="1"/>
    <col min="7121" max="7121" width="17" style="390" customWidth="1"/>
    <col min="7122" max="7122" width="24.88671875" style="390" customWidth="1"/>
    <col min="7123" max="7123" width="14.44140625" style="390" customWidth="1"/>
    <col min="7124" max="7124" width="23.109375" style="390" customWidth="1"/>
    <col min="7125" max="7125" width="13.109375" style="390" customWidth="1"/>
    <col min="7126" max="7129" width="0" style="390" hidden="1"/>
    <col min="7130" max="7365" width="10.33203125" style="390" customWidth="1"/>
    <col min="7366" max="7366" width="7" style="390" customWidth="1"/>
    <col min="7367" max="7367" width="13" style="390" customWidth="1"/>
    <col min="7368" max="7368" width="14.109375" style="390" customWidth="1"/>
    <col min="7369" max="7369" width="17.33203125" style="390" customWidth="1"/>
    <col min="7370" max="7370" width="18.88671875" style="390" customWidth="1"/>
    <col min="7371" max="7371" width="14.109375" style="390" customWidth="1"/>
    <col min="7372" max="7372" width="21.5546875" style="390" customWidth="1"/>
    <col min="7373" max="7374" width="14.109375" style="390" customWidth="1"/>
    <col min="7375" max="7375" width="15" style="390" customWidth="1"/>
    <col min="7376" max="7376" width="13.33203125" style="390" customWidth="1"/>
    <col min="7377" max="7377" width="17" style="390" customWidth="1"/>
    <col min="7378" max="7378" width="24.88671875" style="390" customWidth="1"/>
    <col min="7379" max="7379" width="14.44140625" style="390" customWidth="1"/>
    <col min="7380" max="7380" width="23.109375" style="390" customWidth="1"/>
    <col min="7381" max="7381" width="13.109375" style="390" customWidth="1"/>
    <col min="7382" max="7385" width="0" style="390" hidden="1"/>
    <col min="7386" max="7621" width="10.33203125" style="390" customWidth="1"/>
    <col min="7622" max="7622" width="7" style="390" customWidth="1"/>
    <col min="7623" max="7623" width="13" style="390" customWidth="1"/>
    <col min="7624" max="7624" width="14.109375" style="390" customWidth="1"/>
    <col min="7625" max="7625" width="17.33203125" style="390" customWidth="1"/>
    <col min="7626" max="7626" width="18.88671875" style="390" customWidth="1"/>
    <col min="7627" max="7627" width="14.109375" style="390" customWidth="1"/>
    <col min="7628" max="7628" width="21.5546875" style="390" customWidth="1"/>
    <col min="7629" max="7630" width="14.109375" style="390" customWidth="1"/>
    <col min="7631" max="7631" width="15" style="390" customWidth="1"/>
    <col min="7632" max="7632" width="13.33203125" style="390" customWidth="1"/>
    <col min="7633" max="7633" width="17" style="390" customWidth="1"/>
    <col min="7634" max="7634" width="24.88671875" style="390" customWidth="1"/>
    <col min="7635" max="7635" width="14.44140625" style="390" customWidth="1"/>
    <col min="7636" max="7636" width="23.109375" style="390" customWidth="1"/>
    <col min="7637" max="7637" width="13.109375" style="390" customWidth="1"/>
    <col min="7638" max="7641" width="0" style="390" hidden="1"/>
    <col min="7642" max="7877" width="10.33203125" style="390" customWidth="1"/>
    <col min="7878" max="7878" width="7" style="390" customWidth="1"/>
    <col min="7879" max="7879" width="13" style="390" customWidth="1"/>
    <col min="7880" max="7880" width="14.109375" style="390" customWidth="1"/>
    <col min="7881" max="7881" width="17.33203125" style="390" customWidth="1"/>
    <col min="7882" max="7882" width="18.88671875" style="390" customWidth="1"/>
    <col min="7883" max="7883" width="14.109375" style="390" customWidth="1"/>
    <col min="7884" max="7884" width="21.5546875" style="390" customWidth="1"/>
    <col min="7885" max="7886" width="14.109375" style="390" customWidth="1"/>
    <col min="7887" max="7887" width="15" style="390" customWidth="1"/>
    <col min="7888" max="7888" width="13.33203125" style="390" customWidth="1"/>
    <col min="7889" max="7889" width="17" style="390" customWidth="1"/>
    <col min="7890" max="7890" width="24.88671875" style="390" customWidth="1"/>
    <col min="7891" max="7891" width="14.44140625" style="390" customWidth="1"/>
    <col min="7892" max="7892" width="23.109375" style="390" customWidth="1"/>
    <col min="7893" max="7893" width="13.109375" style="390" customWidth="1"/>
    <col min="7894" max="7897" width="0" style="390" hidden="1"/>
    <col min="7898" max="8133" width="10.33203125" style="390" customWidth="1"/>
    <col min="8134" max="8134" width="7" style="390" customWidth="1"/>
    <col min="8135" max="8135" width="13" style="390" customWidth="1"/>
    <col min="8136" max="8136" width="14.109375" style="390" customWidth="1"/>
    <col min="8137" max="8137" width="17.33203125" style="390" customWidth="1"/>
    <col min="8138" max="8138" width="18.88671875" style="390" customWidth="1"/>
    <col min="8139" max="8139" width="14.109375" style="390" customWidth="1"/>
    <col min="8140" max="8140" width="21.5546875" style="390" customWidth="1"/>
    <col min="8141" max="8142" width="14.109375" style="390" customWidth="1"/>
    <col min="8143" max="8143" width="15" style="390" customWidth="1"/>
    <col min="8144" max="8144" width="13.33203125" style="390" customWidth="1"/>
    <col min="8145" max="8145" width="17" style="390" customWidth="1"/>
    <col min="8146" max="8146" width="24.88671875" style="390" customWidth="1"/>
    <col min="8147" max="8147" width="14.44140625" style="390" customWidth="1"/>
    <col min="8148" max="8148" width="23.109375" style="390" customWidth="1"/>
    <col min="8149" max="8149" width="13.109375" style="390" customWidth="1"/>
    <col min="8150" max="8153" width="0" style="390" hidden="1"/>
    <col min="8154" max="8389" width="10.33203125" style="390" customWidth="1"/>
    <col min="8390" max="8390" width="7" style="390" customWidth="1"/>
    <col min="8391" max="8391" width="13" style="390" customWidth="1"/>
    <col min="8392" max="8392" width="14.109375" style="390" customWidth="1"/>
    <col min="8393" max="8393" width="17.33203125" style="390" customWidth="1"/>
    <col min="8394" max="8394" width="18.88671875" style="390" customWidth="1"/>
    <col min="8395" max="8395" width="14.109375" style="390" customWidth="1"/>
    <col min="8396" max="8396" width="21.5546875" style="390" customWidth="1"/>
    <col min="8397" max="8398" width="14.109375" style="390" customWidth="1"/>
    <col min="8399" max="8399" width="15" style="390" customWidth="1"/>
    <col min="8400" max="8400" width="13.33203125" style="390" customWidth="1"/>
    <col min="8401" max="8401" width="17" style="390" customWidth="1"/>
    <col min="8402" max="8402" width="24.88671875" style="390" customWidth="1"/>
    <col min="8403" max="8403" width="14.44140625" style="390" customWidth="1"/>
    <col min="8404" max="8404" width="23.109375" style="390" customWidth="1"/>
    <col min="8405" max="8405" width="13.109375" style="390" customWidth="1"/>
    <col min="8406" max="8409" width="0" style="390" hidden="1"/>
    <col min="8410" max="8645" width="10.33203125" style="390" customWidth="1"/>
    <col min="8646" max="8646" width="7" style="390" customWidth="1"/>
    <col min="8647" max="8647" width="13" style="390" customWidth="1"/>
    <col min="8648" max="8648" width="14.109375" style="390" customWidth="1"/>
    <col min="8649" max="8649" width="17.33203125" style="390" customWidth="1"/>
    <col min="8650" max="8650" width="18.88671875" style="390" customWidth="1"/>
    <col min="8651" max="8651" width="14.109375" style="390" customWidth="1"/>
    <col min="8652" max="8652" width="21.5546875" style="390" customWidth="1"/>
    <col min="8653" max="8654" width="14.109375" style="390" customWidth="1"/>
    <col min="8655" max="8655" width="15" style="390" customWidth="1"/>
    <col min="8656" max="8656" width="13.33203125" style="390" customWidth="1"/>
    <col min="8657" max="8657" width="17" style="390" customWidth="1"/>
    <col min="8658" max="8658" width="24.88671875" style="390" customWidth="1"/>
    <col min="8659" max="8659" width="14.44140625" style="390" customWidth="1"/>
    <col min="8660" max="8660" width="23.109375" style="390" customWidth="1"/>
    <col min="8661" max="8661" width="13.109375" style="390" customWidth="1"/>
    <col min="8662" max="8665" width="0" style="390" hidden="1"/>
    <col min="8666" max="8901" width="10.33203125" style="390" customWidth="1"/>
    <col min="8902" max="8902" width="7" style="390" customWidth="1"/>
    <col min="8903" max="8903" width="13" style="390" customWidth="1"/>
    <col min="8904" max="8904" width="14.109375" style="390" customWidth="1"/>
    <col min="8905" max="8905" width="17.33203125" style="390" customWidth="1"/>
    <col min="8906" max="8906" width="18.88671875" style="390" customWidth="1"/>
    <col min="8907" max="8907" width="14.109375" style="390" customWidth="1"/>
    <col min="8908" max="8908" width="21.5546875" style="390" customWidth="1"/>
    <col min="8909" max="8910" width="14.109375" style="390" customWidth="1"/>
    <col min="8911" max="8911" width="15" style="390" customWidth="1"/>
    <col min="8912" max="8912" width="13.33203125" style="390" customWidth="1"/>
    <col min="8913" max="8913" width="17" style="390" customWidth="1"/>
    <col min="8914" max="8914" width="24.88671875" style="390" customWidth="1"/>
    <col min="8915" max="8915" width="14.44140625" style="390" customWidth="1"/>
    <col min="8916" max="8916" width="23.109375" style="390" customWidth="1"/>
    <col min="8917" max="8917" width="13.109375" style="390" customWidth="1"/>
    <col min="8918" max="8921" width="0" style="390" hidden="1"/>
    <col min="8922" max="9157" width="10.33203125" style="390" customWidth="1"/>
    <col min="9158" max="9158" width="7" style="390" customWidth="1"/>
    <col min="9159" max="9159" width="13" style="390" customWidth="1"/>
    <col min="9160" max="9160" width="14.109375" style="390" customWidth="1"/>
    <col min="9161" max="9161" width="17.33203125" style="390" customWidth="1"/>
    <col min="9162" max="9162" width="18.88671875" style="390" customWidth="1"/>
    <col min="9163" max="9163" width="14.109375" style="390" customWidth="1"/>
    <col min="9164" max="9164" width="21.5546875" style="390" customWidth="1"/>
    <col min="9165" max="9166" width="14.109375" style="390" customWidth="1"/>
    <col min="9167" max="9167" width="15" style="390" customWidth="1"/>
    <col min="9168" max="9168" width="13.33203125" style="390" customWidth="1"/>
    <col min="9169" max="9169" width="17" style="390" customWidth="1"/>
    <col min="9170" max="9170" width="24.88671875" style="390" customWidth="1"/>
    <col min="9171" max="9171" width="14.44140625" style="390" customWidth="1"/>
    <col min="9172" max="9172" width="23.109375" style="390" customWidth="1"/>
    <col min="9173" max="9173" width="13.109375" style="390" customWidth="1"/>
    <col min="9174" max="9177" width="0" style="390" hidden="1"/>
    <col min="9178" max="9413" width="10.33203125" style="390" customWidth="1"/>
    <col min="9414" max="9414" width="7" style="390" customWidth="1"/>
    <col min="9415" max="9415" width="13" style="390" customWidth="1"/>
    <col min="9416" max="9416" width="14.109375" style="390" customWidth="1"/>
    <col min="9417" max="9417" width="17.33203125" style="390" customWidth="1"/>
    <col min="9418" max="9418" width="18.88671875" style="390" customWidth="1"/>
    <col min="9419" max="9419" width="14.109375" style="390" customWidth="1"/>
    <col min="9420" max="9420" width="21.5546875" style="390" customWidth="1"/>
    <col min="9421" max="9422" width="14.109375" style="390" customWidth="1"/>
    <col min="9423" max="9423" width="15" style="390" customWidth="1"/>
    <col min="9424" max="9424" width="13.33203125" style="390" customWidth="1"/>
    <col min="9425" max="9425" width="17" style="390" customWidth="1"/>
    <col min="9426" max="9426" width="24.88671875" style="390" customWidth="1"/>
    <col min="9427" max="9427" width="14.44140625" style="390" customWidth="1"/>
    <col min="9428" max="9428" width="23.109375" style="390" customWidth="1"/>
    <col min="9429" max="9429" width="13.109375" style="390" customWidth="1"/>
    <col min="9430" max="9433" width="0" style="390" hidden="1"/>
    <col min="9434" max="9669" width="10.33203125" style="390" customWidth="1"/>
    <col min="9670" max="9670" width="7" style="390" customWidth="1"/>
    <col min="9671" max="9671" width="13" style="390" customWidth="1"/>
    <col min="9672" max="9672" width="14.109375" style="390" customWidth="1"/>
    <col min="9673" max="9673" width="17.33203125" style="390" customWidth="1"/>
    <col min="9674" max="9674" width="18.88671875" style="390" customWidth="1"/>
    <col min="9675" max="9675" width="14.109375" style="390" customWidth="1"/>
    <col min="9676" max="9676" width="21.5546875" style="390" customWidth="1"/>
    <col min="9677" max="9678" width="14.109375" style="390" customWidth="1"/>
    <col min="9679" max="9679" width="15" style="390" customWidth="1"/>
    <col min="9680" max="9680" width="13.33203125" style="390" customWidth="1"/>
    <col min="9681" max="9681" width="17" style="390" customWidth="1"/>
    <col min="9682" max="9682" width="24.88671875" style="390" customWidth="1"/>
    <col min="9683" max="9683" width="14.44140625" style="390" customWidth="1"/>
    <col min="9684" max="9684" width="23.109375" style="390" customWidth="1"/>
    <col min="9685" max="9685" width="13.109375" style="390" customWidth="1"/>
    <col min="9686" max="9689" width="0" style="390" hidden="1"/>
    <col min="9690" max="9925" width="10.33203125" style="390" customWidth="1"/>
    <col min="9926" max="9926" width="7" style="390" customWidth="1"/>
    <col min="9927" max="9927" width="13" style="390" customWidth="1"/>
    <col min="9928" max="9928" width="14.109375" style="390" customWidth="1"/>
    <col min="9929" max="9929" width="17.33203125" style="390" customWidth="1"/>
    <col min="9930" max="9930" width="18.88671875" style="390" customWidth="1"/>
    <col min="9931" max="9931" width="14.109375" style="390" customWidth="1"/>
    <col min="9932" max="9932" width="21.5546875" style="390" customWidth="1"/>
    <col min="9933" max="9934" width="14.109375" style="390" customWidth="1"/>
    <col min="9935" max="9935" width="15" style="390" customWidth="1"/>
    <col min="9936" max="9936" width="13.33203125" style="390" customWidth="1"/>
    <col min="9937" max="9937" width="17" style="390" customWidth="1"/>
    <col min="9938" max="9938" width="24.88671875" style="390" customWidth="1"/>
    <col min="9939" max="9939" width="14.44140625" style="390" customWidth="1"/>
    <col min="9940" max="9940" width="23.109375" style="390" customWidth="1"/>
    <col min="9941" max="9941" width="13.109375" style="390" customWidth="1"/>
    <col min="9942" max="9945" width="0" style="390" hidden="1"/>
    <col min="9946" max="10181" width="10.33203125" style="390" customWidth="1"/>
    <col min="10182" max="10182" width="7" style="390" customWidth="1"/>
    <col min="10183" max="10183" width="13" style="390" customWidth="1"/>
    <col min="10184" max="10184" width="14.109375" style="390" customWidth="1"/>
    <col min="10185" max="10185" width="17.33203125" style="390" customWidth="1"/>
    <col min="10186" max="10186" width="18.88671875" style="390" customWidth="1"/>
    <col min="10187" max="10187" width="14.109375" style="390" customWidth="1"/>
    <col min="10188" max="10188" width="21.5546875" style="390" customWidth="1"/>
    <col min="10189" max="10190" width="14.109375" style="390" customWidth="1"/>
    <col min="10191" max="10191" width="15" style="390" customWidth="1"/>
    <col min="10192" max="10192" width="13.33203125" style="390" customWidth="1"/>
    <col min="10193" max="10193" width="17" style="390" customWidth="1"/>
    <col min="10194" max="10194" width="24.88671875" style="390" customWidth="1"/>
    <col min="10195" max="10195" width="14.44140625" style="390" customWidth="1"/>
    <col min="10196" max="10196" width="23.109375" style="390" customWidth="1"/>
    <col min="10197" max="10197" width="13.109375" style="390" customWidth="1"/>
    <col min="10198" max="10201" width="0" style="390" hidden="1"/>
    <col min="10202" max="10437" width="10.33203125" style="390" customWidth="1"/>
    <col min="10438" max="10438" width="7" style="390" customWidth="1"/>
    <col min="10439" max="10439" width="13" style="390" customWidth="1"/>
    <col min="10440" max="10440" width="14.109375" style="390" customWidth="1"/>
    <col min="10441" max="10441" width="17.33203125" style="390" customWidth="1"/>
    <col min="10442" max="10442" width="18.88671875" style="390" customWidth="1"/>
    <col min="10443" max="10443" width="14.109375" style="390" customWidth="1"/>
    <col min="10444" max="10444" width="21.5546875" style="390" customWidth="1"/>
    <col min="10445" max="10446" width="14.109375" style="390" customWidth="1"/>
    <col min="10447" max="10447" width="15" style="390" customWidth="1"/>
    <col min="10448" max="10448" width="13.33203125" style="390" customWidth="1"/>
    <col min="10449" max="10449" width="17" style="390" customWidth="1"/>
    <col min="10450" max="10450" width="24.88671875" style="390" customWidth="1"/>
    <col min="10451" max="10451" width="14.44140625" style="390" customWidth="1"/>
    <col min="10452" max="10452" width="23.109375" style="390" customWidth="1"/>
    <col min="10453" max="10453" width="13.109375" style="390" customWidth="1"/>
    <col min="10454" max="10457" width="0" style="390" hidden="1"/>
    <col min="10458" max="10693" width="10.33203125" style="390" customWidth="1"/>
    <col min="10694" max="10694" width="7" style="390" customWidth="1"/>
    <col min="10695" max="10695" width="13" style="390" customWidth="1"/>
    <col min="10696" max="10696" width="14.109375" style="390" customWidth="1"/>
    <col min="10697" max="10697" width="17.33203125" style="390" customWidth="1"/>
    <col min="10698" max="10698" width="18.88671875" style="390" customWidth="1"/>
    <col min="10699" max="10699" width="14.109375" style="390" customWidth="1"/>
    <col min="10700" max="10700" width="21.5546875" style="390" customWidth="1"/>
    <col min="10701" max="10702" width="14.109375" style="390" customWidth="1"/>
    <col min="10703" max="10703" width="15" style="390" customWidth="1"/>
    <col min="10704" max="10704" width="13.33203125" style="390" customWidth="1"/>
    <col min="10705" max="10705" width="17" style="390" customWidth="1"/>
    <col min="10706" max="10706" width="24.88671875" style="390" customWidth="1"/>
    <col min="10707" max="10707" width="14.44140625" style="390" customWidth="1"/>
    <col min="10708" max="10708" width="23.109375" style="390" customWidth="1"/>
    <col min="10709" max="10709" width="13.109375" style="390" customWidth="1"/>
    <col min="10710" max="10713" width="0" style="390" hidden="1"/>
    <col min="10714" max="10949" width="10.33203125" style="390" customWidth="1"/>
    <col min="10950" max="10950" width="7" style="390" customWidth="1"/>
    <col min="10951" max="10951" width="13" style="390" customWidth="1"/>
    <col min="10952" max="10952" width="14.109375" style="390" customWidth="1"/>
    <col min="10953" max="10953" width="17.33203125" style="390" customWidth="1"/>
    <col min="10954" max="10954" width="18.88671875" style="390" customWidth="1"/>
    <col min="10955" max="10955" width="14.109375" style="390" customWidth="1"/>
    <col min="10956" max="10956" width="21.5546875" style="390" customWidth="1"/>
    <col min="10957" max="10958" width="14.109375" style="390" customWidth="1"/>
    <col min="10959" max="10959" width="15" style="390" customWidth="1"/>
    <col min="10960" max="10960" width="13.33203125" style="390" customWidth="1"/>
    <col min="10961" max="10961" width="17" style="390" customWidth="1"/>
    <col min="10962" max="10962" width="24.88671875" style="390" customWidth="1"/>
    <col min="10963" max="10963" width="14.44140625" style="390" customWidth="1"/>
    <col min="10964" max="10964" width="23.109375" style="390" customWidth="1"/>
    <col min="10965" max="10965" width="13.109375" style="390" customWidth="1"/>
    <col min="10966" max="10969" width="0" style="390" hidden="1"/>
    <col min="10970" max="11205" width="10.33203125" style="390" customWidth="1"/>
    <col min="11206" max="11206" width="7" style="390" customWidth="1"/>
    <col min="11207" max="11207" width="13" style="390" customWidth="1"/>
    <col min="11208" max="11208" width="14.109375" style="390" customWidth="1"/>
    <col min="11209" max="11209" width="17.33203125" style="390" customWidth="1"/>
    <col min="11210" max="11210" width="18.88671875" style="390" customWidth="1"/>
    <col min="11211" max="11211" width="14.109375" style="390" customWidth="1"/>
    <col min="11212" max="11212" width="21.5546875" style="390" customWidth="1"/>
    <col min="11213" max="11214" width="14.109375" style="390" customWidth="1"/>
    <col min="11215" max="11215" width="15" style="390" customWidth="1"/>
    <col min="11216" max="11216" width="13.33203125" style="390" customWidth="1"/>
    <col min="11217" max="11217" width="17" style="390" customWidth="1"/>
    <col min="11218" max="11218" width="24.88671875" style="390" customWidth="1"/>
    <col min="11219" max="11219" width="14.44140625" style="390" customWidth="1"/>
    <col min="11220" max="11220" width="23.109375" style="390" customWidth="1"/>
    <col min="11221" max="11221" width="13.109375" style="390" customWidth="1"/>
    <col min="11222" max="11225" width="0" style="390" hidden="1"/>
    <col min="11226" max="11461" width="10.33203125" style="390" customWidth="1"/>
    <col min="11462" max="11462" width="7" style="390" customWidth="1"/>
    <col min="11463" max="11463" width="13" style="390" customWidth="1"/>
    <col min="11464" max="11464" width="14.109375" style="390" customWidth="1"/>
    <col min="11465" max="11465" width="17.33203125" style="390" customWidth="1"/>
    <col min="11466" max="11466" width="18.88671875" style="390" customWidth="1"/>
    <col min="11467" max="11467" width="14.109375" style="390" customWidth="1"/>
    <col min="11468" max="11468" width="21.5546875" style="390" customWidth="1"/>
    <col min="11469" max="11470" width="14.109375" style="390" customWidth="1"/>
    <col min="11471" max="11471" width="15" style="390" customWidth="1"/>
    <col min="11472" max="11472" width="13.33203125" style="390" customWidth="1"/>
    <col min="11473" max="11473" width="17" style="390" customWidth="1"/>
    <col min="11474" max="11474" width="24.88671875" style="390" customWidth="1"/>
    <col min="11475" max="11475" width="14.44140625" style="390" customWidth="1"/>
    <col min="11476" max="11476" width="23.109375" style="390" customWidth="1"/>
    <col min="11477" max="11477" width="13.109375" style="390" customWidth="1"/>
    <col min="11478" max="11481" width="0" style="390" hidden="1"/>
    <col min="11482" max="11717" width="10.33203125" style="390" customWidth="1"/>
    <col min="11718" max="11718" width="7" style="390" customWidth="1"/>
    <col min="11719" max="11719" width="13" style="390" customWidth="1"/>
    <col min="11720" max="11720" width="14.109375" style="390" customWidth="1"/>
    <col min="11721" max="11721" width="17.33203125" style="390" customWidth="1"/>
    <col min="11722" max="11722" width="18.88671875" style="390" customWidth="1"/>
    <col min="11723" max="11723" width="14.109375" style="390" customWidth="1"/>
    <col min="11724" max="11724" width="21.5546875" style="390" customWidth="1"/>
    <col min="11725" max="11726" width="14.109375" style="390" customWidth="1"/>
    <col min="11727" max="11727" width="15" style="390" customWidth="1"/>
    <col min="11728" max="11728" width="13.33203125" style="390" customWidth="1"/>
    <col min="11729" max="11729" width="17" style="390" customWidth="1"/>
    <col min="11730" max="11730" width="24.88671875" style="390" customWidth="1"/>
    <col min="11731" max="11731" width="14.44140625" style="390" customWidth="1"/>
    <col min="11732" max="11732" width="23.109375" style="390" customWidth="1"/>
    <col min="11733" max="11733" width="13.109375" style="390" customWidth="1"/>
    <col min="11734" max="11737" width="0" style="390" hidden="1"/>
    <col min="11738" max="11973" width="10.33203125" style="390" customWidth="1"/>
    <col min="11974" max="11974" width="7" style="390" customWidth="1"/>
    <col min="11975" max="11975" width="13" style="390" customWidth="1"/>
    <col min="11976" max="11976" width="14.109375" style="390" customWidth="1"/>
    <col min="11977" max="11977" width="17.33203125" style="390" customWidth="1"/>
    <col min="11978" max="11978" width="18.88671875" style="390" customWidth="1"/>
    <col min="11979" max="11979" width="14.109375" style="390" customWidth="1"/>
    <col min="11980" max="11980" width="21.5546875" style="390" customWidth="1"/>
    <col min="11981" max="11982" width="14.109375" style="390" customWidth="1"/>
    <col min="11983" max="11983" width="15" style="390" customWidth="1"/>
    <col min="11984" max="11984" width="13.33203125" style="390" customWidth="1"/>
    <col min="11985" max="11985" width="17" style="390" customWidth="1"/>
    <col min="11986" max="11986" width="24.88671875" style="390" customWidth="1"/>
    <col min="11987" max="11987" width="14.44140625" style="390" customWidth="1"/>
    <col min="11988" max="11988" width="23.109375" style="390" customWidth="1"/>
    <col min="11989" max="11989" width="13.109375" style="390" customWidth="1"/>
    <col min="11990" max="11993" width="0" style="390" hidden="1"/>
    <col min="11994" max="12229" width="10.33203125" style="390" customWidth="1"/>
    <col min="12230" max="12230" width="7" style="390" customWidth="1"/>
    <col min="12231" max="12231" width="13" style="390" customWidth="1"/>
    <col min="12232" max="12232" width="14.109375" style="390" customWidth="1"/>
    <col min="12233" max="12233" width="17.33203125" style="390" customWidth="1"/>
    <col min="12234" max="12234" width="18.88671875" style="390" customWidth="1"/>
    <col min="12235" max="12235" width="14.109375" style="390" customWidth="1"/>
    <col min="12236" max="12236" width="21.5546875" style="390" customWidth="1"/>
    <col min="12237" max="12238" width="14.109375" style="390" customWidth="1"/>
    <col min="12239" max="12239" width="15" style="390" customWidth="1"/>
    <col min="12240" max="12240" width="13.33203125" style="390" customWidth="1"/>
    <col min="12241" max="12241" width="17" style="390" customWidth="1"/>
    <col min="12242" max="12242" width="24.88671875" style="390" customWidth="1"/>
    <col min="12243" max="12243" width="14.44140625" style="390" customWidth="1"/>
    <col min="12244" max="12244" width="23.109375" style="390" customWidth="1"/>
    <col min="12245" max="12245" width="13.109375" style="390" customWidth="1"/>
    <col min="12246" max="12249" width="0" style="390" hidden="1"/>
    <col min="12250" max="12485" width="10.33203125" style="390" customWidth="1"/>
    <col min="12486" max="12486" width="7" style="390" customWidth="1"/>
    <col min="12487" max="12487" width="13" style="390" customWidth="1"/>
    <col min="12488" max="12488" width="14.109375" style="390" customWidth="1"/>
    <col min="12489" max="12489" width="17.33203125" style="390" customWidth="1"/>
    <col min="12490" max="12490" width="18.88671875" style="390" customWidth="1"/>
    <col min="12491" max="12491" width="14.109375" style="390" customWidth="1"/>
    <col min="12492" max="12492" width="21.5546875" style="390" customWidth="1"/>
    <col min="12493" max="12494" width="14.109375" style="390" customWidth="1"/>
    <col min="12495" max="12495" width="15" style="390" customWidth="1"/>
    <col min="12496" max="12496" width="13.33203125" style="390" customWidth="1"/>
    <col min="12497" max="12497" width="17" style="390" customWidth="1"/>
    <col min="12498" max="12498" width="24.88671875" style="390" customWidth="1"/>
    <col min="12499" max="12499" width="14.44140625" style="390" customWidth="1"/>
    <col min="12500" max="12500" width="23.109375" style="390" customWidth="1"/>
    <col min="12501" max="12501" width="13.109375" style="390" customWidth="1"/>
    <col min="12502" max="12505" width="0" style="390" hidden="1"/>
    <col min="12506" max="12741" width="10.33203125" style="390" customWidth="1"/>
    <col min="12742" max="12742" width="7" style="390" customWidth="1"/>
    <col min="12743" max="12743" width="13" style="390" customWidth="1"/>
    <col min="12744" max="12744" width="14.109375" style="390" customWidth="1"/>
    <col min="12745" max="12745" width="17.33203125" style="390" customWidth="1"/>
    <col min="12746" max="12746" width="18.88671875" style="390" customWidth="1"/>
    <col min="12747" max="12747" width="14.109375" style="390" customWidth="1"/>
    <col min="12748" max="12748" width="21.5546875" style="390" customWidth="1"/>
    <col min="12749" max="12750" width="14.109375" style="390" customWidth="1"/>
    <col min="12751" max="12751" width="15" style="390" customWidth="1"/>
    <col min="12752" max="12752" width="13.33203125" style="390" customWidth="1"/>
    <col min="12753" max="12753" width="17" style="390" customWidth="1"/>
    <col min="12754" max="12754" width="24.88671875" style="390" customWidth="1"/>
    <col min="12755" max="12755" width="14.44140625" style="390" customWidth="1"/>
    <col min="12756" max="12756" width="23.109375" style="390" customWidth="1"/>
    <col min="12757" max="12757" width="13.109375" style="390" customWidth="1"/>
    <col min="12758" max="12761" width="0" style="390" hidden="1"/>
    <col min="12762" max="12997" width="10.33203125" style="390" customWidth="1"/>
    <col min="12998" max="12998" width="7" style="390" customWidth="1"/>
    <col min="12999" max="12999" width="13" style="390" customWidth="1"/>
    <col min="13000" max="13000" width="14.109375" style="390" customWidth="1"/>
    <col min="13001" max="13001" width="17.33203125" style="390" customWidth="1"/>
    <col min="13002" max="13002" width="18.88671875" style="390" customWidth="1"/>
    <col min="13003" max="13003" width="14.109375" style="390" customWidth="1"/>
    <col min="13004" max="13004" width="21.5546875" style="390" customWidth="1"/>
    <col min="13005" max="13006" width="14.109375" style="390" customWidth="1"/>
    <col min="13007" max="13007" width="15" style="390" customWidth="1"/>
    <col min="13008" max="13008" width="13.33203125" style="390" customWidth="1"/>
    <col min="13009" max="13009" width="17" style="390" customWidth="1"/>
    <col min="13010" max="13010" width="24.88671875" style="390" customWidth="1"/>
    <col min="13011" max="13011" width="14.44140625" style="390" customWidth="1"/>
    <col min="13012" max="13012" width="23.109375" style="390" customWidth="1"/>
    <col min="13013" max="13013" width="13.109375" style="390" customWidth="1"/>
    <col min="13014" max="13017" width="0" style="390" hidden="1"/>
    <col min="13018" max="13253" width="10.33203125" style="390" customWidth="1"/>
    <col min="13254" max="13254" width="7" style="390" customWidth="1"/>
    <col min="13255" max="13255" width="13" style="390" customWidth="1"/>
    <col min="13256" max="13256" width="14.109375" style="390" customWidth="1"/>
    <col min="13257" max="13257" width="17.33203125" style="390" customWidth="1"/>
    <col min="13258" max="13258" width="18.88671875" style="390" customWidth="1"/>
    <col min="13259" max="13259" width="14.109375" style="390" customWidth="1"/>
    <col min="13260" max="13260" width="21.5546875" style="390" customWidth="1"/>
    <col min="13261" max="13262" width="14.109375" style="390" customWidth="1"/>
    <col min="13263" max="13263" width="15" style="390" customWidth="1"/>
    <col min="13264" max="13264" width="13.33203125" style="390" customWidth="1"/>
    <col min="13265" max="13265" width="17" style="390" customWidth="1"/>
    <col min="13266" max="13266" width="24.88671875" style="390" customWidth="1"/>
    <col min="13267" max="13267" width="14.44140625" style="390" customWidth="1"/>
    <col min="13268" max="13268" width="23.109375" style="390" customWidth="1"/>
    <col min="13269" max="13269" width="13.109375" style="390" customWidth="1"/>
    <col min="13270" max="13273" width="0" style="390" hidden="1"/>
    <col min="13274" max="13509" width="10.33203125" style="390" customWidth="1"/>
    <col min="13510" max="13510" width="7" style="390" customWidth="1"/>
    <col min="13511" max="13511" width="13" style="390" customWidth="1"/>
    <col min="13512" max="13512" width="14.109375" style="390" customWidth="1"/>
    <col min="13513" max="13513" width="17.33203125" style="390" customWidth="1"/>
    <col min="13514" max="13514" width="18.88671875" style="390" customWidth="1"/>
    <col min="13515" max="13515" width="14.109375" style="390" customWidth="1"/>
    <col min="13516" max="13516" width="21.5546875" style="390" customWidth="1"/>
    <col min="13517" max="13518" width="14.109375" style="390" customWidth="1"/>
    <col min="13519" max="13519" width="15" style="390" customWidth="1"/>
    <col min="13520" max="13520" width="13.33203125" style="390" customWidth="1"/>
    <col min="13521" max="13521" width="17" style="390" customWidth="1"/>
    <col min="13522" max="13522" width="24.88671875" style="390" customWidth="1"/>
    <col min="13523" max="13523" width="14.44140625" style="390" customWidth="1"/>
    <col min="13524" max="13524" width="23.109375" style="390" customWidth="1"/>
    <col min="13525" max="13525" width="13.109375" style="390" customWidth="1"/>
    <col min="13526" max="13529" width="0" style="390" hidden="1"/>
    <col min="13530" max="13765" width="10.33203125" style="390" customWidth="1"/>
    <col min="13766" max="13766" width="7" style="390" customWidth="1"/>
    <col min="13767" max="13767" width="13" style="390" customWidth="1"/>
    <col min="13768" max="13768" width="14.109375" style="390" customWidth="1"/>
    <col min="13769" max="13769" width="17.33203125" style="390" customWidth="1"/>
    <col min="13770" max="13770" width="18.88671875" style="390" customWidth="1"/>
    <col min="13771" max="13771" width="14.109375" style="390" customWidth="1"/>
    <col min="13772" max="13772" width="21.5546875" style="390" customWidth="1"/>
    <col min="13773" max="13774" width="14.109375" style="390" customWidth="1"/>
    <col min="13775" max="13775" width="15" style="390" customWidth="1"/>
    <col min="13776" max="13776" width="13.33203125" style="390" customWidth="1"/>
    <col min="13777" max="13777" width="17" style="390" customWidth="1"/>
    <col min="13778" max="13778" width="24.88671875" style="390" customWidth="1"/>
    <col min="13779" max="13779" width="14.44140625" style="390" customWidth="1"/>
    <col min="13780" max="13780" width="23.109375" style="390" customWidth="1"/>
    <col min="13781" max="13781" width="13.109375" style="390" customWidth="1"/>
    <col min="13782" max="13785" width="0" style="390" hidden="1"/>
    <col min="13786" max="14021" width="10.33203125" style="390" customWidth="1"/>
    <col min="14022" max="14022" width="7" style="390" customWidth="1"/>
    <col min="14023" max="14023" width="13" style="390" customWidth="1"/>
    <col min="14024" max="14024" width="14.109375" style="390" customWidth="1"/>
    <col min="14025" max="14025" width="17.33203125" style="390" customWidth="1"/>
    <col min="14026" max="14026" width="18.88671875" style="390" customWidth="1"/>
    <col min="14027" max="14027" width="14.109375" style="390" customWidth="1"/>
    <col min="14028" max="14028" width="21.5546875" style="390" customWidth="1"/>
    <col min="14029" max="14030" width="14.109375" style="390" customWidth="1"/>
    <col min="14031" max="14031" width="15" style="390" customWidth="1"/>
    <col min="14032" max="14032" width="13.33203125" style="390" customWidth="1"/>
    <col min="14033" max="14033" width="17" style="390" customWidth="1"/>
    <col min="14034" max="14034" width="24.88671875" style="390" customWidth="1"/>
    <col min="14035" max="14035" width="14.44140625" style="390" customWidth="1"/>
    <col min="14036" max="14036" width="23.109375" style="390" customWidth="1"/>
    <col min="14037" max="14037" width="13.109375" style="390" customWidth="1"/>
    <col min="14038" max="14041" width="0" style="390" hidden="1"/>
    <col min="14042" max="14277" width="10.33203125" style="390" customWidth="1"/>
    <col min="14278" max="14278" width="7" style="390" customWidth="1"/>
    <col min="14279" max="14279" width="13" style="390" customWidth="1"/>
    <col min="14280" max="14280" width="14.109375" style="390" customWidth="1"/>
    <col min="14281" max="14281" width="17.33203125" style="390" customWidth="1"/>
    <col min="14282" max="14282" width="18.88671875" style="390" customWidth="1"/>
    <col min="14283" max="14283" width="14.109375" style="390" customWidth="1"/>
    <col min="14284" max="14284" width="21.5546875" style="390" customWidth="1"/>
    <col min="14285" max="14286" width="14.109375" style="390" customWidth="1"/>
    <col min="14287" max="14287" width="15" style="390" customWidth="1"/>
    <col min="14288" max="14288" width="13.33203125" style="390" customWidth="1"/>
    <col min="14289" max="14289" width="17" style="390" customWidth="1"/>
    <col min="14290" max="14290" width="24.88671875" style="390" customWidth="1"/>
    <col min="14291" max="14291" width="14.44140625" style="390" customWidth="1"/>
    <col min="14292" max="14292" width="23.109375" style="390" customWidth="1"/>
    <col min="14293" max="14293" width="13.109375" style="390" customWidth="1"/>
    <col min="14294" max="14297" width="0" style="390" hidden="1"/>
    <col min="14298" max="14533" width="10.33203125" style="390" customWidth="1"/>
    <col min="14534" max="14534" width="7" style="390" customWidth="1"/>
    <col min="14535" max="14535" width="13" style="390" customWidth="1"/>
    <col min="14536" max="14536" width="14.109375" style="390" customWidth="1"/>
    <col min="14537" max="14537" width="17.33203125" style="390" customWidth="1"/>
    <col min="14538" max="14538" width="18.88671875" style="390" customWidth="1"/>
    <col min="14539" max="14539" width="14.109375" style="390" customWidth="1"/>
    <col min="14540" max="14540" width="21.5546875" style="390" customWidth="1"/>
    <col min="14541" max="14542" width="14.109375" style="390" customWidth="1"/>
    <col min="14543" max="14543" width="15" style="390" customWidth="1"/>
    <col min="14544" max="14544" width="13.33203125" style="390" customWidth="1"/>
    <col min="14545" max="14545" width="17" style="390" customWidth="1"/>
    <col min="14546" max="14546" width="24.88671875" style="390" customWidth="1"/>
    <col min="14547" max="14547" width="14.44140625" style="390" customWidth="1"/>
    <col min="14548" max="14548" width="23.109375" style="390" customWidth="1"/>
    <col min="14549" max="14549" width="13.109375" style="390" customWidth="1"/>
    <col min="14550" max="14553" width="0" style="390" hidden="1"/>
    <col min="14554" max="14789" width="10.33203125" style="390" customWidth="1"/>
    <col min="14790" max="14790" width="7" style="390" customWidth="1"/>
    <col min="14791" max="14791" width="13" style="390" customWidth="1"/>
    <col min="14792" max="14792" width="14.109375" style="390" customWidth="1"/>
    <col min="14793" max="14793" width="17.33203125" style="390" customWidth="1"/>
    <col min="14794" max="14794" width="18.88671875" style="390" customWidth="1"/>
    <col min="14795" max="14795" width="14.109375" style="390" customWidth="1"/>
    <col min="14796" max="14796" width="21.5546875" style="390" customWidth="1"/>
    <col min="14797" max="14798" width="14.109375" style="390" customWidth="1"/>
    <col min="14799" max="14799" width="15" style="390" customWidth="1"/>
    <col min="14800" max="14800" width="13.33203125" style="390" customWidth="1"/>
    <col min="14801" max="14801" width="17" style="390" customWidth="1"/>
    <col min="14802" max="14802" width="24.88671875" style="390" customWidth="1"/>
    <col min="14803" max="14803" width="14.44140625" style="390" customWidth="1"/>
    <col min="14804" max="14804" width="23.109375" style="390" customWidth="1"/>
    <col min="14805" max="14805" width="13.109375" style="390" customWidth="1"/>
    <col min="14806" max="14809" width="0" style="390" hidden="1"/>
    <col min="14810" max="15045" width="10.33203125" style="390" customWidth="1"/>
    <col min="15046" max="15046" width="7" style="390" customWidth="1"/>
    <col min="15047" max="15047" width="13" style="390" customWidth="1"/>
    <col min="15048" max="15048" width="14.109375" style="390" customWidth="1"/>
    <col min="15049" max="15049" width="17.33203125" style="390" customWidth="1"/>
    <col min="15050" max="15050" width="18.88671875" style="390" customWidth="1"/>
    <col min="15051" max="15051" width="14.109375" style="390" customWidth="1"/>
    <col min="15052" max="15052" width="21.5546875" style="390" customWidth="1"/>
    <col min="15053" max="15054" width="14.109375" style="390" customWidth="1"/>
    <col min="15055" max="15055" width="15" style="390" customWidth="1"/>
    <col min="15056" max="15056" width="13.33203125" style="390" customWidth="1"/>
    <col min="15057" max="15057" width="17" style="390" customWidth="1"/>
    <col min="15058" max="15058" width="24.88671875" style="390" customWidth="1"/>
    <col min="15059" max="15059" width="14.44140625" style="390" customWidth="1"/>
    <col min="15060" max="15060" width="23.109375" style="390" customWidth="1"/>
    <col min="15061" max="15061" width="13.109375" style="390" customWidth="1"/>
    <col min="15062" max="15065" width="0" style="390" hidden="1"/>
    <col min="15066" max="15301" width="10.33203125" style="390" customWidth="1"/>
    <col min="15302" max="15302" width="7" style="390" customWidth="1"/>
    <col min="15303" max="15303" width="13" style="390" customWidth="1"/>
    <col min="15304" max="15304" width="14.109375" style="390" customWidth="1"/>
    <col min="15305" max="15305" width="17.33203125" style="390" customWidth="1"/>
    <col min="15306" max="15306" width="18.88671875" style="390" customWidth="1"/>
    <col min="15307" max="15307" width="14.109375" style="390" customWidth="1"/>
    <col min="15308" max="15308" width="21.5546875" style="390" customWidth="1"/>
    <col min="15309" max="15310" width="14.109375" style="390" customWidth="1"/>
    <col min="15311" max="15311" width="15" style="390" customWidth="1"/>
    <col min="15312" max="15312" width="13.33203125" style="390" customWidth="1"/>
    <col min="15313" max="15313" width="17" style="390" customWidth="1"/>
    <col min="15314" max="15314" width="24.88671875" style="390" customWidth="1"/>
    <col min="15315" max="15315" width="14.44140625" style="390" customWidth="1"/>
    <col min="15316" max="15316" width="23.109375" style="390" customWidth="1"/>
    <col min="15317" max="15317" width="13.109375" style="390" customWidth="1"/>
    <col min="15318" max="15321" width="0" style="390" hidden="1"/>
    <col min="15322" max="15557" width="10.33203125" style="390" customWidth="1"/>
    <col min="15558" max="15558" width="7" style="390" customWidth="1"/>
    <col min="15559" max="15559" width="13" style="390" customWidth="1"/>
    <col min="15560" max="15560" width="14.109375" style="390" customWidth="1"/>
    <col min="15561" max="15561" width="17.33203125" style="390" customWidth="1"/>
    <col min="15562" max="15562" width="18.88671875" style="390" customWidth="1"/>
    <col min="15563" max="15563" width="14.109375" style="390" customWidth="1"/>
    <col min="15564" max="15564" width="21.5546875" style="390" customWidth="1"/>
    <col min="15565" max="15566" width="14.109375" style="390" customWidth="1"/>
    <col min="15567" max="15567" width="15" style="390" customWidth="1"/>
    <col min="15568" max="15568" width="13.33203125" style="390" customWidth="1"/>
    <col min="15569" max="15569" width="17" style="390" customWidth="1"/>
    <col min="15570" max="15570" width="24.88671875" style="390" customWidth="1"/>
    <col min="15571" max="15571" width="14.44140625" style="390" customWidth="1"/>
    <col min="15572" max="15572" width="23.109375" style="390" customWidth="1"/>
    <col min="15573" max="15573" width="13.109375" style="390" customWidth="1"/>
    <col min="15574" max="15577" width="0" style="390" hidden="1"/>
    <col min="15578" max="15813" width="10.33203125" style="390" customWidth="1"/>
    <col min="15814" max="15814" width="7" style="390" customWidth="1"/>
    <col min="15815" max="15815" width="13" style="390" customWidth="1"/>
    <col min="15816" max="15816" width="14.109375" style="390" customWidth="1"/>
    <col min="15817" max="15817" width="17.33203125" style="390" customWidth="1"/>
    <col min="15818" max="15818" width="18.88671875" style="390" customWidth="1"/>
    <col min="15819" max="15819" width="14.109375" style="390" customWidth="1"/>
    <col min="15820" max="15820" width="21.5546875" style="390" customWidth="1"/>
    <col min="15821" max="15822" width="14.109375" style="390" customWidth="1"/>
    <col min="15823" max="15823" width="15" style="390" customWidth="1"/>
    <col min="15824" max="15824" width="13.33203125" style="390" customWidth="1"/>
    <col min="15825" max="15825" width="17" style="390" customWidth="1"/>
    <col min="15826" max="15826" width="24.88671875" style="390" customWidth="1"/>
    <col min="15827" max="15827" width="14.44140625" style="390" customWidth="1"/>
    <col min="15828" max="15828" width="23.109375" style="390" customWidth="1"/>
    <col min="15829" max="15829" width="13.109375" style="390" customWidth="1"/>
    <col min="15830" max="15833" width="0" style="390" hidden="1"/>
    <col min="15834" max="16069" width="10.33203125" style="390" customWidth="1"/>
    <col min="16070" max="16070" width="7" style="390" customWidth="1"/>
    <col min="16071" max="16071" width="13" style="390" customWidth="1"/>
    <col min="16072" max="16072" width="14.109375" style="390" customWidth="1"/>
    <col min="16073" max="16073" width="17.33203125" style="390" customWidth="1"/>
    <col min="16074" max="16074" width="18.88671875" style="390" customWidth="1"/>
    <col min="16075" max="16075" width="14.109375" style="390" customWidth="1"/>
    <col min="16076" max="16076" width="21.5546875" style="390" customWidth="1"/>
    <col min="16077" max="16078" width="14.109375" style="390" customWidth="1"/>
    <col min="16079" max="16079" width="15" style="390" customWidth="1"/>
    <col min="16080" max="16080" width="13.33203125" style="390" customWidth="1"/>
    <col min="16081" max="16081" width="17" style="390" customWidth="1"/>
    <col min="16082" max="16082" width="24.88671875" style="390" customWidth="1"/>
    <col min="16083" max="16083" width="14.44140625" style="390" customWidth="1"/>
    <col min="16084" max="16084" width="23.109375" style="390" customWidth="1"/>
    <col min="16085" max="16085" width="13.109375" style="390" customWidth="1"/>
    <col min="16086" max="16089" width="0" style="390" hidden="1"/>
    <col min="16090" max="16384" width="10.33203125" style="390" customWidth="1"/>
  </cols>
  <sheetData>
    <row r="1" spans="1:49" ht="15" customHeight="1">
      <c r="B1" s="425"/>
      <c r="T1" s="430"/>
      <c r="U1" s="430"/>
      <c r="V1" s="430"/>
      <c r="W1" s="430"/>
      <c r="X1" s="431"/>
      <c r="Y1" s="431"/>
      <c r="Z1" s="431"/>
      <c r="AA1" s="431"/>
      <c r="AB1" s="431"/>
      <c r="AC1" s="432"/>
      <c r="AD1" s="431"/>
      <c r="AE1" s="431"/>
      <c r="AF1" s="393"/>
    </row>
    <row r="2" spans="1:49" s="391" customFormat="1" ht="20.25" customHeight="1">
      <c r="A2" s="397" t="s">
        <v>90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521"/>
    </row>
    <row r="3" spans="1:49" ht="12.75" customHeight="1">
      <c r="B3" s="433"/>
      <c r="C3" s="434" t="s">
        <v>91</v>
      </c>
      <c r="D3" s="435" t="s">
        <v>92</v>
      </c>
      <c r="E3" s="435"/>
      <c r="F3" s="435"/>
      <c r="G3" s="435"/>
      <c r="H3" s="435"/>
      <c r="I3" s="435"/>
      <c r="J3" s="435"/>
      <c r="K3" s="435"/>
      <c r="L3" s="435"/>
      <c r="M3" s="436"/>
      <c r="N3" s="437"/>
      <c r="O3" s="437"/>
      <c r="Q3" s="437"/>
      <c r="R3" s="437"/>
    </row>
    <row r="4" spans="1:49" ht="39.6" customHeight="1">
      <c r="A4" s="439" t="s">
        <v>93</v>
      </c>
      <c r="B4" s="440" t="s">
        <v>94</v>
      </c>
      <c r="C4" s="441" t="s">
        <v>95</v>
      </c>
      <c r="D4" s="442" t="s">
        <v>96</v>
      </c>
      <c r="E4" s="443" t="s">
        <v>97</v>
      </c>
      <c r="F4" s="443" t="s">
        <v>98</v>
      </c>
      <c r="G4" s="444" t="s">
        <v>17</v>
      </c>
      <c r="H4" s="444" t="s">
        <v>74</v>
      </c>
      <c r="I4" s="444" t="s">
        <v>99</v>
      </c>
      <c r="J4" s="445" t="s">
        <v>100</v>
      </c>
      <c r="K4" s="445" t="s">
        <v>101</v>
      </c>
      <c r="L4" s="446" t="s">
        <v>102</v>
      </c>
      <c r="M4" s="446" t="s">
        <v>103</v>
      </c>
      <c r="N4" s="445" t="s">
        <v>104</v>
      </c>
      <c r="O4" s="445" t="s">
        <v>105</v>
      </c>
      <c r="P4" s="445" t="s">
        <v>106</v>
      </c>
      <c r="Q4" s="444" t="s">
        <v>107</v>
      </c>
      <c r="R4" s="444" t="s">
        <v>108</v>
      </c>
      <c r="S4" s="447" t="s">
        <v>109</v>
      </c>
      <c r="T4" s="447" t="s">
        <v>110</v>
      </c>
      <c r="U4" s="447" t="s">
        <v>111</v>
      </c>
      <c r="V4" s="447" t="s">
        <v>112</v>
      </c>
      <c r="W4" s="448" t="s">
        <v>113</v>
      </c>
      <c r="X4" s="448" t="s">
        <v>114</v>
      </c>
      <c r="Y4" s="449" t="s">
        <v>115</v>
      </c>
      <c r="Z4" s="449" t="s">
        <v>116</v>
      </c>
      <c r="AA4" s="449" t="s">
        <v>117</v>
      </c>
      <c r="AB4" s="450" t="s">
        <v>118</v>
      </c>
      <c r="AC4" s="451" t="s">
        <v>119</v>
      </c>
      <c r="AD4" s="448" t="s">
        <v>120</v>
      </c>
      <c r="AE4" s="449" t="s">
        <v>121</v>
      </c>
      <c r="AF4" s="523" t="s">
        <v>122</v>
      </c>
      <c r="AG4" s="392"/>
    </row>
    <row r="5" spans="1:49" ht="26.25" customHeight="1">
      <c r="A5" s="777" t="s">
        <v>123</v>
      </c>
      <c r="B5" s="778"/>
      <c r="C5" s="778"/>
      <c r="D5" s="778"/>
      <c r="E5" s="778"/>
      <c r="F5" s="778"/>
      <c r="G5" s="778"/>
      <c r="H5" s="778"/>
      <c r="I5" s="778"/>
      <c r="J5" s="778"/>
      <c r="K5" s="778"/>
      <c r="L5" s="778"/>
      <c r="M5" s="778"/>
      <c r="N5" s="778"/>
      <c r="O5" s="778"/>
      <c r="P5" s="778"/>
      <c r="Q5" s="779"/>
      <c r="R5" s="508"/>
      <c r="S5" s="463"/>
      <c r="T5" s="464"/>
      <c r="U5" s="463"/>
      <c r="V5" s="463"/>
      <c r="W5" s="463"/>
      <c r="X5" s="465"/>
      <c r="Y5" s="463"/>
      <c r="Z5" s="466"/>
      <c r="AA5" s="466"/>
      <c r="AB5" s="467"/>
      <c r="AC5" s="468"/>
      <c r="AD5" s="469"/>
      <c r="AE5" s="469"/>
      <c r="AF5" s="470"/>
      <c r="AG5" s="41"/>
      <c r="AH5" s="41"/>
      <c r="AI5" s="141"/>
    </row>
    <row r="6" spans="1:49" s="140" customFormat="1" ht="37.5" customHeight="1">
      <c r="A6" s="231">
        <v>1</v>
      </c>
      <c r="B6" s="529"/>
      <c r="C6" s="556"/>
      <c r="D6" s="557"/>
      <c r="E6" s="558"/>
      <c r="F6" s="559"/>
      <c r="G6" s="163"/>
      <c r="H6" s="163"/>
      <c r="I6" s="163"/>
      <c r="J6" s="560"/>
      <c r="K6" s="573"/>
      <c r="L6" s="419"/>
      <c r="M6" s="655"/>
      <c r="N6" s="780"/>
      <c r="O6" s="705"/>
      <c r="P6" s="574"/>
      <c r="Q6" s="581"/>
      <c r="R6" s="581"/>
      <c r="S6" s="514"/>
      <c r="T6" s="589"/>
      <c r="U6" s="562"/>
      <c r="V6" s="562"/>
      <c r="W6" s="317"/>
      <c r="X6" s="493"/>
      <c r="Y6" s="310"/>
      <c r="Z6" s="316"/>
      <c r="AA6" s="577"/>
      <c r="AB6" s="311"/>
      <c r="AC6" s="597"/>
      <c r="AD6" s="596"/>
      <c r="AE6" s="579"/>
      <c r="AF6" s="524"/>
      <c r="AG6" s="494"/>
      <c r="AH6" s="494"/>
      <c r="AI6" s="494"/>
      <c r="AJ6" s="494"/>
      <c r="AK6" s="494"/>
      <c r="AL6" s="494"/>
      <c r="AM6" s="494"/>
      <c r="AN6" s="494"/>
      <c r="AO6" s="494"/>
      <c r="AP6" s="494"/>
      <c r="AQ6" s="494"/>
      <c r="AR6" s="494"/>
      <c r="AS6" s="494"/>
      <c r="AT6" s="494"/>
      <c r="AU6" s="494"/>
      <c r="AV6" s="494"/>
      <c r="AW6" s="494"/>
    </row>
    <row r="7" spans="1:49" s="140" customFormat="1" ht="19.5" customHeight="1">
      <c r="A7" s="231">
        <f t="shared" ref="A7:A38" si="0">+A6+1</f>
        <v>2</v>
      </c>
      <c r="B7" s="529"/>
      <c r="C7" s="556"/>
      <c r="D7" s="557"/>
      <c r="E7" s="558"/>
      <c r="F7" s="559"/>
      <c r="G7" s="163"/>
      <c r="H7" s="163"/>
      <c r="I7" s="163"/>
      <c r="J7" s="560"/>
      <c r="K7" s="418"/>
      <c r="L7" s="419"/>
      <c r="M7" s="530"/>
      <c r="N7" s="164"/>
      <c r="O7" s="164"/>
      <c r="P7" s="574"/>
      <c r="Q7" s="528"/>
      <c r="R7" s="581"/>
      <c r="S7" s="416"/>
      <c r="T7" s="589"/>
      <c r="U7" s="590"/>
      <c r="V7" s="591"/>
      <c r="W7" s="317"/>
      <c r="X7" s="493"/>
      <c r="Y7" s="563"/>
      <c r="Z7" s="316"/>
      <c r="AA7" s="577"/>
      <c r="AB7" s="317"/>
      <c r="AC7" s="315"/>
      <c r="AD7" s="596"/>
      <c r="AE7" s="579"/>
      <c r="AF7" s="524"/>
      <c r="AG7" s="494"/>
      <c r="AH7" s="494"/>
      <c r="AI7" s="494"/>
      <c r="AJ7" s="494"/>
      <c r="AK7" s="494"/>
      <c r="AL7" s="494"/>
      <c r="AM7" s="494"/>
      <c r="AN7" s="494"/>
      <c r="AO7" s="494"/>
      <c r="AP7" s="494"/>
      <c r="AQ7" s="494"/>
      <c r="AR7" s="494"/>
      <c r="AS7" s="494"/>
      <c r="AT7" s="494"/>
      <c r="AU7" s="494"/>
      <c r="AV7" s="494"/>
      <c r="AW7" s="494"/>
    </row>
    <row r="8" spans="1:49" s="140" customFormat="1" ht="26.4" customHeight="1">
      <c r="A8" s="231">
        <f t="shared" si="0"/>
        <v>3</v>
      </c>
      <c r="B8" s="529"/>
      <c r="C8" s="556"/>
      <c r="D8" s="529"/>
      <c r="E8" s="558"/>
      <c r="F8" s="559"/>
      <c r="G8" s="582"/>
      <c r="H8" s="583"/>
      <c r="I8" s="163"/>
      <c r="J8" s="560"/>
      <c r="K8" s="418"/>
      <c r="L8" s="419"/>
      <c r="M8" s="530"/>
      <c r="N8" s="164"/>
      <c r="O8" s="164"/>
      <c r="P8" s="574"/>
      <c r="Q8" s="528"/>
      <c r="R8" s="561"/>
      <c r="S8" s="501"/>
      <c r="T8" s="571"/>
      <c r="U8" s="590"/>
      <c r="V8" s="591"/>
      <c r="W8" s="500"/>
      <c r="X8" s="526"/>
      <c r="Y8" s="594"/>
      <c r="Z8" s="500"/>
      <c r="AA8" s="577"/>
      <c r="AB8" s="502"/>
      <c r="AC8" s="476"/>
      <c r="AD8" s="596"/>
      <c r="AE8" s="579"/>
      <c r="AF8" s="525"/>
      <c r="AG8" s="494"/>
      <c r="AH8" s="494"/>
      <c r="AI8" s="494"/>
      <c r="AJ8" s="494"/>
      <c r="AK8" s="494"/>
      <c r="AL8" s="494"/>
      <c r="AM8" s="494"/>
      <c r="AN8" s="494"/>
      <c r="AO8" s="494"/>
      <c r="AP8" s="494"/>
      <c r="AQ8" s="494"/>
      <c r="AR8" s="494"/>
      <c r="AS8" s="494"/>
      <c r="AT8" s="494"/>
      <c r="AU8" s="494"/>
      <c r="AV8" s="494"/>
      <c r="AW8" s="494"/>
    </row>
    <row r="9" spans="1:49" s="141" customFormat="1" ht="29.25" customHeight="1">
      <c r="A9" s="231">
        <f t="shared" si="0"/>
        <v>4</v>
      </c>
      <c r="B9" s="766"/>
      <c r="C9" s="584"/>
      <c r="D9" s="585"/>
      <c r="E9" s="771"/>
      <c r="F9" s="768"/>
      <c r="G9" s="582"/>
      <c r="H9" s="582"/>
      <c r="I9" s="582"/>
      <c r="J9" s="586"/>
      <c r="K9" s="772"/>
      <c r="L9" s="165"/>
      <c r="M9" s="527"/>
      <c r="N9" s="587"/>
      <c r="O9" s="587"/>
      <c r="P9" s="765"/>
      <c r="Q9" s="781"/>
      <c r="R9" s="578"/>
      <c r="S9" s="308"/>
      <c r="T9" s="571"/>
      <c r="U9" s="590"/>
      <c r="V9" s="590"/>
      <c r="W9" s="309"/>
      <c r="X9" s="310"/>
      <c r="Y9" s="595"/>
      <c r="Z9" s="309"/>
      <c r="AA9" s="577"/>
      <c r="AB9" s="317"/>
      <c r="AC9" s="315"/>
      <c r="AD9" s="596"/>
      <c r="AE9" s="579"/>
      <c r="AF9" s="524"/>
      <c r="AG9" s="252"/>
      <c r="AH9" s="461"/>
      <c r="AI9" s="252"/>
      <c r="AJ9" s="252"/>
      <c r="AK9" s="252"/>
      <c r="AL9" s="252"/>
      <c r="AM9" s="252"/>
      <c r="AN9" s="252"/>
      <c r="AO9" s="252"/>
      <c r="AP9" s="461"/>
      <c r="AQ9" s="252"/>
      <c r="AR9" s="461"/>
      <c r="AS9" s="252"/>
      <c r="AT9" s="252"/>
      <c r="AU9" s="252"/>
      <c r="AV9" s="252"/>
      <c r="AW9" s="252"/>
    </row>
    <row r="10" spans="1:49" s="141" customFormat="1" ht="45" customHeight="1">
      <c r="A10" s="231">
        <f t="shared" si="0"/>
        <v>5</v>
      </c>
      <c r="B10" s="767"/>
      <c r="C10" s="584"/>
      <c r="D10" s="585"/>
      <c r="E10" s="714"/>
      <c r="F10" s="769"/>
      <c r="G10" s="582"/>
      <c r="H10" s="582"/>
      <c r="I10" s="582"/>
      <c r="J10" s="586"/>
      <c r="K10" s="714"/>
      <c r="L10" s="165"/>
      <c r="M10" s="527"/>
      <c r="N10" s="587"/>
      <c r="O10" s="588"/>
      <c r="P10" s="714"/>
      <c r="Q10" s="714"/>
      <c r="R10" s="578"/>
      <c r="S10" s="308"/>
      <c r="T10" s="571"/>
      <c r="U10" s="590"/>
      <c r="V10" s="590"/>
      <c r="W10" s="309"/>
      <c r="X10" s="310"/>
      <c r="Y10" s="595"/>
      <c r="Z10" s="309"/>
      <c r="AA10" s="577"/>
      <c r="AB10" s="317"/>
      <c r="AC10" s="315"/>
      <c r="AD10" s="596"/>
      <c r="AE10" s="579"/>
      <c r="AF10" s="524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</row>
    <row r="11" spans="1:49" s="141" customFormat="1" ht="23.25" customHeight="1">
      <c r="A11" s="231">
        <f t="shared" si="0"/>
        <v>6</v>
      </c>
      <c r="B11" s="766"/>
      <c r="C11" s="556"/>
      <c r="D11" s="585"/>
      <c r="E11" s="771"/>
      <c r="F11" s="768"/>
      <c r="G11" s="163"/>
      <c r="H11" s="163"/>
      <c r="I11" s="163"/>
      <c r="J11" s="560"/>
      <c r="K11" s="772"/>
      <c r="L11" s="165"/>
      <c r="M11" s="527"/>
      <c r="N11" s="587"/>
      <c r="O11" s="587"/>
      <c r="P11" s="765"/>
      <c r="Q11" s="770"/>
      <c r="R11" s="578"/>
      <c r="S11" s="308"/>
      <c r="T11" s="571"/>
      <c r="U11" s="592"/>
      <c r="V11" s="593"/>
      <c r="W11" s="309"/>
      <c r="X11" s="310"/>
      <c r="Y11" s="595"/>
      <c r="Z11" s="309"/>
      <c r="AA11" s="577"/>
      <c r="AB11" s="317"/>
      <c r="AC11" s="315"/>
      <c r="AD11" s="596"/>
      <c r="AE11" s="579"/>
      <c r="AF11" s="524"/>
      <c r="AG11" s="252"/>
      <c r="AH11" s="461"/>
      <c r="AI11" s="252"/>
      <c r="AJ11" s="252"/>
      <c r="AK11" s="252"/>
      <c r="AL11" s="252"/>
      <c r="AM11" s="252"/>
      <c r="AN11" s="252"/>
      <c r="AO11" s="252"/>
      <c r="AP11" s="461"/>
      <c r="AQ11" s="252"/>
      <c r="AR11" s="461"/>
      <c r="AS11" s="252"/>
      <c r="AT11" s="252"/>
      <c r="AU11" s="252"/>
      <c r="AV11" s="252"/>
      <c r="AW11" s="252"/>
    </row>
    <row r="12" spans="1:49" s="141" customFormat="1" ht="23.25" customHeight="1">
      <c r="A12" s="231">
        <f t="shared" si="0"/>
        <v>7</v>
      </c>
      <c r="B12" s="767"/>
      <c r="C12" s="556"/>
      <c r="D12" s="585"/>
      <c r="E12" s="714"/>
      <c r="F12" s="769"/>
      <c r="G12" s="163"/>
      <c r="H12" s="163"/>
      <c r="I12" s="163"/>
      <c r="J12" s="560"/>
      <c r="K12" s="714"/>
      <c r="L12" s="165"/>
      <c r="M12" s="527"/>
      <c r="N12" s="587"/>
      <c r="O12" s="587"/>
      <c r="P12" s="714"/>
      <c r="Q12" s="714"/>
      <c r="R12" s="578"/>
      <c r="S12" s="308"/>
      <c r="T12" s="571"/>
      <c r="U12" s="592"/>
      <c r="W12" s="309"/>
      <c r="X12" s="310"/>
      <c r="Y12" s="595"/>
      <c r="Z12" s="309"/>
      <c r="AA12" s="577"/>
      <c r="AB12" s="317"/>
      <c r="AC12" s="315"/>
      <c r="AD12" s="596"/>
      <c r="AE12" s="579"/>
      <c r="AF12" s="524"/>
      <c r="AG12" s="252"/>
      <c r="AH12" s="461"/>
      <c r="AI12" s="252"/>
      <c r="AJ12" s="252"/>
      <c r="AK12" s="252"/>
      <c r="AL12" s="252"/>
      <c r="AM12" s="252"/>
      <c r="AN12" s="252"/>
      <c r="AO12" s="252"/>
      <c r="AP12" s="461"/>
      <c r="AQ12" s="252"/>
      <c r="AR12" s="461"/>
      <c r="AS12" s="252"/>
      <c r="AT12" s="252"/>
      <c r="AU12" s="252"/>
      <c r="AV12" s="252"/>
      <c r="AW12" s="252"/>
    </row>
    <row r="13" spans="1:49" s="141" customFormat="1" ht="15" customHeight="1">
      <c r="A13" s="231">
        <f t="shared" si="0"/>
        <v>8</v>
      </c>
      <c r="B13" s="766"/>
      <c r="C13" s="306"/>
      <c r="D13" s="640"/>
      <c r="E13" s="771"/>
      <c r="F13" s="768"/>
      <c r="G13" s="163"/>
      <c r="H13" s="163"/>
      <c r="I13" s="163"/>
      <c r="J13" s="641"/>
      <c r="K13" s="772"/>
      <c r="L13" s="165"/>
      <c r="M13" s="527"/>
      <c r="N13" s="164"/>
      <c r="O13" s="164"/>
      <c r="P13" s="765"/>
      <c r="Q13" s="781"/>
      <c r="R13" s="647"/>
      <c r="S13" s="308"/>
      <c r="T13" s="309"/>
      <c r="U13" s="309"/>
      <c r="V13" s="648"/>
      <c r="W13" s="309"/>
      <c r="X13" s="310"/>
      <c r="Y13" s="309"/>
      <c r="Z13" s="309"/>
      <c r="AA13" s="577"/>
      <c r="AB13" s="309"/>
      <c r="AC13" s="315"/>
      <c r="AD13" s="596"/>
      <c r="AE13" s="579"/>
      <c r="AF13" s="524"/>
      <c r="AG13" s="252"/>
      <c r="AH13" s="461"/>
      <c r="AI13" s="252"/>
      <c r="AJ13" s="252"/>
      <c r="AK13" s="252"/>
      <c r="AL13" s="252"/>
      <c r="AM13" s="252"/>
      <c r="AN13" s="252"/>
      <c r="AO13" s="252"/>
      <c r="AP13" s="461"/>
      <c r="AQ13" s="252"/>
      <c r="AR13" s="461"/>
      <c r="AS13" s="252"/>
      <c r="AT13" s="252"/>
      <c r="AU13" s="252"/>
      <c r="AV13" s="252"/>
      <c r="AW13" s="252"/>
    </row>
    <row r="14" spans="1:49" s="141" customFormat="1" ht="15" customHeight="1">
      <c r="A14" s="231">
        <f t="shared" si="0"/>
        <v>9</v>
      </c>
      <c r="B14" s="731"/>
      <c r="C14" s="306"/>
      <c r="D14" s="640"/>
      <c r="E14" s="731"/>
      <c r="F14" s="773"/>
      <c r="G14" s="163"/>
      <c r="H14" s="163"/>
      <c r="I14" s="163"/>
      <c r="J14" s="641"/>
      <c r="K14" s="731"/>
      <c r="L14" s="165"/>
      <c r="M14" s="527"/>
      <c r="N14" s="164"/>
      <c r="O14" s="164"/>
      <c r="P14" s="731"/>
      <c r="Q14" s="731"/>
      <c r="R14" s="647"/>
      <c r="S14" s="308"/>
      <c r="T14" s="309"/>
      <c r="U14" s="309"/>
      <c r="V14" s="232"/>
      <c r="W14" s="309"/>
      <c r="X14" s="310"/>
      <c r="Y14" s="309"/>
      <c r="Z14" s="309"/>
      <c r="AA14" s="577"/>
      <c r="AB14" s="309"/>
      <c r="AC14" s="315"/>
      <c r="AD14" s="596"/>
      <c r="AE14" s="579"/>
      <c r="AF14" s="524"/>
      <c r="AG14" s="252"/>
      <c r="AH14" s="461"/>
      <c r="AI14" s="252"/>
      <c r="AJ14" s="252"/>
      <c r="AK14" s="252"/>
      <c r="AL14" s="252"/>
      <c r="AM14" s="252"/>
      <c r="AN14" s="252"/>
      <c r="AO14" s="252"/>
      <c r="AP14" s="461"/>
      <c r="AQ14" s="252"/>
      <c r="AR14" s="461"/>
      <c r="AS14" s="252"/>
      <c r="AT14" s="252"/>
      <c r="AU14" s="252"/>
      <c r="AV14" s="252"/>
      <c r="AW14" s="252"/>
    </row>
    <row r="15" spans="1:49" s="141" customFormat="1" ht="15" customHeight="1">
      <c r="A15" s="231">
        <f t="shared" si="0"/>
        <v>10</v>
      </c>
      <c r="B15" s="767"/>
      <c r="C15" s="306"/>
      <c r="D15" s="640"/>
      <c r="E15" s="714"/>
      <c r="F15" s="769"/>
      <c r="G15" s="163"/>
      <c r="H15" s="163"/>
      <c r="I15" s="163"/>
      <c r="J15" s="641"/>
      <c r="K15" s="714"/>
      <c r="L15" s="165"/>
      <c r="M15" s="527"/>
      <c r="N15" s="164"/>
      <c r="O15" s="164"/>
      <c r="P15" s="714"/>
      <c r="Q15" s="714"/>
      <c r="R15" s="647"/>
      <c r="S15" s="308"/>
      <c r="T15" s="309"/>
      <c r="U15" s="309"/>
      <c r="V15" s="232"/>
      <c r="W15" s="309"/>
      <c r="X15" s="310"/>
      <c r="Y15" s="309"/>
      <c r="Z15" s="309"/>
      <c r="AA15" s="577"/>
      <c r="AB15" s="309"/>
      <c r="AC15" s="315"/>
      <c r="AD15" s="596"/>
      <c r="AE15" s="579"/>
      <c r="AF15" s="524"/>
      <c r="AG15" s="252"/>
      <c r="AH15" s="461"/>
      <c r="AI15" s="252"/>
      <c r="AJ15" s="252"/>
      <c r="AK15" s="252"/>
      <c r="AL15" s="252"/>
      <c r="AM15" s="252"/>
      <c r="AN15" s="252"/>
      <c r="AO15" s="252"/>
      <c r="AP15" s="461"/>
      <c r="AQ15" s="252"/>
      <c r="AR15" s="461"/>
      <c r="AS15" s="252"/>
      <c r="AT15" s="252"/>
      <c r="AU15" s="252"/>
      <c r="AV15" s="252"/>
      <c r="AW15" s="252"/>
    </row>
    <row r="16" spans="1:49" s="141" customFormat="1" ht="15.75" customHeight="1">
      <c r="A16" s="231">
        <f t="shared" si="0"/>
        <v>11</v>
      </c>
      <c r="B16" s="766"/>
      <c r="C16" s="642"/>
      <c r="D16" s="643"/>
      <c r="E16" s="771"/>
      <c r="F16" s="774"/>
      <c r="G16" s="163"/>
      <c r="H16" s="163"/>
      <c r="I16" s="163"/>
      <c r="J16" s="644"/>
      <c r="K16" s="772"/>
      <c r="L16" s="165"/>
      <c r="M16" s="527"/>
      <c r="N16" s="164"/>
      <c r="O16" s="164"/>
      <c r="P16" s="765"/>
      <c r="Q16" s="770"/>
      <c r="R16" s="647"/>
      <c r="S16" s="308"/>
      <c r="T16" s="309"/>
      <c r="U16" s="309"/>
      <c r="V16" s="232"/>
      <c r="W16" s="309"/>
      <c r="X16" s="310"/>
      <c r="Y16" s="309"/>
      <c r="Z16" s="309"/>
      <c r="AA16" s="577"/>
      <c r="AB16" s="309"/>
      <c r="AC16" s="315"/>
      <c r="AD16" s="596"/>
      <c r="AE16" s="579"/>
      <c r="AF16" s="524"/>
      <c r="AG16" s="252"/>
      <c r="AH16" s="461"/>
      <c r="AI16" s="252"/>
      <c r="AJ16" s="252"/>
      <c r="AK16" s="252"/>
      <c r="AL16" s="252"/>
      <c r="AM16" s="252"/>
      <c r="AN16" s="252"/>
      <c r="AO16" s="252"/>
      <c r="AP16" s="461"/>
      <c r="AQ16" s="252"/>
      <c r="AR16" s="461"/>
      <c r="AS16" s="252"/>
      <c r="AT16" s="252"/>
      <c r="AU16" s="252"/>
      <c r="AV16" s="252"/>
      <c r="AW16" s="252"/>
    </row>
    <row r="17" spans="1:49" s="141" customFormat="1">
      <c r="A17" s="231">
        <f t="shared" si="0"/>
        <v>12</v>
      </c>
      <c r="B17" s="731"/>
      <c r="C17" s="306"/>
      <c r="D17" s="643"/>
      <c r="E17" s="731"/>
      <c r="F17" s="775"/>
      <c r="G17" s="163"/>
      <c r="H17" s="612"/>
      <c r="I17" s="612"/>
      <c r="J17" s="641"/>
      <c r="K17" s="731"/>
      <c r="L17" s="165"/>
      <c r="M17" s="527"/>
      <c r="N17" s="164"/>
      <c r="O17" s="164"/>
      <c r="P17" s="731"/>
      <c r="Q17" s="731"/>
      <c r="R17" s="647"/>
      <c r="S17" s="308"/>
      <c r="T17" s="309"/>
      <c r="U17" s="309"/>
      <c r="V17" s="232"/>
      <c r="W17" s="309"/>
      <c r="X17" s="310"/>
      <c r="Y17" s="309"/>
      <c r="Z17" s="309"/>
      <c r="AA17" s="577"/>
      <c r="AB17" s="309"/>
      <c r="AC17" s="315"/>
      <c r="AD17" s="596"/>
      <c r="AE17" s="579"/>
      <c r="AF17" s="524"/>
      <c r="AG17" s="252"/>
      <c r="AH17" s="461"/>
      <c r="AI17" s="252"/>
      <c r="AJ17" s="252"/>
      <c r="AK17" s="252"/>
      <c r="AL17" s="252"/>
      <c r="AM17" s="252"/>
      <c r="AN17" s="252"/>
      <c r="AO17" s="252"/>
      <c r="AP17" s="461"/>
      <c r="AQ17" s="252"/>
      <c r="AR17" s="461"/>
      <c r="AS17" s="252"/>
      <c r="AT17" s="252"/>
      <c r="AU17" s="252"/>
      <c r="AV17" s="252"/>
      <c r="AW17" s="252"/>
    </row>
    <row r="18" spans="1:49" s="141" customFormat="1">
      <c r="A18" s="231">
        <f t="shared" si="0"/>
        <v>13</v>
      </c>
      <c r="B18" s="731"/>
      <c r="C18" s="645"/>
      <c r="D18" s="643"/>
      <c r="E18" s="731"/>
      <c r="F18" s="775"/>
      <c r="G18" s="163"/>
      <c r="H18" s="646"/>
      <c r="I18" s="646"/>
      <c r="J18" s="641"/>
      <c r="K18" s="731"/>
      <c r="L18" s="165"/>
      <c r="M18" s="527"/>
      <c r="N18" s="164"/>
      <c r="O18" s="164"/>
      <c r="P18" s="731"/>
      <c r="Q18" s="731"/>
      <c r="R18" s="647"/>
      <c r="S18" s="308"/>
      <c r="T18" s="309"/>
      <c r="U18" s="309"/>
      <c r="V18" s="232"/>
      <c r="W18" s="309"/>
      <c r="X18" s="310"/>
      <c r="Y18" s="309"/>
      <c r="Z18" s="309"/>
      <c r="AA18" s="577"/>
      <c r="AB18" s="327"/>
      <c r="AC18" s="315"/>
      <c r="AD18" s="596"/>
      <c r="AE18" s="579"/>
      <c r="AF18" s="524"/>
      <c r="AH18" s="390"/>
    </row>
    <row r="19" spans="1:49" s="141" customFormat="1">
      <c r="A19" s="231">
        <f t="shared" si="0"/>
        <v>14</v>
      </c>
      <c r="B19" s="767"/>
      <c r="C19" s="306"/>
      <c r="D19" s="643"/>
      <c r="E19" s="714"/>
      <c r="F19" s="776"/>
      <c r="G19" s="163"/>
      <c r="H19" s="163"/>
      <c r="I19" s="163"/>
      <c r="J19" s="641"/>
      <c r="K19" s="714"/>
      <c r="L19" s="165"/>
      <c r="M19" s="527"/>
      <c r="N19" s="164"/>
      <c r="O19" s="164"/>
      <c r="P19" s="714"/>
      <c r="Q19" s="714"/>
      <c r="R19" s="647"/>
      <c r="S19" s="308"/>
      <c r="T19" s="309"/>
      <c r="U19" s="309"/>
      <c r="V19" s="232"/>
      <c r="W19" s="309"/>
      <c r="X19" s="310"/>
      <c r="Y19" s="309"/>
      <c r="Z19" s="309"/>
      <c r="AA19" s="577"/>
      <c r="AB19" s="327"/>
      <c r="AC19" s="315"/>
      <c r="AD19" s="596"/>
      <c r="AE19" s="579"/>
      <c r="AF19" s="524"/>
      <c r="AH19" s="390"/>
    </row>
    <row r="20" spans="1:49" s="141" customFormat="1">
      <c r="A20" s="231">
        <f t="shared" si="0"/>
        <v>15</v>
      </c>
      <c r="B20" s="675"/>
      <c r="C20" s="306"/>
      <c r="D20" s="325"/>
      <c r="E20" s="676"/>
      <c r="F20" s="456"/>
      <c r="G20" s="582"/>
      <c r="H20" s="652"/>
      <c r="I20" s="163"/>
      <c r="J20" s="641"/>
      <c r="K20" s="653"/>
      <c r="L20" s="165"/>
      <c r="M20" s="677"/>
      <c r="N20" s="164"/>
      <c r="O20" s="303"/>
      <c r="P20" s="304"/>
      <c r="Q20" s="678"/>
      <c r="R20" s="244"/>
      <c r="S20" s="308"/>
      <c r="T20" s="309"/>
      <c r="U20" s="309"/>
      <c r="V20" s="232"/>
      <c r="W20" s="309"/>
      <c r="X20" s="310"/>
      <c r="Y20" s="309"/>
      <c r="Z20" s="309"/>
      <c r="AA20" s="577"/>
      <c r="AB20" s="327"/>
      <c r="AC20" s="315"/>
      <c r="AD20" s="596"/>
      <c r="AE20" s="579"/>
      <c r="AF20" s="524"/>
      <c r="AH20" s="390"/>
    </row>
    <row r="21" spans="1:49" s="141" customFormat="1">
      <c r="A21" s="231">
        <f t="shared" si="0"/>
        <v>16</v>
      </c>
      <c r="B21" s="458"/>
      <c r="C21" s="306"/>
      <c r="D21" s="325"/>
      <c r="E21" s="329"/>
      <c r="F21" s="313"/>
      <c r="G21" s="289"/>
      <c r="H21" s="269"/>
      <c r="I21" s="269"/>
      <c r="J21" s="326"/>
      <c r="K21" s="318"/>
      <c r="L21" s="460"/>
      <c r="M21" s="460"/>
      <c r="N21" s="307"/>
      <c r="O21" s="307"/>
      <c r="P21" s="459"/>
      <c r="Q21" s="654"/>
      <c r="R21" s="314"/>
      <c r="S21" s="308"/>
      <c r="T21" s="309"/>
      <c r="U21" s="309"/>
      <c r="V21" s="309"/>
      <c r="W21" s="309"/>
      <c r="X21" s="310"/>
      <c r="Y21" s="309"/>
      <c r="Z21" s="309"/>
      <c r="AA21" s="309"/>
      <c r="AB21" s="327"/>
      <c r="AC21" s="315"/>
      <c r="AD21" s="311"/>
      <c r="AE21" s="312"/>
      <c r="AF21" s="524"/>
      <c r="AH21" s="390"/>
    </row>
    <row r="22" spans="1:49" s="141" customFormat="1">
      <c r="A22" s="231">
        <f t="shared" si="0"/>
        <v>17</v>
      </c>
      <c r="B22" s="458"/>
      <c r="C22" s="306"/>
      <c r="D22" s="325"/>
      <c r="E22" s="329"/>
      <c r="F22" s="313"/>
      <c r="G22" s="289"/>
      <c r="H22" s="269"/>
      <c r="I22" s="269"/>
      <c r="J22" s="326"/>
      <c r="K22" s="318"/>
      <c r="L22" s="460"/>
      <c r="M22" s="460"/>
      <c r="N22" s="307"/>
      <c r="O22" s="307"/>
      <c r="P22" s="459"/>
      <c r="Q22" s="654"/>
      <c r="R22" s="314"/>
      <c r="S22" s="308"/>
      <c r="T22" s="309"/>
      <c r="U22" s="309"/>
      <c r="V22" s="309"/>
      <c r="W22" s="309"/>
      <c r="X22" s="310"/>
      <c r="Y22" s="309"/>
      <c r="Z22" s="309"/>
      <c r="AA22" s="309"/>
      <c r="AB22" s="327"/>
      <c r="AC22" s="315"/>
      <c r="AD22" s="311"/>
      <c r="AE22" s="312"/>
      <c r="AF22" s="524"/>
      <c r="AH22" s="390"/>
    </row>
    <row r="23" spans="1:49" s="141" customFormat="1">
      <c r="A23" s="231">
        <f t="shared" si="0"/>
        <v>18</v>
      </c>
      <c r="B23" s="455"/>
      <c r="C23" s="306"/>
      <c r="D23" s="325"/>
      <c r="E23" s="329"/>
      <c r="F23" s="456"/>
      <c r="G23" s="453"/>
      <c r="H23" s="454"/>
      <c r="I23" s="454"/>
      <c r="J23" s="326"/>
      <c r="K23" s="318"/>
      <c r="L23" s="244"/>
      <c r="M23" s="244"/>
      <c r="N23" s="303"/>
      <c r="O23" s="303"/>
      <c r="P23" s="304"/>
      <c r="Q23" s="305"/>
      <c r="R23" s="305"/>
      <c r="S23" s="274"/>
      <c r="T23" s="232"/>
      <c r="U23" s="232"/>
      <c r="V23" s="232"/>
      <c r="W23" s="232"/>
      <c r="X23" s="233"/>
      <c r="Y23" s="232"/>
      <c r="Z23" s="232"/>
      <c r="AA23" s="232"/>
      <c r="AB23" s="330"/>
      <c r="AC23" s="230"/>
      <c r="AD23" s="331"/>
      <c r="AE23" s="438"/>
      <c r="AF23" s="522"/>
      <c r="AH23" s="390"/>
    </row>
    <row r="24" spans="1:49" s="141" customFormat="1">
      <c r="A24" s="231">
        <f t="shared" si="0"/>
        <v>19</v>
      </c>
      <c r="B24" s="455"/>
      <c r="C24" s="306"/>
      <c r="D24" s="325"/>
      <c r="E24" s="329"/>
      <c r="F24" s="456"/>
      <c r="G24" s="453"/>
      <c r="H24" s="454"/>
      <c r="I24" s="454"/>
      <c r="J24" s="326"/>
      <c r="K24" s="318"/>
      <c r="L24" s="244"/>
      <c r="M24" s="244"/>
      <c r="N24" s="303"/>
      <c r="O24" s="303"/>
      <c r="P24" s="304"/>
      <c r="Q24" s="305"/>
      <c r="R24" s="305"/>
      <c r="S24" s="274"/>
      <c r="T24" s="232"/>
      <c r="U24" s="232"/>
      <c r="V24" s="232"/>
      <c r="W24" s="232"/>
      <c r="X24" s="233"/>
      <c r="Y24" s="232"/>
      <c r="Z24" s="232"/>
      <c r="AA24" s="232"/>
      <c r="AB24" s="330"/>
      <c r="AC24" s="230"/>
      <c r="AD24" s="331"/>
      <c r="AE24" s="438"/>
      <c r="AF24" s="522"/>
      <c r="AH24" s="390"/>
    </row>
    <row r="25" spans="1:49" s="141" customFormat="1">
      <c r="A25" s="231">
        <f t="shared" si="0"/>
        <v>20</v>
      </c>
      <c r="B25" s="455"/>
      <c r="C25" s="306"/>
      <c r="D25" s="325"/>
      <c r="E25" s="329"/>
      <c r="F25" s="456"/>
      <c r="G25" s="453"/>
      <c r="H25" s="454"/>
      <c r="I25" s="454"/>
      <c r="J25" s="326"/>
      <c r="K25" s="318"/>
      <c r="L25" s="244"/>
      <c r="M25" s="244"/>
      <c r="N25" s="303"/>
      <c r="O25" s="303"/>
      <c r="P25" s="304"/>
      <c r="Q25" s="305"/>
      <c r="R25" s="305"/>
      <c r="S25" s="274"/>
      <c r="T25" s="232"/>
      <c r="U25" s="232"/>
      <c r="V25" s="232"/>
      <c r="W25" s="232"/>
      <c r="X25" s="233"/>
      <c r="Y25" s="232"/>
      <c r="Z25" s="232"/>
      <c r="AA25" s="232"/>
      <c r="AB25" s="330"/>
      <c r="AC25" s="230"/>
      <c r="AD25" s="331"/>
      <c r="AE25" s="438"/>
      <c r="AF25" s="522"/>
      <c r="AH25" s="390"/>
    </row>
    <row r="26" spans="1:49" s="141" customFormat="1">
      <c r="A26" s="231">
        <f t="shared" si="0"/>
        <v>21</v>
      </c>
      <c r="B26" s="455"/>
      <c r="C26" s="306"/>
      <c r="D26" s="325"/>
      <c r="E26" s="329"/>
      <c r="F26" s="456"/>
      <c r="G26" s="453"/>
      <c r="H26" s="454"/>
      <c r="I26" s="454"/>
      <c r="J26" s="326"/>
      <c r="K26" s="318"/>
      <c r="L26" s="244"/>
      <c r="M26" s="244"/>
      <c r="N26" s="303"/>
      <c r="O26" s="303"/>
      <c r="P26" s="304"/>
      <c r="Q26" s="305"/>
      <c r="R26" s="305"/>
      <c r="S26" s="274"/>
      <c r="T26" s="232"/>
      <c r="U26" s="232"/>
      <c r="V26" s="232"/>
      <c r="W26" s="232"/>
      <c r="X26" s="233"/>
      <c r="Y26" s="232"/>
      <c r="Z26" s="232"/>
      <c r="AA26" s="232"/>
      <c r="AB26" s="330"/>
      <c r="AC26" s="230"/>
      <c r="AD26" s="331"/>
      <c r="AE26" s="438"/>
      <c r="AF26" s="522"/>
      <c r="AH26" s="390"/>
    </row>
    <row r="27" spans="1:49" s="141" customFormat="1">
      <c r="A27" s="231">
        <f t="shared" si="0"/>
        <v>22</v>
      </c>
      <c r="B27" s="455"/>
      <c r="C27" s="306"/>
      <c r="D27" s="325"/>
      <c r="E27" s="329"/>
      <c r="F27" s="456"/>
      <c r="G27" s="453"/>
      <c r="H27" s="454"/>
      <c r="I27" s="454"/>
      <c r="J27" s="326"/>
      <c r="K27" s="318"/>
      <c r="L27" s="244"/>
      <c r="M27" s="244"/>
      <c r="N27" s="303"/>
      <c r="O27" s="303"/>
      <c r="P27" s="304"/>
      <c r="Q27" s="305"/>
      <c r="R27" s="305"/>
      <c r="S27" s="274"/>
      <c r="T27" s="232"/>
      <c r="U27" s="232"/>
      <c r="V27" s="232"/>
      <c r="W27" s="232"/>
      <c r="X27" s="233"/>
      <c r="Y27" s="232"/>
      <c r="Z27" s="232"/>
      <c r="AA27" s="232"/>
      <c r="AB27" s="330"/>
      <c r="AC27" s="230"/>
      <c r="AD27" s="331"/>
      <c r="AE27" s="438"/>
      <c r="AF27" s="522"/>
      <c r="AH27" s="390"/>
    </row>
    <row r="28" spans="1:49" s="141" customFormat="1">
      <c r="A28" s="231">
        <f t="shared" si="0"/>
        <v>23</v>
      </c>
      <c r="B28" s="455"/>
      <c r="C28" s="306"/>
      <c r="D28" s="325"/>
      <c r="E28" s="329"/>
      <c r="F28" s="456"/>
      <c r="G28" s="453"/>
      <c r="H28" s="454"/>
      <c r="I28" s="454"/>
      <c r="J28" s="326"/>
      <c r="K28" s="318"/>
      <c r="L28" s="244"/>
      <c r="M28" s="244"/>
      <c r="N28" s="303"/>
      <c r="O28" s="303"/>
      <c r="P28" s="304"/>
      <c r="Q28" s="305"/>
      <c r="R28" s="305"/>
      <c r="S28" s="274"/>
      <c r="T28" s="232"/>
      <c r="U28" s="232"/>
      <c r="V28" s="232"/>
      <c r="W28" s="232"/>
      <c r="X28" s="233"/>
      <c r="Y28" s="232"/>
      <c r="Z28" s="232"/>
      <c r="AA28" s="232"/>
      <c r="AB28" s="330"/>
      <c r="AC28" s="230"/>
      <c r="AD28" s="331"/>
      <c r="AE28" s="438"/>
      <c r="AF28" s="522"/>
      <c r="AH28" s="390"/>
    </row>
    <row r="29" spans="1:49" s="141" customFormat="1">
      <c r="A29" s="231">
        <f t="shared" si="0"/>
        <v>24</v>
      </c>
      <c r="B29" s="455"/>
      <c r="C29" s="306"/>
      <c r="D29" s="325"/>
      <c r="E29" s="329"/>
      <c r="F29" s="456"/>
      <c r="G29" s="453"/>
      <c r="H29" s="454"/>
      <c r="I29" s="454"/>
      <c r="J29" s="326"/>
      <c r="K29" s="318"/>
      <c r="L29" s="244"/>
      <c r="M29" s="244"/>
      <c r="N29" s="303"/>
      <c r="O29" s="303"/>
      <c r="P29" s="304"/>
      <c r="Q29" s="305"/>
      <c r="R29" s="305"/>
      <c r="S29" s="274"/>
      <c r="T29" s="232"/>
      <c r="U29" s="232"/>
      <c r="V29" s="232"/>
      <c r="W29" s="232"/>
      <c r="X29" s="233"/>
      <c r="Y29" s="232"/>
      <c r="Z29" s="232"/>
      <c r="AA29" s="232"/>
      <c r="AB29" s="330"/>
      <c r="AC29" s="230"/>
      <c r="AD29" s="331"/>
      <c r="AE29" s="438"/>
      <c r="AF29" s="522"/>
      <c r="AH29" s="390"/>
    </row>
    <row r="30" spans="1:49" s="141" customFormat="1">
      <c r="A30" s="231">
        <f t="shared" si="0"/>
        <v>25</v>
      </c>
      <c r="B30" s="455"/>
      <c r="C30" s="306"/>
      <c r="D30" s="325"/>
      <c r="E30" s="329"/>
      <c r="F30" s="456"/>
      <c r="G30" s="453"/>
      <c r="H30" s="454"/>
      <c r="I30" s="454"/>
      <c r="J30" s="326"/>
      <c r="K30" s="318"/>
      <c r="L30" s="244"/>
      <c r="M30" s="244"/>
      <c r="N30" s="303"/>
      <c r="O30" s="303"/>
      <c r="P30" s="304"/>
      <c r="Q30" s="305"/>
      <c r="R30" s="305"/>
      <c r="S30" s="274"/>
      <c r="T30" s="232"/>
      <c r="U30" s="232"/>
      <c r="V30" s="232"/>
      <c r="W30" s="232"/>
      <c r="X30" s="233"/>
      <c r="Y30" s="232"/>
      <c r="Z30" s="232"/>
      <c r="AA30" s="232"/>
      <c r="AB30" s="330"/>
      <c r="AC30" s="230"/>
      <c r="AD30" s="331"/>
      <c r="AE30" s="438"/>
      <c r="AF30" s="522"/>
      <c r="AH30" s="390"/>
    </row>
    <row r="31" spans="1:49" s="141" customFormat="1">
      <c r="A31" s="231">
        <f t="shared" si="0"/>
        <v>26</v>
      </c>
      <c r="B31" s="455"/>
      <c r="C31" s="306"/>
      <c r="D31" s="325"/>
      <c r="E31" s="329"/>
      <c r="F31" s="456"/>
      <c r="G31" s="453"/>
      <c r="H31" s="454"/>
      <c r="I31" s="454"/>
      <c r="J31" s="326"/>
      <c r="K31" s="318"/>
      <c r="L31" s="244"/>
      <c r="M31" s="244"/>
      <c r="N31" s="303"/>
      <c r="O31" s="303"/>
      <c r="P31" s="304"/>
      <c r="Q31" s="305"/>
      <c r="R31" s="305"/>
      <c r="S31" s="274"/>
      <c r="T31" s="232"/>
      <c r="U31" s="232"/>
      <c r="V31" s="232"/>
      <c r="W31" s="232"/>
      <c r="X31" s="233"/>
      <c r="Y31" s="232"/>
      <c r="Z31" s="232"/>
      <c r="AA31" s="232"/>
      <c r="AB31" s="330"/>
      <c r="AC31" s="230"/>
      <c r="AD31" s="331"/>
      <c r="AE31" s="438"/>
      <c r="AF31" s="522"/>
      <c r="AH31" s="390"/>
    </row>
    <row r="32" spans="1:49" s="141" customFormat="1">
      <c r="A32" s="231">
        <f t="shared" si="0"/>
        <v>27</v>
      </c>
      <c r="B32" s="455"/>
      <c r="C32" s="306"/>
      <c r="D32" s="325"/>
      <c r="E32" s="329"/>
      <c r="F32" s="456"/>
      <c r="G32" s="453"/>
      <c r="H32" s="454"/>
      <c r="I32" s="454"/>
      <c r="J32" s="326"/>
      <c r="K32" s="318"/>
      <c r="L32" s="244"/>
      <c r="M32" s="244"/>
      <c r="N32" s="303"/>
      <c r="O32" s="303"/>
      <c r="P32" s="304"/>
      <c r="Q32" s="305"/>
      <c r="R32" s="305"/>
      <c r="S32" s="274"/>
      <c r="T32" s="232"/>
      <c r="U32" s="232"/>
      <c r="V32" s="232"/>
      <c r="W32" s="232"/>
      <c r="X32" s="233"/>
      <c r="Y32" s="232"/>
      <c r="Z32" s="232"/>
      <c r="AA32" s="232"/>
      <c r="AB32" s="330"/>
      <c r="AC32" s="230"/>
      <c r="AD32" s="331"/>
      <c r="AE32" s="438"/>
      <c r="AF32" s="522"/>
      <c r="AH32" s="390"/>
    </row>
    <row r="33" spans="1:34" s="141" customFormat="1">
      <c r="A33" s="231">
        <f t="shared" si="0"/>
        <v>28</v>
      </c>
      <c r="B33" s="455"/>
      <c r="C33" s="306"/>
      <c r="D33" s="325"/>
      <c r="E33" s="329"/>
      <c r="F33" s="456"/>
      <c r="G33" s="453"/>
      <c r="H33" s="454"/>
      <c r="I33" s="454"/>
      <c r="J33" s="326"/>
      <c r="K33" s="318"/>
      <c r="L33" s="244"/>
      <c r="M33" s="244"/>
      <c r="N33" s="303"/>
      <c r="O33" s="303"/>
      <c r="P33" s="304"/>
      <c r="Q33" s="305"/>
      <c r="R33" s="305"/>
      <c r="S33" s="274"/>
      <c r="T33" s="232"/>
      <c r="U33" s="232"/>
      <c r="V33" s="232"/>
      <c r="W33" s="232"/>
      <c r="X33" s="233"/>
      <c r="Y33" s="232"/>
      <c r="Z33" s="232"/>
      <c r="AA33" s="232"/>
      <c r="AB33" s="330"/>
      <c r="AC33" s="230"/>
      <c r="AD33" s="331"/>
      <c r="AE33" s="438"/>
      <c r="AF33" s="522"/>
      <c r="AH33" s="390"/>
    </row>
    <row r="34" spans="1:34" s="141" customFormat="1">
      <c r="A34" s="231">
        <f t="shared" si="0"/>
        <v>29</v>
      </c>
      <c r="B34" s="455"/>
      <c r="C34" s="306"/>
      <c r="D34" s="325"/>
      <c r="E34" s="329"/>
      <c r="F34" s="456"/>
      <c r="G34" s="453"/>
      <c r="H34" s="454"/>
      <c r="I34" s="454"/>
      <c r="J34" s="326"/>
      <c r="K34" s="318"/>
      <c r="L34" s="244"/>
      <c r="M34" s="244"/>
      <c r="N34" s="303"/>
      <c r="O34" s="303"/>
      <c r="P34" s="304"/>
      <c r="Q34" s="305"/>
      <c r="R34" s="305"/>
      <c r="S34" s="274"/>
      <c r="T34" s="232"/>
      <c r="U34" s="232"/>
      <c r="V34" s="232"/>
      <c r="W34" s="232"/>
      <c r="X34" s="233"/>
      <c r="Y34" s="232"/>
      <c r="Z34" s="232"/>
      <c r="AA34" s="232"/>
      <c r="AB34" s="330"/>
      <c r="AC34" s="230"/>
      <c r="AD34" s="331"/>
      <c r="AE34" s="438"/>
      <c r="AF34" s="522"/>
      <c r="AH34" s="390"/>
    </row>
    <row r="35" spans="1:34" s="141" customFormat="1">
      <c r="A35" s="231">
        <f t="shared" si="0"/>
        <v>30</v>
      </c>
      <c r="B35" s="455"/>
      <c r="C35" s="306"/>
      <c r="D35" s="325"/>
      <c r="E35" s="329"/>
      <c r="F35" s="456"/>
      <c r="G35" s="453"/>
      <c r="H35" s="454"/>
      <c r="I35" s="454"/>
      <c r="J35" s="326"/>
      <c r="K35" s="318"/>
      <c r="L35" s="244"/>
      <c r="M35" s="244"/>
      <c r="N35" s="303"/>
      <c r="O35" s="303"/>
      <c r="P35" s="304"/>
      <c r="Q35" s="305"/>
      <c r="R35" s="305"/>
      <c r="S35" s="274"/>
      <c r="T35" s="232"/>
      <c r="U35" s="232"/>
      <c r="V35" s="232"/>
      <c r="W35" s="232"/>
      <c r="X35" s="233"/>
      <c r="Y35" s="232"/>
      <c r="Z35" s="232"/>
      <c r="AA35" s="232"/>
      <c r="AB35" s="330"/>
      <c r="AC35" s="230"/>
      <c r="AD35" s="331"/>
      <c r="AE35" s="438"/>
      <c r="AF35" s="522"/>
      <c r="AH35" s="390"/>
    </row>
    <row r="36" spans="1:34" s="141" customFormat="1">
      <c r="A36" s="231">
        <f t="shared" si="0"/>
        <v>31</v>
      </c>
      <c r="B36" s="455"/>
      <c r="C36" s="306"/>
      <c r="D36" s="325"/>
      <c r="E36" s="329"/>
      <c r="F36" s="456"/>
      <c r="G36" s="453"/>
      <c r="H36" s="454"/>
      <c r="I36" s="454"/>
      <c r="J36" s="326"/>
      <c r="K36" s="318"/>
      <c r="L36" s="244"/>
      <c r="M36" s="244"/>
      <c r="N36" s="303"/>
      <c r="O36" s="303"/>
      <c r="P36" s="304"/>
      <c r="Q36" s="305"/>
      <c r="R36" s="305"/>
      <c r="S36" s="274"/>
      <c r="T36" s="232"/>
      <c r="U36" s="232"/>
      <c r="V36" s="232"/>
      <c r="W36" s="232"/>
      <c r="X36" s="233"/>
      <c r="Y36" s="232"/>
      <c r="Z36" s="232"/>
      <c r="AA36" s="232"/>
      <c r="AB36" s="330"/>
      <c r="AC36" s="230"/>
      <c r="AD36" s="331"/>
      <c r="AE36" s="438"/>
      <c r="AF36" s="522"/>
      <c r="AH36" s="390"/>
    </row>
    <row r="37" spans="1:34" s="141" customFormat="1">
      <c r="A37" s="231">
        <f t="shared" si="0"/>
        <v>32</v>
      </c>
      <c r="B37" s="455"/>
      <c r="C37" s="306"/>
      <c r="D37" s="325"/>
      <c r="E37" s="329"/>
      <c r="F37" s="456"/>
      <c r="G37" s="453"/>
      <c r="H37" s="454"/>
      <c r="I37" s="454"/>
      <c r="J37" s="326"/>
      <c r="K37" s="318"/>
      <c r="L37" s="244"/>
      <c r="M37" s="244"/>
      <c r="N37" s="303"/>
      <c r="O37" s="303"/>
      <c r="P37" s="304"/>
      <c r="Q37" s="305"/>
      <c r="R37" s="305"/>
      <c r="S37" s="274"/>
      <c r="T37" s="232"/>
      <c r="U37" s="232"/>
      <c r="V37" s="232"/>
      <c r="W37" s="232"/>
      <c r="X37" s="233"/>
      <c r="Y37" s="232"/>
      <c r="Z37" s="232"/>
      <c r="AA37" s="232"/>
      <c r="AB37" s="330"/>
      <c r="AC37" s="230"/>
      <c r="AD37" s="331"/>
      <c r="AE37" s="438"/>
      <c r="AF37" s="522"/>
      <c r="AH37" s="390"/>
    </row>
    <row r="38" spans="1:34" s="141" customFormat="1">
      <c r="A38" s="231">
        <f t="shared" si="0"/>
        <v>33</v>
      </c>
      <c r="B38" s="455"/>
      <c r="C38" s="306"/>
      <c r="D38" s="325"/>
      <c r="E38" s="329"/>
      <c r="F38" s="456"/>
      <c r="G38" s="453"/>
      <c r="H38" s="454"/>
      <c r="I38" s="454"/>
      <c r="J38" s="326"/>
      <c r="K38" s="318"/>
      <c r="L38" s="244"/>
      <c r="M38" s="244"/>
      <c r="N38" s="303"/>
      <c r="O38" s="303"/>
      <c r="P38" s="304"/>
      <c r="Q38" s="305"/>
      <c r="R38" s="305"/>
      <c r="S38" s="274"/>
      <c r="T38" s="232"/>
      <c r="U38" s="232"/>
      <c r="V38" s="232"/>
      <c r="W38" s="232"/>
      <c r="X38" s="233"/>
      <c r="Y38" s="232"/>
      <c r="Z38" s="232"/>
      <c r="AA38" s="232"/>
      <c r="AB38" s="330"/>
      <c r="AC38" s="230"/>
      <c r="AD38" s="331"/>
      <c r="AE38" s="438"/>
      <c r="AF38" s="522"/>
      <c r="AH38" s="390"/>
    </row>
    <row r="39" spans="1:34" s="141" customFormat="1">
      <c r="A39" s="231">
        <f t="shared" ref="A39:A70" si="1">+A38+1</f>
        <v>34</v>
      </c>
      <c r="B39" s="455"/>
      <c r="C39" s="306"/>
      <c r="D39" s="325"/>
      <c r="E39" s="329"/>
      <c r="F39" s="456"/>
      <c r="G39" s="453"/>
      <c r="H39" s="454"/>
      <c r="I39" s="454"/>
      <c r="J39" s="326"/>
      <c r="K39" s="318"/>
      <c r="L39" s="244"/>
      <c r="M39" s="244"/>
      <c r="N39" s="303"/>
      <c r="O39" s="303"/>
      <c r="P39" s="304"/>
      <c r="Q39" s="305"/>
      <c r="R39" s="305"/>
      <c r="S39" s="274"/>
      <c r="T39" s="232"/>
      <c r="U39" s="232"/>
      <c r="V39" s="232"/>
      <c r="W39" s="232"/>
      <c r="X39" s="233"/>
      <c r="Y39" s="232"/>
      <c r="Z39" s="232"/>
      <c r="AA39" s="232"/>
      <c r="AB39" s="330"/>
      <c r="AC39" s="230"/>
      <c r="AD39" s="331"/>
      <c r="AE39" s="438"/>
      <c r="AF39" s="522"/>
      <c r="AH39" s="390"/>
    </row>
    <row r="40" spans="1:34" s="141" customFormat="1">
      <c r="A40" s="231">
        <f t="shared" si="1"/>
        <v>35</v>
      </c>
      <c r="B40" s="455"/>
      <c r="C40" s="306"/>
      <c r="D40" s="325"/>
      <c r="E40" s="329"/>
      <c r="F40" s="456"/>
      <c r="G40" s="453"/>
      <c r="H40" s="454"/>
      <c r="I40" s="454"/>
      <c r="J40" s="326"/>
      <c r="K40" s="318"/>
      <c r="L40" s="244"/>
      <c r="M40" s="244"/>
      <c r="N40" s="303"/>
      <c r="O40" s="303"/>
      <c r="P40" s="304"/>
      <c r="Q40" s="305"/>
      <c r="R40" s="305"/>
      <c r="S40" s="274"/>
      <c r="T40" s="232"/>
      <c r="U40" s="232"/>
      <c r="V40" s="232"/>
      <c r="W40" s="232"/>
      <c r="X40" s="233"/>
      <c r="Y40" s="232"/>
      <c r="Z40" s="232"/>
      <c r="AA40" s="232"/>
      <c r="AB40" s="330"/>
      <c r="AC40" s="230"/>
      <c r="AD40" s="331"/>
      <c r="AE40" s="438"/>
      <c r="AF40" s="522"/>
      <c r="AH40" s="390"/>
    </row>
    <row r="41" spans="1:34" s="141" customFormat="1">
      <c r="A41" s="231">
        <f t="shared" si="1"/>
        <v>36</v>
      </c>
      <c r="B41" s="455"/>
      <c r="C41" s="306"/>
      <c r="D41" s="325"/>
      <c r="E41" s="329"/>
      <c r="F41" s="456"/>
      <c r="G41" s="453"/>
      <c r="H41" s="454"/>
      <c r="I41" s="454"/>
      <c r="J41" s="326"/>
      <c r="K41" s="318"/>
      <c r="L41" s="244"/>
      <c r="M41" s="244"/>
      <c r="N41" s="303"/>
      <c r="O41" s="303"/>
      <c r="P41" s="304"/>
      <c r="Q41" s="305"/>
      <c r="R41" s="305"/>
      <c r="S41" s="274"/>
      <c r="T41" s="232"/>
      <c r="U41" s="232"/>
      <c r="V41" s="232"/>
      <c r="W41" s="232"/>
      <c r="X41" s="233"/>
      <c r="Y41" s="232"/>
      <c r="Z41" s="232"/>
      <c r="AA41" s="232"/>
      <c r="AB41" s="330"/>
      <c r="AC41" s="230"/>
      <c r="AD41" s="331"/>
      <c r="AE41" s="438"/>
      <c r="AF41" s="522"/>
      <c r="AH41" s="390"/>
    </row>
    <row r="42" spans="1:34" s="141" customFormat="1">
      <c r="A42" s="231">
        <f t="shared" si="1"/>
        <v>37</v>
      </c>
      <c r="B42" s="455"/>
      <c r="C42" s="306"/>
      <c r="D42" s="325"/>
      <c r="E42" s="329"/>
      <c r="F42" s="456"/>
      <c r="G42" s="453"/>
      <c r="H42" s="454"/>
      <c r="I42" s="454"/>
      <c r="J42" s="326"/>
      <c r="K42" s="318"/>
      <c r="L42" s="244"/>
      <c r="M42" s="244"/>
      <c r="N42" s="303"/>
      <c r="O42" s="303"/>
      <c r="P42" s="304"/>
      <c r="Q42" s="305"/>
      <c r="R42" s="305"/>
      <c r="S42" s="274"/>
      <c r="T42" s="232"/>
      <c r="U42" s="232"/>
      <c r="V42" s="232"/>
      <c r="W42" s="232"/>
      <c r="X42" s="233"/>
      <c r="Y42" s="232"/>
      <c r="Z42" s="232"/>
      <c r="AA42" s="232"/>
      <c r="AB42" s="330"/>
      <c r="AC42" s="230"/>
      <c r="AD42" s="331"/>
      <c r="AE42" s="438"/>
      <c r="AF42" s="522"/>
      <c r="AH42" s="390"/>
    </row>
    <row r="43" spans="1:34" s="141" customFormat="1">
      <c r="A43" s="231">
        <f t="shared" si="1"/>
        <v>38</v>
      </c>
      <c r="B43" s="455"/>
      <c r="C43" s="306"/>
      <c r="D43" s="325"/>
      <c r="E43" s="329"/>
      <c r="F43" s="456"/>
      <c r="G43" s="453"/>
      <c r="H43" s="454"/>
      <c r="I43" s="454"/>
      <c r="J43" s="326"/>
      <c r="K43" s="318"/>
      <c r="L43" s="244"/>
      <c r="M43" s="244"/>
      <c r="N43" s="303"/>
      <c r="O43" s="303"/>
      <c r="P43" s="304"/>
      <c r="Q43" s="305"/>
      <c r="R43" s="305"/>
      <c r="S43" s="274"/>
      <c r="T43" s="232"/>
      <c r="U43" s="232"/>
      <c r="V43" s="232"/>
      <c r="W43" s="232"/>
      <c r="X43" s="233"/>
      <c r="Y43" s="232"/>
      <c r="Z43" s="232"/>
      <c r="AA43" s="232"/>
      <c r="AB43" s="330"/>
      <c r="AC43" s="230"/>
      <c r="AD43" s="331"/>
      <c r="AE43" s="438"/>
      <c r="AF43" s="522"/>
      <c r="AH43" s="390"/>
    </row>
    <row r="44" spans="1:34" s="141" customFormat="1">
      <c r="A44" s="231">
        <f t="shared" si="1"/>
        <v>39</v>
      </c>
      <c r="B44" s="455"/>
      <c r="C44" s="306"/>
      <c r="D44" s="325"/>
      <c r="E44" s="329"/>
      <c r="F44" s="456"/>
      <c r="G44" s="453"/>
      <c r="H44" s="454"/>
      <c r="I44" s="454"/>
      <c r="J44" s="326"/>
      <c r="K44" s="318"/>
      <c r="L44" s="244"/>
      <c r="M44" s="244"/>
      <c r="N44" s="303"/>
      <c r="O44" s="303"/>
      <c r="P44" s="304"/>
      <c r="Q44" s="305"/>
      <c r="R44" s="305"/>
      <c r="S44" s="274"/>
      <c r="T44" s="232"/>
      <c r="U44" s="232"/>
      <c r="V44" s="232"/>
      <c r="W44" s="232"/>
      <c r="X44" s="233"/>
      <c r="Y44" s="232"/>
      <c r="Z44" s="232"/>
      <c r="AA44" s="232"/>
      <c r="AB44" s="330"/>
      <c r="AC44" s="230"/>
      <c r="AD44" s="331"/>
      <c r="AE44" s="438"/>
      <c r="AF44" s="522"/>
      <c r="AH44" s="390"/>
    </row>
    <row r="45" spans="1:34" s="141" customFormat="1">
      <c r="A45" s="231">
        <f t="shared" si="1"/>
        <v>40</v>
      </c>
      <c r="B45" s="455"/>
      <c r="C45" s="306"/>
      <c r="D45" s="325"/>
      <c r="E45" s="329"/>
      <c r="F45" s="456"/>
      <c r="G45" s="453"/>
      <c r="H45" s="454"/>
      <c r="I45" s="454"/>
      <c r="J45" s="326"/>
      <c r="K45" s="318"/>
      <c r="L45" s="244"/>
      <c r="M45" s="244"/>
      <c r="N45" s="303"/>
      <c r="O45" s="303"/>
      <c r="P45" s="304"/>
      <c r="Q45" s="305"/>
      <c r="R45" s="305"/>
      <c r="S45" s="274"/>
      <c r="T45" s="232"/>
      <c r="U45" s="232"/>
      <c r="V45" s="232"/>
      <c r="W45" s="232"/>
      <c r="X45" s="233"/>
      <c r="Y45" s="232"/>
      <c r="Z45" s="232"/>
      <c r="AA45" s="232"/>
      <c r="AB45" s="330"/>
      <c r="AC45" s="230"/>
      <c r="AD45" s="331"/>
      <c r="AE45" s="438"/>
      <c r="AF45" s="522"/>
      <c r="AH45" s="390"/>
    </row>
    <row r="46" spans="1:34" s="141" customFormat="1">
      <c r="A46" s="231">
        <f t="shared" si="1"/>
        <v>41</v>
      </c>
      <c r="B46" s="455"/>
      <c r="C46" s="306"/>
      <c r="D46" s="325"/>
      <c r="E46" s="329"/>
      <c r="F46" s="456"/>
      <c r="G46" s="453"/>
      <c r="H46" s="454"/>
      <c r="I46" s="454"/>
      <c r="J46" s="326"/>
      <c r="K46" s="318"/>
      <c r="L46" s="244"/>
      <c r="M46" s="244"/>
      <c r="N46" s="303"/>
      <c r="O46" s="303"/>
      <c r="P46" s="304"/>
      <c r="Q46" s="305"/>
      <c r="R46" s="305"/>
      <c r="S46" s="274"/>
      <c r="T46" s="232"/>
      <c r="U46" s="232"/>
      <c r="V46" s="232"/>
      <c r="W46" s="232"/>
      <c r="X46" s="233"/>
      <c r="Y46" s="232"/>
      <c r="Z46" s="232"/>
      <c r="AA46" s="232"/>
      <c r="AB46" s="330"/>
      <c r="AC46" s="230"/>
      <c r="AD46" s="331"/>
      <c r="AE46" s="438"/>
      <c r="AF46" s="522"/>
      <c r="AH46" s="390"/>
    </row>
    <row r="47" spans="1:34" s="141" customFormat="1">
      <c r="A47" s="231">
        <f t="shared" si="1"/>
        <v>42</v>
      </c>
      <c r="B47" s="455"/>
      <c r="C47" s="306"/>
      <c r="D47" s="325"/>
      <c r="E47" s="329"/>
      <c r="F47" s="456"/>
      <c r="G47" s="453"/>
      <c r="H47" s="454"/>
      <c r="I47" s="454"/>
      <c r="J47" s="326"/>
      <c r="K47" s="318"/>
      <c r="L47" s="244"/>
      <c r="M47" s="244"/>
      <c r="N47" s="303"/>
      <c r="O47" s="303"/>
      <c r="P47" s="304"/>
      <c r="Q47" s="305"/>
      <c r="R47" s="305"/>
      <c r="S47" s="274"/>
      <c r="T47" s="232"/>
      <c r="U47" s="232"/>
      <c r="V47" s="232"/>
      <c r="W47" s="232"/>
      <c r="X47" s="233"/>
      <c r="Y47" s="232"/>
      <c r="Z47" s="232"/>
      <c r="AA47" s="232"/>
      <c r="AB47" s="330"/>
      <c r="AC47" s="230"/>
      <c r="AD47" s="331"/>
      <c r="AE47" s="438"/>
      <c r="AF47" s="522"/>
      <c r="AH47" s="390"/>
    </row>
    <row r="48" spans="1:34" s="141" customFormat="1">
      <c r="A48" s="231">
        <f t="shared" si="1"/>
        <v>43</v>
      </c>
      <c r="B48" s="455"/>
      <c r="C48" s="306"/>
      <c r="D48" s="325"/>
      <c r="E48" s="329"/>
      <c r="F48" s="456"/>
      <c r="G48" s="453"/>
      <c r="H48" s="454"/>
      <c r="I48" s="454"/>
      <c r="J48" s="326"/>
      <c r="K48" s="318"/>
      <c r="L48" s="244"/>
      <c r="M48" s="244"/>
      <c r="N48" s="303"/>
      <c r="O48" s="303"/>
      <c r="P48" s="304"/>
      <c r="Q48" s="305"/>
      <c r="R48" s="305"/>
      <c r="S48" s="274"/>
      <c r="T48" s="232"/>
      <c r="U48" s="232"/>
      <c r="V48" s="232"/>
      <c r="W48" s="232"/>
      <c r="X48" s="233"/>
      <c r="Y48" s="232"/>
      <c r="Z48" s="232"/>
      <c r="AA48" s="232"/>
      <c r="AB48" s="330"/>
      <c r="AC48" s="230"/>
      <c r="AD48" s="331"/>
      <c r="AE48" s="438"/>
      <c r="AF48" s="522"/>
      <c r="AH48" s="390"/>
    </row>
    <row r="49" spans="1:34" s="141" customFormat="1">
      <c r="A49" s="231">
        <f t="shared" si="1"/>
        <v>44</v>
      </c>
      <c r="B49" s="457"/>
      <c r="C49" s="306"/>
      <c r="D49" s="325"/>
      <c r="E49" s="329"/>
      <c r="F49" s="456"/>
      <c r="G49" s="453"/>
      <c r="H49" s="454"/>
      <c r="I49" s="454"/>
      <c r="J49" s="326"/>
      <c r="K49" s="318"/>
      <c r="L49" s="244"/>
      <c r="M49" s="244"/>
      <c r="N49" s="303"/>
      <c r="O49" s="303"/>
      <c r="P49" s="304"/>
      <c r="Q49" s="305"/>
      <c r="R49" s="305"/>
      <c r="S49" s="274"/>
      <c r="T49" s="232"/>
      <c r="U49" s="232"/>
      <c r="V49" s="232"/>
      <c r="W49" s="232"/>
      <c r="X49" s="233"/>
      <c r="Y49" s="232"/>
      <c r="Z49" s="232"/>
      <c r="AA49" s="232"/>
      <c r="AB49" s="330"/>
      <c r="AC49" s="230"/>
      <c r="AD49" s="331"/>
      <c r="AE49" s="438"/>
      <c r="AF49" s="522"/>
      <c r="AH49" s="390"/>
    </row>
    <row r="50" spans="1:34" s="141" customFormat="1">
      <c r="A50" s="251">
        <f t="shared" si="1"/>
        <v>45</v>
      </c>
      <c r="B50" s="457"/>
      <c r="C50" s="306"/>
      <c r="D50" s="325"/>
      <c r="E50" s="329"/>
      <c r="F50" s="456"/>
      <c r="G50" s="453"/>
      <c r="H50" s="454"/>
      <c r="I50" s="454"/>
      <c r="J50" s="326"/>
      <c r="K50" s="318"/>
      <c r="L50" s="244"/>
      <c r="M50" s="244"/>
      <c r="N50" s="303"/>
      <c r="O50" s="303"/>
      <c r="P50" s="304"/>
      <c r="Q50" s="305"/>
      <c r="R50" s="305"/>
      <c r="S50" s="274"/>
      <c r="T50" s="232"/>
      <c r="U50" s="232"/>
      <c r="V50" s="232"/>
      <c r="W50" s="232"/>
      <c r="X50" s="233"/>
      <c r="Y50" s="232"/>
      <c r="Z50" s="232"/>
      <c r="AA50" s="232"/>
      <c r="AB50" s="330"/>
      <c r="AC50" s="230"/>
      <c r="AD50" s="331"/>
      <c r="AE50" s="438"/>
      <c r="AF50" s="522"/>
      <c r="AH50" s="390"/>
    </row>
    <row r="51" spans="1:34" s="141" customFormat="1">
      <c r="A51" s="251">
        <f t="shared" si="1"/>
        <v>46</v>
      </c>
      <c r="B51" s="457"/>
      <c r="C51" s="306"/>
      <c r="D51" s="325"/>
      <c r="E51" s="329"/>
      <c r="F51" s="456"/>
      <c r="G51" s="453"/>
      <c r="H51" s="454"/>
      <c r="I51" s="454"/>
      <c r="J51" s="326"/>
      <c r="K51" s="318"/>
      <c r="L51" s="244"/>
      <c r="M51" s="244"/>
      <c r="N51" s="303"/>
      <c r="O51" s="303"/>
      <c r="P51" s="304"/>
      <c r="Q51" s="305"/>
      <c r="R51" s="305"/>
      <c r="S51" s="274"/>
      <c r="T51" s="232"/>
      <c r="U51" s="232"/>
      <c r="V51" s="232"/>
      <c r="W51" s="232"/>
      <c r="X51" s="233"/>
      <c r="Y51" s="232"/>
      <c r="Z51" s="232"/>
      <c r="AA51" s="232"/>
      <c r="AB51" s="330"/>
      <c r="AC51" s="230"/>
      <c r="AD51" s="331"/>
      <c r="AE51" s="438"/>
      <c r="AF51" s="522"/>
      <c r="AH51" s="390"/>
    </row>
    <row r="52" spans="1:34" s="141" customFormat="1">
      <c r="A52" s="251">
        <f t="shared" si="1"/>
        <v>47</v>
      </c>
      <c r="B52" s="457"/>
      <c r="C52" s="306"/>
      <c r="D52" s="325"/>
      <c r="E52" s="329"/>
      <c r="F52" s="456"/>
      <c r="G52" s="453"/>
      <c r="H52" s="454"/>
      <c r="I52" s="454"/>
      <c r="J52" s="326"/>
      <c r="K52" s="318"/>
      <c r="L52" s="244"/>
      <c r="M52" s="244"/>
      <c r="N52" s="303"/>
      <c r="O52" s="303"/>
      <c r="P52" s="304"/>
      <c r="Q52" s="305"/>
      <c r="R52" s="305"/>
      <c r="S52" s="274"/>
      <c r="T52" s="232"/>
      <c r="U52" s="232"/>
      <c r="V52" s="232"/>
      <c r="W52" s="232"/>
      <c r="X52" s="233"/>
      <c r="Y52" s="232"/>
      <c r="Z52" s="232"/>
      <c r="AA52" s="232"/>
      <c r="AB52" s="330"/>
      <c r="AC52" s="230"/>
      <c r="AD52" s="331"/>
      <c r="AE52" s="438"/>
      <c r="AF52" s="522"/>
      <c r="AH52" s="390"/>
    </row>
    <row r="53" spans="1:34" s="141" customFormat="1">
      <c r="A53" s="251">
        <f t="shared" si="1"/>
        <v>48</v>
      </c>
      <c r="B53" s="457"/>
      <c r="C53" s="306"/>
      <c r="D53" s="325"/>
      <c r="E53" s="329"/>
      <c r="F53" s="456"/>
      <c r="G53" s="453"/>
      <c r="H53" s="454"/>
      <c r="I53" s="454"/>
      <c r="J53" s="326"/>
      <c r="K53" s="318"/>
      <c r="L53" s="244"/>
      <c r="M53" s="244"/>
      <c r="N53" s="303"/>
      <c r="O53" s="303"/>
      <c r="P53" s="304"/>
      <c r="Q53" s="305"/>
      <c r="R53" s="305"/>
      <c r="S53" s="274"/>
      <c r="T53" s="232"/>
      <c r="U53" s="232"/>
      <c r="V53" s="232"/>
      <c r="W53" s="232"/>
      <c r="X53" s="233"/>
      <c r="Y53" s="232"/>
      <c r="Z53" s="232"/>
      <c r="AA53" s="232"/>
      <c r="AB53" s="330"/>
      <c r="AC53" s="230"/>
      <c r="AD53" s="331"/>
      <c r="AE53" s="438"/>
      <c r="AF53" s="522"/>
      <c r="AH53" s="390"/>
    </row>
    <row r="54" spans="1:34" s="141" customFormat="1">
      <c r="A54" s="251">
        <f t="shared" si="1"/>
        <v>49</v>
      </c>
      <c r="B54" s="457"/>
      <c r="C54" s="306"/>
      <c r="D54" s="325"/>
      <c r="E54" s="329"/>
      <c r="F54" s="456"/>
      <c r="G54" s="453"/>
      <c r="H54" s="454"/>
      <c r="I54" s="454"/>
      <c r="J54" s="326"/>
      <c r="K54" s="318"/>
      <c r="L54" s="244"/>
      <c r="M54" s="244"/>
      <c r="N54" s="303"/>
      <c r="O54" s="303"/>
      <c r="P54" s="304"/>
      <c r="Q54" s="305"/>
      <c r="R54" s="305"/>
      <c r="S54" s="274"/>
      <c r="T54" s="232"/>
      <c r="U54" s="232"/>
      <c r="V54" s="232"/>
      <c r="W54" s="232"/>
      <c r="X54" s="233"/>
      <c r="Y54" s="232"/>
      <c r="Z54" s="232"/>
      <c r="AA54" s="232"/>
      <c r="AB54" s="330"/>
      <c r="AC54" s="230"/>
      <c r="AD54" s="331"/>
      <c r="AE54" s="438"/>
      <c r="AF54" s="522"/>
      <c r="AH54" s="390"/>
    </row>
    <row r="55" spans="1:34" s="141" customFormat="1">
      <c r="A55" s="251">
        <f t="shared" si="1"/>
        <v>50</v>
      </c>
      <c r="B55" s="457"/>
      <c r="C55" s="306"/>
      <c r="D55" s="325"/>
      <c r="E55" s="329"/>
      <c r="F55" s="456"/>
      <c r="G55" s="453"/>
      <c r="H55" s="454"/>
      <c r="I55" s="454"/>
      <c r="J55" s="326"/>
      <c r="K55" s="318"/>
      <c r="L55" s="244"/>
      <c r="M55" s="244"/>
      <c r="N55" s="303"/>
      <c r="O55" s="303"/>
      <c r="P55" s="304"/>
      <c r="Q55" s="305"/>
      <c r="R55" s="305"/>
      <c r="S55" s="274"/>
      <c r="T55" s="232"/>
      <c r="U55" s="232"/>
      <c r="V55" s="232"/>
      <c r="W55" s="232"/>
      <c r="X55" s="233"/>
      <c r="Y55" s="232"/>
      <c r="Z55" s="232"/>
      <c r="AA55" s="232"/>
      <c r="AB55" s="330"/>
      <c r="AC55" s="230"/>
      <c r="AD55" s="331"/>
      <c r="AE55" s="438"/>
      <c r="AF55" s="522"/>
      <c r="AH55" s="390"/>
    </row>
    <row r="56" spans="1:34" s="141" customFormat="1">
      <c r="A56" s="251">
        <f t="shared" si="1"/>
        <v>51</v>
      </c>
      <c r="B56" s="457"/>
      <c r="C56" s="306"/>
      <c r="D56" s="325"/>
      <c r="E56" s="329"/>
      <c r="F56" s="456"/>
      <c r="G56" s="453"/>
      <c r="H56" s="454"/>
      <c r="I56" s="454"/>
      <c r="J56" s="326"/>
      <c r="K56" s="318"/>
      <c r="L56" s="244"/>
      <c r="M56" s="244"/>
      <c r="N56" s="303"/>
      <c r="O56" s="303"/>
      <c r="P56" s="304"/>
      <c r="Q56" s="305"/>
      <c r="R56" s="305"/>
      <c r="S56" s="274"/>
      <c r="T56" s="232"/>
      <c r="U56" s="232"/>
      <c r="V56" s="232"/>
      <c r="W56" s="232"/>
      <c r="X56" s="233"/>
      <c r="Y56" s="232"/>
      <c r="Z56" s="232"/>
      <c r="AA56" s="232"/>
      <c r="AB56" s="330"/>
      <c r="AC56" s="230"/>
      <c r="AD56" s="331"/>
      <c r="AE56" s="438"/>
      <c r="AF56" s="522"/>
      <c r="AH56" s="390"/>
    </row>
    <row r="57" spans="1:34" s="141" customFormat="1">
      <c r="A57" s="251">
        <f t="shared" si="1"/>
        <v>52</v>
      </c>
      <c r="B57" s="457"/>
      <c r="C57" s="306"/>
      <c r="D57" s="325"/>
      <c r="E57" s="329"/>
      <c r="F57" s="456"/>
      <c r="G57" s="453"/>
      <c r="H57" s="454"/>
      <c r="I57" s="454"/>
      <c r="J57" s="326"/>
      <c r="K57" s="318"/>
      <c r="L57" s="244"/>
      <c r="M57" s="244"/>
      <c r="N57" s="303"/>
      <c r="O57" s="303"/>
      <c r="P57" s="304"/>
      <c r="Q57" s="305"/>
      <c r="R57" s="305"/>
      <c r="S57" s="274"/>
      <c r="T57" s="232"/>
      <c r="U57" s="232"/>
      <c r="V57" s="232"/>
      <c r="W57" s="232"/>
      <c r="X57" s="233"/>
      <c r="Y57" s="232"/>
      <c r="Z57" s="232"/>
      <c r="AA57" s="232"/>
      <c r="AB57" s="330"/>
      <c r="AC57" s="230"/>
      <c r="AD57" s="331"/>
      <c r="AE57" s="438"/>
      <c r="AF57" s="522"/>
      <c r="AH57" s="390"/>
    </row>
    <row r="58" spans="1:34" s="141" customFormat="1">
      <c r="A58" s="251">
        <f t="shared" si="1"/>
        <v>53</v>
      </c>
      <c r="B58" s="457"/>
      <c r="C58" s="306"/>
      <c r="D58" s="325"/>
      <c r="E58" s="329"/>
      <c r="F58" s="456"/>
      <c r="G58" s="453"/>
      <c r="H58" s="454"/>
      <c r="I58" s="454"/>
      <c r="J58" s="326"/>
      <c r="K58" s="318"/>
      <c r="L58" s="244"/>
      <c r="M58" s="244"/>
      <c r="N58" s="303"/>
      <c r="O58" s="303"/>
      <c r="P58" s="304"/>
      <c r="Q58" s="305"/>
      <c r="R58" s="305"/>
      <c r="S58" s="274"/>
      <c r="T58" s="232"/>
      <c r="U58" s="232"/>
      <c r="V58" s="232"/>
      <c r="W58" s="232"/>
      <c r="X58" s="233"/>
      <c r="Y58" s="232"/>
      <c r="Z58" s="232"/>
      <c r="AA58" s="232"/>
      <c r="AB58" s="330"/>
      <c r="AC58" s="230"/>
      <c r="AD58" s="331"/>
      <c r="AE58" s="438"/>
      <c r="AF58" s="522"/>
      <c r="AH58" s="390"/>
    </row>
    <row r="59" spans="1:34" s="141" customFormat="1">
      <c r="A59" s="251">
        <f t="shared" si="1"/>
        <v>54</v>
      </c>
      <c r="B59" s="457"/>
      <c r="C59" s="306"/>
      <c r="D59" s="325"/>
      <c r="E59" s="329"/>
      <c r="F59" s="456"/>
      <c r="G59" s="453"/>
      <c r="H59" s="454"/>
      <c r="I59" s="454"/>
      <c r="J59" s="326"/>
      <c r="K59" s="318"/>
      <c r="L59" s="244"/>
      <c r="M59" s="244"/>
      <c r="N59" s="303"/>
      <c r="O59" s="303"/>
      <c r="P59" s="304"/>
      <c r="Q59" s="305"/>
      <c r="R59" s="305"/>
      <c r="S59" s="274"/>
      <c r="T59" s="232"/>
      <c r="U59" s="232"/>
      <c r="V59" s="232"/>
      <c r="W59" s="232"/>
      <c r="X59" s="233"/>
      <c r="Y59" s="232"/>
      <c r="Z59" s="232"/>
      <c r="AA59" s="232"/>
      <c r="AB59" s="330"/>
      <c r="AC59" s="230"/>
      <c r="AD59" s="331"/>
      <c r="AE59" s="438"/>
      <c r="AF59" s="522"/>
      <c r="AH59" s="390"/>
    </row>
    <row r="60" spans="1:34" s="141" customFormat="1">
      <c r="A60" s="251">
        <f t="shared" si="1"/>
        <v>55</v>
      </c>
      <c r="B60" s="457"/>
      <c r="C60" s="306"/>
      <c r="D60" s="325"/>
      <c r="E60" s="329"/>
      <c r="F60" s="456"/>
      <c r="G60" s="453"/>
      <c r="H60" s="454"/>
      <c r="I60" s="454"/>
      <c r="J60" s="326"/>
      <c r="K60" s="318"/>
      <c r="L60" s="244"/>
      <c r="M60" s="244"/>
      <c r="N60" s="303"/>
      <c r="O60" s="303"/>
      <c r="P60" s="304"/>
      <c r="Q60" s="305"/>
      <c r="R60" s="305"/>
      <c r="S60" s="274"/>
      <c r="T60" s="232"/>
      <c r="U60" s="232"/>
      <c r="V60" s="232"/>
      <c r="W60" s="232"/>
      <c r="X60" s="233"/>
      <c r="Y60" s="232"/>
      <c r="Z60" s="232"/>
      <c r="AA60" s="232"/>
      <c r="AB60" s="330"/>
      <c r="AC60" s="230"/>
      <c r="AD60" s="331"/>
      <c r="AE60" s="438"/>
      <c r="AF60" s="522"/>
      <c r="AH60" s="390"/>
    </row>
    <row r="61" spans="1:34" s="141" customFormat="1">
      <c r="A61" s="251">
        <f t="shared" si="1"/>
        <v>56</v>
      </c>
      <c r="B61" s="457"/>
      <c r="C61" s="306"/>
      <c r="D61" s="325"/>
      <c r="E61" s="329"/>
      <c r="F61" s="456"/>
      <c r="G61" s="453"/>
      <c r="H61" s="454"/>
      <c r="I61" s="454"/>
      <c r="J61" s="326"/>
      <c r="K61" s="318"/>
      <c r="L61" s="244"/>
      <c r="M61" s="244"/>
      <c r="N61" s="303"/>
      <c r="O61" s="303"/>
      <c r="P61" s="304"/>
      <c r="Q61" s="305"/>
      <c r="R61" s="305"/>
      <c r="S61" s="274"/>
      <c r="T61" s="232"/>
      <c r="U61" s="232"/>
      <c r="V61" s="232"/>
      <c r="W61" s="232"/>
      <c r="X61" s="233"/>
      <c r="Y61" s="232"/>
      <c r="Z61" s="232"/>
      <c r="AA61" s="232"/>
      <c r="AB61" s="330"/>
      <c r="AC61" s="230"/>
      <c r="AD61" s="331"/>
      <c r="AE61" s="438"/>
      <c r="AF61" s="522"/>
      <c r="AH61" s="390"/>
    </row>
    <row r="62" spans="1:34" s="141" customFormat="1">
      <c r="A62" s="251">
        <f t="shared" si="1"/>
        <v>57</v>
      </c>
      <c r="B62" s="457"/>
      <c r="C62" s="306"/>
      <c r="D62" s="325"/>
      <c r="E62" s="329"/>
      <c r="F62" s="456"/>
      <c r="G62" s="453"/>
      <c r="H62" s="454"/>
      <c r="I62" s="454"/>
      <c r="J62" s="326"/>
      <c r="K62" s="318"/>
      <c r="L62" s="244"/>
      <c r="M62" s="244"/>
      <c r="N62" s="303"/>
      <c r="O62" s="303"/>
      <c r="P62" s="304"/>
      <c r="Q62" s="305"/>
      <c r="R62" s="305"/>
      <c r="S62" s="274"/>
      <c r="T62" s="232"/>
      <c r="U62" s="232"/>
      <c r="V62" s="232"/>
      <c r="W62" s="232"/>
      <c r="X62" s="233"/>
      <c r="Y62" s="232"/>
      <c r="Z62" s="232"/>
      <c r="AA62" s="232"/>
      <c r="AB62" s="330"/>
      <c r="AC62" s="230"/>
      <c r="AD62" s="331"/>
      <c r="AE62" s="438"/>
      <c r="AF62" s="522"/>
      <c r="AH62" s="390"/>
    </row>
    <row r="63" spans="1:34" s="141" customFormat="1">
      <c r="A63" s="251">
        <f t="shared" si="1"/>
        <v>58</v>
      </c>
      <c r="B63" s="457"/>
      <c r="C63" s="306"/>
      <c r="D63" s="325"/>
      <c r="E63" s="329"/>
      <c r="F63" s="456"/>
      <c r="G63" s="453"/>
      <c r="H63" s="454"/>
      <c r="I63" s="454"/>
      <c r="J63" s="326"/>
      <c r="K63" s="318"/>
      <c r="L63" s="244"/>
      <c r="M63" s="244"/>
      <c r="N63" s="303"/>
      <c r="O63" s="303"/>
      <c r="P63" s="304"/>
      <c r="Q63" s="305"/>
      <c r="R63" s="305"/>
      <c r="S63" s="274"/>
      <c r="T63" s="232"/>
      <c r="U63" s="232"/>
      <c r="V63" s="232"/>
      <c r="W63" s="232"/>
      <c r="X63" s="233"/>
      <c r="Y63" s="232"/>
      <c r="Z63" s="232"/>
      <c r="AA63" s="232"/>
      <c r="AB63" s="330"/>
      <c r="AC63" s="230"/>
      <c r="AD63" s="331"/>
      <c r="AE63" s="438"/>
      <c r="AF63" s="522"/>
      <c r="AH63" s="390"/>
    </row>
    <row r="64" spans="1:34" s="141" customFormat="1">
      <c r="A64" s="251">
        <f t="shared" si="1"/>
        <v>59</v>
      </c>
      <c r="B64" s="457"/>
      <c r="C64" s="306"/>
      <c r="D64" s="325"/>
      <c r="E64" s="329"/>
      <c r="F64" s="456"/>
      <c r="G64" s="453"/>
      <c r="H64" s="454"/>
      <c r="I64" s="454"/>
      <c r="J64" s="326"/>
      <c r="K64" s="318"/>
      <c r="L64" s="244"/>
      <c r="M64" s="244"/>
      <c r="N64" s="303"/>
      <c r="O64" s="303"/>
      <c r="P64" s="304"/>
      <c r="Q64" s="305"/>
      <c r="R64" s="305"/>
      <c r="S64" s="274"/>
      <c r="T64" s="232"/>
      <c r="U64" s="232"/>
      <c r="V64" s="232"/>
      <c r="W64" s="232"/>
      <c r="X64" s="233"/>
      <c r="Y64" s="232"/>
      <c r="Z64" s="232"/>
      <c r="AA64" s="232"/>
      <c r="AB64" s="330"/>
      <c r="AC64" s="230"/>
      <c r="AD64" s="331"/>
      <c r="AE64" s="438"/>
      <c r="AF64" s="522"/>
      <c r="AH64" s="390"/>
    </row>
    <row r="65" spans="1:34" s="141" customFormat="1">
      <c r="A65" s="251">
        <f t="shared" si="1"/>
        <v>60</v>
      </c>
      <c r="B65" s="457"/>
      <c r="C65" s="306"/>
      <c r="D65" s="325"/>
      <c r="E65" s="329"/>
      <c r="F65" s="456"/>
      <c r="G65" s="453"/>
      <c r="H65" s="454"/>
      <c r="I65" s="454"/>
      <c r="J65" s="326"/>
      <c r="K65" s="318"/>
      <c r="L65" s="244"/>
      <c r="M65" s="244"/>
      <c r="N65" s="303"/>
      <c r="O65" s="303"/>
      <c r="P65" s="304"/>
      <c r="Q65" s="305"/>
      <c r="R65" s="305"/>
      <c r="S65" s="274"/>
      <c r="T65" s="232"/>
      <c r="U65" s="232"/>
      <c r="V65" s="232"/>
      <c r="W65" s="232"/>
      <c r="X65" s="233"/>
      <c r="Y65" s="232"/>
      <c r="Z65" s="232"/>
      <c r="AA65" s="232"/>
      <c r="AB65" s="330"/>
      <c r="AC65" s="230"/>
      <c r="AD65" s="331"/>
      <c r="AE65" s="438"/>
      <c r="AF65" s="522"/>
      <c r="AH65" s="390"/>
    </row>
    <row r="66" spans="1:34" s="141" customFormat="1">
      <c r="A66" s="251">
        <f t="shared" si="1"/>
        <v>61</v>
      </c>
      <c r="B66" s="457"/>
      <c r="C66" s="306"/>
      <c r="D66" s="325"/>
      <c r="E66" s="329"/>
      <c r="F66" s="456"/>
      <c r="G66" s="453"/>
      <c r="H66" s="454"/>
      <c r="I66" s="454"/>
      <c r="J66" s="326"/>
      <c r="K66" s="318"/>
      <c r="L66" s="244"/>
      <c r="M66" s="244"/>
      <c r="N66" s="303"/>
      <c r="O66" s="303"/>
      <c r="P66" s="304"/>
      <c r="Q66" s="305"/>
      <c r="R66" s="305"/>
      <c r="S66" s="274"/>
      <c r="T66" s="232"/>
      <c r="U66" s="232"/>
      <c r="V66" s="232"/>
      <c r="W66" s="232"/>
      <c r="X66" s="233"/>
      <c r="Y66" s="232"/>
      <c r="Z66" s="232"/>
      <c r="AA66" s="232"/>
      <c r="AB66" s="330"/>
      <c r="AC66" s="230"/>
      <c r="AD66" s="331"/>
      <c r="AE66" s="438"/>
      <c r="AF66" s="522"/>
      <c r="AH66" s="390"/>
    </row>
    <row r="67" spans="1:34" s="141" customFormat="1">
      <c r="A67" s="251">
        <f t="shared" si="1"/>
        <v>62</v>
      </c>
      <c r="B67" s="457"/>
      <c r="C67" s="306"/>
      <c r="D67" s="325"/>
      <c r="E67" s="329"/>
      <c r="F67" s="456"/>
      <c r="G67" s="453"/>
      <c r="H67" s="454"/>
      <c r="I67" s="454"/>
      <c r="J67" s="326"/>
      <c r="K67" s="318"/>
      <c r="L67" s="244"/>
      <c r="M67" s="244"/>
      <c r="N67" s="303"/>
      <c r="O67" s="303"/>
      <c r="P67" s="304"/>
      <c r="Q67" s="305"/>
      <c r="R67" s="305"/>
      <c r="S67" s="274"/>
      <c r="T67" s="232"/>
      <c r="U67" s="232"/>
      <c r="V67" s="232"/>
      <c r="W67" s="232"/>
      <c r="X67" s="233"/>
      <c r="Y67" s="232"/>
      <c r="Z67" s="232"/>
      <c r="AA67" s="232"/>
      <c r="AB67" s="330"/>
      <c r="AC67" s="230"/>
      <c r="AD67" s="331"/>
      <c r="AE67" s="438"/>
      <c r="AF67" s="522"/>
      <c r="AH67" s="390"/>
    </row>
    <row r="68" spans="1:34" s="141" customFormat="1">
      <c r="A68" s="251">
        <f t="shared" si="1"/>
        <v>63</v>
      </c>
      <c r="B68" s="457"/>
      <c r="C68" s="306"/>
      <c r="D68" s="325"/>
      <c r="E68" s="329"/>
      <c r="F68" s="456"/>
      <c r="G68" s="453"/>
      <c r="H68" s="454"/>
      <c r="I68" s="454"/>
      <c r="J68" s="326"/>
      <c r="K68" s="318"/>
      <c r="L68" s="244"/>
      <c r="M68" s="244"/>
      <c r="N68" s="303"/>
      <c r="O68" s="303"/>
      <c r="P68" s="304"/>
      <c r="Q68" s="305"/>
      <c r="R68" s="305"/>
      <c r="S68" s="274"/>
      <c r="T68" s="232"/>
      <c r="U68" s="232"/>
      <c r="V68" s="232"/>
      <c r="W68" s="232"/>
      <c r="X68" s="233"/>
      <c r="Y68" s="232"/>
      <c r="Z68" s="232"/>
      <c r="AA68" s="232"/>
      <c r="AB68" s="330"/>
      <c r="AC68" s="230"/>
      <c r="AD68" s="331"/>
      <c r="AE68" s="438"/>
      <c r="AF68" s="522"/>
      <c r="AH68" s="390"/>
    </row>
    <row r="69" spans="1:34" s="141" customFormat="1">
      <c r="A69" s="251">
        <f t="shared" si="1"/>
        <v>64</v>
      </c>
      <c r="B69" s="457"/>
      <c r="C69" s="306"/>
      <c r="D69" s="325"/>
      <c r="E69" s="329"/>
      <c r="F69" s="456"/>
      <c r="G69" s="453"/>
      <c r="H69" s="454"/>
      <c r="I69" s="454"/>
      <c r="J69" s="326"/>
      <c r="K69" s="318"/>
      <c r="L69" s="244"/>
      <c r="M69" s="244"/>
      <c r="N69" s="303"/>
      <c r="O69" s="303"/>
      <c r="P69" s="304"/>
      <c r="Q69" s="305"/>
      <c r="R69" s="305"/>
      <c r="S69" s="274"/>
      <c r="T69" s="232"/>
      <c r="U69" s="232"/>
      <c r="V69" s="232"/>
      <c r="W69" s="232"/>
      <c r="X69" s="233"/>
      <c r="Y69" s="232"/>
      <c r="Z69" s="232"/>
      <c r="AA69" s="232"/>
      <c r="AB69" s="330"/>
      <c r="AC69" s="230"/>
      <c r="AD69" s="331"/>
      <c r="AE69" s="438"/>
      <c r="AF69" s="522"/>
      <c r="AH69" s="390"/>
    </row>
    <row r="70" spans="1:34" s="141" customFormat="1">
      <c r="A70" s="251">
        <f t="shared" si="1"/>
        <v>65</v>
      </c>
      <c r="B70" s="457"/>
      <c r="C70" s="306"/>
      <c r="D70" s="325"/>
      <c r="E70" s="329"/>
      <c r="F70" s="456"/>
      <c r="G70" s="453"/>
      <c r="H70" s="454"/>
      <c r="I70" s="454"/>
      <c r="J70" s="326"/>
      <c r="K70" s="318"/>
      <c r="L70" s="244"/>
      <c r="M70" s="244"/>
      <c r="N70" s="303"/>
      <c r="O70" s="303"/>
      <c r="P70" s="304"/>
      <c r="Q70" s="305"/>
      <c r="R70" s="305"/>
      <c r="S70" s="274"/>
      <c r="T70" s="232"/>
      <c r="U70" s="232"/>
      <c r="V70" s="232"/>
      <c r="W70" s="232"/>
      <c r="X70" s="233"/>
      <c r="Y70" s="232"/>
      <c r="Z70" s="232"/>
      <c r="AA70" s="232"/>
      <c r="AB70" s="330"/>
      <c r="AC70" s="230"/>
      <c r="AD70" s="331"/>
      <c r="AE70" s="438"/>
      <c r="AF70" s="522"/>
      <c r="AH70" s="390"/>
    </row>
    <row r="71" spans="1:34" s="141" customFormat="1">
      <c r="A71" s="251">
        <f t="shared" ref="A71:A100" si="2">+A70+1</f>
        <v>66</v>
      </c>
      <c r="B71" s="457"/>
      <c r="C71" s="306"/>
      <c r="D71" s="325"/>
      <c r="E71" s="329"/>
      <c r="F71" s="456"/>
      <c r="G71" s="453"/>
      <c r="H71" s="454"/>
      <c r="I71" s="454"/>
      <c r="J71" s="326"/>
      <c r="K71" s="318"/>
      <c r="L71" s="244"/>
      <c r="M71" s="244"/>
      <c r="N71" s="303"/>
      <c r="O71" s="303"/>
      <c r="P71" s="304"/>
      <c r="Q71" s="305"/>
      <c r="R71" s="305"/>
      <c r="S71" s="274"/>
      <c r="T71" s="232"/>
      <c r="U71" s="232"/>
      <c r="V71" s="232"/>
      <c r="W71" s="232"/>
      <c r="X71" s="233"/>
      <c r="Y71" s="232"/>
      <c r="Z71" s="232"/>
      <c r="AA71" s="232"/>
      <c r="AB71" s="330"/>
      <c r="AC71" s="230"/>
      <c r="AD71" s="331"/>
      <c r="AE71" s="438"/>
      <c r="AF71" s="522"/>
      <c r="AH71" s="390"/>
    </row>
    <row r="72" spans="1:34" s="141" customFormat="1">
      <c r="A72" s="251">
        <f t="shared" si="2"/>
        <v>67</v>
      </c>
      <c r="B72" s="457"/>
      <c r="C72" s="306"/>
      <c r="D72" s="325"/>
      <c r="E72" s="329"/>
      <c r="F72" s="456"/>
      <c r="G72" s="453"/>
      <c r="H72" s="454"/>
      <c r="I72" s="454"/>
      <c r="J72" s="326"/>
      <c r="K72" s="318"/>
      <c r="L72" s="244"/>
      <c r="M72" s="244"/>
      <c r="N72" s="303"/>
      <c r="O72" s="303"/>
      <c r="P72" s="304"/>
      <c r="Q72" s="305"/>
      <c r="R72" s="305"/>
      <c r="S72" s="274"/>
      <c r="T72" s="232"/>
      <c r="U72" s="232"/>
      <c r="V72" s="232"/>
      <c r="W72" s="232"/>
      <c r="X72" s="233"/>
      <c r="Y72" s="232"/>
      <c r="Z72" s="232"/>
      <c r="AA72" s="232"/>
      <c r="AB72" s="330"/>
      <c r="AC72" s="230"/>
      <c r="AD72" s="331"/>
      <c r="AE72" s="438"/>
      <c r="AF72" s="522"/>
      <c r="AH72" s="390"/>
    </row>
    <row r="73" spans="1:34" s="141" customFormat="1">
      <c r="A73" s="251">
        <f t="shared" si="2"/>
        <v>68</v>
      </c>
      <c r="B73" s="457"/>
      <c r="C73" s="306"/>
      <c r="D73" s="325"/>
      <c r="E73" s="329"/>
      <c r="F73" s="456"/>
      <c r="G73" s="453"/>
      <c r="H73" s="454"/>
      <c r="I73" s="454"/>
      <c r="J73" s="326"/>
      <c r="K73" s="318"/>
      <c r="L73" s="244"/>
      <c r="M73" s="244"/>
      <c r="N73" s="303"/>
      <c r="O73" s="303"/>
      <c r="P73" s="304"/>
      <c r="Q73" s="305"/>
      <c r="R73" s="305"/>
      <c r="S73" s="274"/>
      <c r="T73" s="232"/>
      <c r="U73" s="232"/>
      <c r="V73" s="232"/>
      <c r="W73" s="232"/>
      <c r="X73" s="233"/>
      <c r="Y73" s="232"/>
      <c r="Z73" s="232"/>
      <c r="AA73" s="232"/>
      <c r="AB73" s="330"/>
      <c r="AC73" s="230"/>
      <c r="AD73" s="331"/>
      <c r="AE73" s="438"/>
      <c r="AF73" s="522"/>
      <c r="AH73" s="390"/>
    </row>
    <row r="74" spans="1:34" s="141" customFormat="1">
      <c r="A74" s="251">
        <f t="shared" si="2"/>
        <v>69</v>
      </c>
      <c r="B74" s="457"/>
      <c r="C74" s="306"/>
      <c r="D74" s="325"/>
      <c r="E74" s="329"/>
      <c r="F74" s="456"/>
      <c r="G74" s="453"/>
      <c r="H74" s="454"/>
      <c r="I74" s="454"/>
      <c r="J74" s="326"/>
      <c r="K74" s="318"/>
      <c r="L74" s="244"/>
      <c r="M74" s="244"/>
      <c r="N74" s="303"/>
      <c r="O74" s="303"/>
      <c r="P74" s="304"/>
      <c r="Q74" s="305"/>
      <c r="R74" s="305"/>
      <c r="S74" s="274"/>
      <c r="T74" s="232"/>
      <c r="U74" s="232"/>
      <c r="V74" s="232"/>
      <c r="W74" s="232"/>
      <c r="X74" s="233"/>
      <c r="Y74" s="232"/>
      <c r="Z74" s="232"/>
      <c r="AA74" s="232"/>
      <c r="AB74" s="330"/>
      <c r="AC74" s="230"/>
      <c r="AD74" s="331"/>
      <c r="AE74" s="438"/>
      <c r="AF74" s="522"/>
      <c r="AH74" s="390"/>
    </row>
    <row r="75" spans="1:34" s="141" customFormat="1">
      <c r="A75" s="251">
        <f t="shared" si="2"/>
        <v>70</v>
      </c>
      <c r="B75" s="457"/>
      <c r="C75" s="306"/>
      <c r="D75" s="325"/>
      <c r="E75" s="329"/>
      <c r="F75" s="456"/>
      <c r="G75" s="453"/>
      <c r="H75" s="454"/>
      <c r="I75" s="454"/>
      <c r="J75" s="326"/>
      <c r="K75" s="318"/>
      <c r="L75" s="244"/>
      <c r="M75" s="244"/>
      <c r="N75" s="303"/>
      <c r="O75" s="303"/>
      <c r="P75" s="304"/>
      <c r="Q75" s="305"/>
      <c r="R75" s="305"/>
      <c r="S75" s="274"/>
      <c r="T75" s="232"/>
      <c r="U75" s="232"/>
      <c r="V75" s="232"/>
      <c r="W75" s="232"/>
      <c r="X75" s="233"/>
      <c r="Y75" s="232"/>
      <c r="Z75" s="232"/>
      <c r="AA75" s="232"/>
      <c r="AB75" s="330"/>
      <c r="AC75" s="230"/>
      <c r="AD75" s="331"/>
      <c r="AE75" s="438"/>
      <c r="AF75" s="522"/>
      <c r="AH75" s="390"/>
    </row>
    <row r="76" spans="1:34" s="141" customFormat="1">
      <c r="A76" s="251">
        <f t="shared" si="2"/>
        <v>71</v>
      </c>
      <c r="B76" s="457"/>
      <c r="C76" s="306"/>
      <c r="D76" s="325"/>
      <c r="E76" s="329"/>
      <c r="F76" s="456"/>
      <c r="G76" s="453"/>
      <c r="H76" s="454"/>
      <c r="I76" s="454"/>
      <c r="J76" s="326"/>
      <c r="K76" s="318"/>
      <c r="L76" s="244"/>
      <c r="M76" s="244"/>
      <c r="N76" s="303"/>
      <c r="O76" s="303"/>
      <c r="P76" s="304"/>
      <c r="Q76" s="305"/>
      <c r="R76" s="305"/>
      <c r="S76" s="274"/>
      <c r="T76" s="232"/>
      <c r="U76" s="232"/>
      <c r="V76" s="232"/>
      <c r="W76" s="232"/>
      <c r="X76" s="233"/>
      <c r="Y76" s="232"/>
      <c r="Z76" s="232"/>
      <c r="AA76" s="232"/>
      <c r="AB76" s="330"/>
      <c r="AC76" s="230"/>
      <c r="AD76" s="331"/>
      <c r="AE76" s="438"/>
      <c r="AF76" s="522"/>
      <c r="AH76" s="390"/>
    </row>
    <row r="77" spans="1:34" s="141" customFormat="1">
      <c r="A77" s="251">
        <f t="shared" si="2"/>
        <v>72</v>
      </c>
      <c r="B77" s="457"/>
      <c r="C77" s="306"/>
      <c r="D77" s="325"/>
      <c r="E77" s="329"/>
      <c r="F77" s="456"/>
      <c r="G77" s="453"/>
      <c r="H77" s="454"/>
      <c r="I77" s="454"/>
      <c r="J77" s="326"/>
      <c r="K77" s="318"/>
      <c r="L77" s="244"/>
      <c r="M77" s="244"/>
      <c r="N77" s="303"/>
      <c r="O77" s="303"/>
      <c r="P77" s="304"/>
      <c r="Q77" s="305"/>
      <c r="R77" s="305"/>
      <c r="S77" s="274"/>
      <c r="T77" s="232"/>
      <c r="U77" s="232"/>
      <c r="V77" s="232"/>
      <c r="W77" s="232"/>
      <c r="X77" s="233"/>
      <c r="Y77" s="232"/>
      <c r="Z77" s="232"/>
      <c r="AA77" s="232"/>
      <c r="AB77" s="330"/>
      <c r="AC77" s="230"/>
      <c r="AD77" s="331"/>
      <c r="AE77" s="438"/>
      <c r="AF77" s="522"/>
      <c r="AH77" s="390"/>
    </row>
    <row r="78" spans="1:34" s="141" customFormat="1">
      <c r="A78" s="251">
        <f t="shared" si="2"/>
        <v>73</v>
      </c>
      <c r="B78" s="457"/>
      <c r="C78" s="306"/>
      <c r="D78" s="325"/>
      <c r="E78" s="329"/>
      <c r="F78" s="456"/>
      <c r="G78" s="453"/>
      <c r="H78" s="454"/>
      <c r="I78" s="454"/>
      <c r="J78" s="326"/>
      <c r="K78" s="318"/>
      <c r="L78" s="244"/>
      <c r="M78" s="244"/>
      <c r="N78" s="303"/>
      <c r="O78" s="303"/>
      <c r="P78" s="304"/>
      <c r="Q78" s="305"/>
      <c r="R78" s="305"/>
      <c r="S78" s="274"/>
      <c r="T78" s="232"/>
      <c r="U78" s="232"/>
      <c r="V78" s="232"/>
      <c r="W78" s="232"/>
      <c r="X78" s="233"/>
      <c r="Y78" s="232"/>
      <c r="Z78" s="232"/>
      <c r="AA78" s="232"/>
      <c r="AB78" s="330"/>
      <c r="AC78" s="230"/>
      <c r="AD78" s="331"/>
      <c r="AE78" s="438"/>
      <c r="AF78" s="522"/>
      <c r="AH78" s="390"/>
    </row>
    <row r="79" spans="1:34" s="141" customFormat="1">
      <c r="A79" s="251">
        <f t="shared" si="2"/>
        <v>74</v>
      </c>
      <c r="B79" s="457"/>
      <c r="C79" s="306"/>
      <c r="D79" s="325"/>
      <c r="E79" s="329"/>
      <c r="F79" s="456"/>
      <c r="G79" s="453"/>
      <c r="H79" s="454"/>
      <c r="I79" s="454"/>
      <c r="J79" s="326"/>
      <c r="K79" s="318"/>
      <c r="L79" s="244"/>
      <c r="M79" s="244"/>
      <c r="N79" s="303"/>
      <c r="O79" s="303"/>
      <c r="P79" s="304"/>
      <c r="Q79" s="305"/>
      <c r="R79" s="305"/>
      <c r="S79" s="274"/>
      <c r="T79" s="232"/>
      <c r="U79" s="232"/>
      <c r="V79" s="232"/>
      <c r="W79" s="232"/>
      <c r="X79" s="233"/>
      <c r="Y79" s="232"/>
      <c r="Z79" s="232"/>
      <c r="AA79" s="232"/>
      <c r="AB79" s="330"/>
      <c r="AC79" s="230"/>
      <c r="AD79" s="331"/>
      <c r="AE79" s="438"/>
      <c r="AF79" s="522"/>
      <c r="AH79" s="390"/>
    </row>
    <row r="80" spans="1:34" s="141" customFormat="1">
      <c r="A80" s="251">
        <f t="shared" si="2"/>
        <v>75</v>
      </c>
      <c r="B80" s="457"/>
      <c r="C80" s="306"/>
      <c r="D80" s="325"/>
      <c r="E80" s="329"/>
      <c r="F80" s="456"/>
      <c r="G80" s="453"/>
      <c r="H80" s="454"/>
      <c r="I80" s="454"/>
      <c r="J80" s="326"/>
      <c r="K80" s="318"/>
      <c r="L80" s="244"/>
      <c r="M80" s="244"/>
      <c r="N80" s="303"/>
      <c r="O80" s="303"/>
      <c r="P80" s="304"/>
      <c r="Q80" s="305"/>
      <c r="R80" s="305"/>
      <c r="S80" s="274"/>
      <c r="T80" s="232"/>
      <c r="U80" s="232"/>
      <c r="V80" s="232"/>
      <c r="W80" s="232"/>
      <c r="X80" s="233"/>
      <c r="Y80" s="232"/>
      <c r="Z80" s="232"/>
      <c r="AA80" s="232"/>
      <c r="AB80" s="330"/>
      <c r="AC80" s="230"/>
      <c r="AD80" s="331"/>
      <c r="AE80" s="438"/>
      <c r="AF80" s="522"/>
      <c r="AH80" s="390"/>
    </row>
    <row r="81" spans="1:34" s="141" customFormat="1">
      <c r="A81" s="251">
        <f t="shared" si="2"/>
        <v>76</v>
      </c>
      <c r="B81" s="457"/>
      <c r="C81" s="306"/>
      <c r="D81" s="325"/>
      <c r="E81" s="329"/>
      <c r="F81" s="456"/>
      <c r="G81" s="453"/>
      <c r="H81" s="454"/>
      <c r="I81" s="454"/>
      <c r="J81" s="326"/>
      <c r="K81" s="318"/>
      <c r="L81" s="244"/>
      <c r="M81" s="244"/>
      <c r="N81" s="303"/>
      <c r="O81" s="303"/>
      <c r="P81" s="304"/>
      <c r="Q81" s="305"/>
      <c r="R81" s="305"/>
      <c r="S81" s="274"/>
      <c r="T81" s="232"/>
      <c r="U81" s="232"/>
      <c r="V81" s="232"/>
      <c r="W81" s="232"/>
      <c r="X81" s="233"/>
      <c r="Y81" s="232"/>
      <c r="Z81" s="232"/>
      <c r="AA81" s="232"/>
      <c r="AB81" s="330"/>
      <c r="AC81" s="230"/>
      <c r="AD81" s="331"/>
      <c r="AE81" s="438"/>
      <c r="AF81" s="522"/>
      <c r="AH81" s="390"/>
    </row>
    <row r="82" spans="1:34" s="141" customFormat="1">
      <c r="A82" s="251">
        <f t="shared" si="2"/>
        <v>77</v>
      </c>
      <c r="B82" s="457"/>
      <c r="C82" s="306"/>
      <c r="D82" s="325"/>
      <c r="E82" s="329"/>
      <c r="F82" s="456"/>
      <c r="G82" s="453"/>
      <c r="H82" s="454"/>
      <c r="I82" s="454"/>
      <c r="J82" s="326"/>
      <c r="K82" s="318"/>
      <c r="L82" s="244"/>
      <c r="M82" s="244"/>
      <c r="N82" s="303"/>
      <c r="O82" s="303"/>
      <c r="P82" s="304"/>
      <c r="Q82" s="305"/>
      <c r="R82" s="305"/>
      <c r="S82" s="274"/>
      <c r="T82" s="232"/>
      <c r="U82" s="232"/>
      <c r="V82" s="232"/>
      <c r="W82" s="232"/>
      <c r="X82" s="233"/>
      <c r="Y82" s="232"/>
      <c r="Z82" s="232"/>
      <c r="AA82" s="232"/>
      <c r="AB82" s="330"/>
      <c r="AC82" s="230"/>
      <c r="AD82" s="331"/>
      <c r="AE82" s="438"/>
      <c r="AF82" s="522"/>
      <c r="AH82" s="390"/>
    </row>
    <row r="83" spans="1:34" s="141" customFormat="1">
      <c r="A83" s="251">
        <f t="shared" si="2"/>
        <v>78</v>
      </c>
      <c r="B83" s="457"/>
      <c r="C83" s="306"/>
      <c r="D83" s="325"/>
      <c r="E83" s="329"/>
      <c r="F83" s="456"/>
      <c r="G83" s="453"/>
      <c r="H83" s="454"/>
      <c r="I83" s="454"/>
      <c r="J83" s="326"/>
      <c r="K83" s="318"/>
      <c r="L83" s="244"/>
      <c r="M83" s="244"/>
      <c r="N83" s="303"/>
      <c r="O83" s="303"/>
      <c r="P83" s="304"/>
      <c r="Q83" s="305"/>
      <c r="R83" s="305"/>
      <c r="S83" s="274"/>
      <c r="T83" s="232"/>
      <c r="U83" s="232"/>
      <c r="V83" s="232"/>
      <c r="W83" s="232"/>
      <c r="X83" s="233"/>
      <c r="Y83" s="232"/>
      <c r="Z83" s="232"/>
      <c r="AA83" s="232"/>
      <c r="AB83" s="330"/>
      <c r="AC83" s="230"/>
      <c r="AD83" s="331"/>
      <c r="AE83" s="438"/>
      <c r="AF83" s="522"/>
      <c r="AH83" s="390"/>
    </row>
    <row r="84" spans="1:34" s="141" customFormat="1">
      <c r="A84" s="251">
        <f t="shared" si="2"/>
        <v>79</v>
      </c>
      <c r="B84" s="457"/>
      <c r="C84" s="306"/>
      <c r="D84" s="325"/>
      <c r="E84" s="329"/>
      <c r="F84" s="456"/>
      <c r="G84" s="453"/>
      <c r="H84" s="454"/>
      <c r="I84" s="454"/>
      <c r="J84" s="326"/>
      <c r="K84" s="318"/>
      <c r="L84" s="244"/>
      <c r="M84" s="244"/>
      <c r="N84" s="303"/>
      <c r="O84" s="303"/>
      <c r="P84" s="304"/>
      <c r="Q84" s="305"/>
      <c r="R84" s="305"/>
      <c r="S84" s="274"/>
      <c r="T84" s="232"/>
      <c r="U84" s="232"/>
      <c r="V84" s="232"/>
      <c r="W84" s="232"/>
      <c r="X84" s="233"/>
      <c r="Y84" s="232"/>
      <c r="Z84" s="232"/>
      <c r="AA84" s="232"/>
      <c r="AB84" s="330"/>
      <c r="AC84" s="230"/>
      <c r="AD84" s="331"/>
      <c r="AE84" s="438"/>
      <c r="AF84" s="522"/>
      <c r="AH84" s="390"/>
    </row>
    <row r="85" spans="1:34" s="141" customFormat="1">
      <c r="A85" s="251">
        <f t="shared" si="2"/>
        <v>80</v>
      </c>
      <c r="B85" s="457"/>
      <c r="C85" s="306"/>
      <c r="D85" s="325"/>
      <c r="E85" s="329"/>
      <c r="F85" s="456"/>
      <c r="G85" s="453"/>
      <c r="H85" s="454"/>
      <c r="I85" s="454"/>
      <c r="J85" s="326"/>
      <c r="K85" s="318"/>
      <c r="L85" s="244"/>
      <c r="M85" s="244"/>
      <c r="N85" s="303"/>
      <c r="O85" s="303"/>
      <c r="P85" s="304"/>
      <c r="Q85" s="305"/>
      <c r="R85" s="305"/>
      <c r="S85" s="274"/>
      <c r="T85" s="232"/>
      <c r="U85" s="232"/>
      <c r="V85" s="232"/>
      <c r="W85" s="232"/>
      <c r="X85" s="233"/>
      <c r="Y85" s="232"/>
      <c r="Z85" s="232"/>
      <c r="AA85" s="232"/>
      <c r="AB85" s="330"/>
      <c r="AC85" s="230"/>
      <c r="AD85" s="331"/>
      <c r="AE85" s="438"/>
      <c r="AF85" s="522"/>
      <c r="AH85" s="390"/>
    </row>
    <row r="86" spans="1:34" s="141" customFormat="1">
      <c r="A86" s="251">
        <f t="shared" si="2"/>
        <v>81</v>
      </c>
      <c r="B86" s="457"/>
      <c r="C86" s="306"/>
      <c r="D86" s="325"/>
      <c r="E86" s="329"/>
      <c r="F86" s="456"/>
      <c r="G86" s="453"/>
      <c r="H86" s="454"/>
      <c r="I86" s="454"/>
      <c r="J86" s="326"/>
      <c r="K86" s="318"/>
      <c r="L86" s="244"/>
      <c r="M86" s="244"/>
      <c r="N86" s="303"/>
      <c r="O86" s="303"/>
      <c r="P86" s="304"/>
      <c r="Q86" s="305"/>
      <c r="R86" s="305"/>
      <c r="S86" s="274"/>
      <c r="T86" s="232"/>
      <c r="U86" s="232"/>
      <c r="V86" s="232"/>
      <c r="W86" s="232"/>
      <c r="X86" s="233"/>
      <c r="Y86" s="232"/>
      <c r="Z86" s="232"/>
      <c r="AA86" s="232"/>
      <c r="AB86" s="330"/>
      <c r="AC86" s="230"/>
      <c r="AD86" s="331"/>
      <c r="AE86" s="438"/>
      <c r="AF86" s="522"/>
      <c r="AH86" s="390"/>
    </row>
    <row r="87" spans="1:34" s="141" customFormat="1">
      <c r="A87" s="251">
        <f t="shared" si="2"/>
        <v>82</v>
      </c>
      <c r="B87" s="457"/>
      <c r="C87" s="306"/>
      <c r="D87" s="325"/>
      <c r="E87" s="329"/>
      <c r="F87" s="456"/>
      <c r="G87" s="453"/>
      <c r="H87" s="454"/>
      <c r="I87" s="454"/>
      <c r="J87" s="326"/>
      <c r="K87" s="318"/>
      <c r="L87" s="244"/>
      <c r="M87" s="244"/>
      <c r="N87" s="303"/>
      <c r="O87" s="303"/>
      <c r="P87" s="304"/>
      <c r="Q87" s="305"/>
      <c r="R87" s="305"/>
      <c r="S87" s="274"/>
      <c r="T87" s="232"/>
      <c r="U87" s="232"/>
      <c r="V87" s="232"/>
      <c r="W87" s="232"/>
      <c r="X87" s="233"/>
      <c r="Y87" s="232"/>
      <c r="Z87" s="232"/>
      <c r="AA87" s="232"/>
      <c r="AB87" s="330"/>
      <c r="AC87" s="230"/>
      <c r="AD87" s="331"/>
      <c r="AE87" s="438"/>
      <c r="AF87" s="522"/>
      <c r="AH87" s="390"/>
    </row>
    <row r="88" spans="1:34" s="141" customFormat="1">
      <c r="A88" s="251">
        <f t="shared" si="2"/>
        <v>83</v>
      </c>
      <c r="B88" s="457"/>
      <c r="C88" s="306"/>
      <c r="D88" s="325"/>
      <c r="E88" s="329"/>
      <c r="F88" s="456"/>
      <c r="G88" s="453"/>
      <c r="H88" s="454"/>
      <c r="I88" s="454"/>
      <c r="J88" s="326"/>
      <c r="K88" s="318"/>
      <c r="L88" s="244"/>
      <c r="M88" s="244"/>
      <c r="N88" s="303"/>
      <c r="O88" s="303"/>
      <c r="P88" s="304"/>
      <c r="Q88" s="305"/>
      <c r="R88" s="305"/>
      <c r="S88" s="274"/>
      <c r="T88" s="232"/>
      <c r="U88" s="232"/>
      <c r="V88" s="232"/>
      <c r="W88" s="232"/>
      <c r="X88" s="233"/>
      <c r="Y88" s="232"/>
      <c r="Z88" s="232"/>
      <c r="AA88" s="232"/>
      <c r="AB88" s="330"/>
      <c r="AC88" s="230"/>
      <c r="AD88" s="331"/>
      <c r="AE88" s="438"/>
      <c r="AF88" s="522"/>
      <c r="AH88" s="390"/>
    </row>
    <row r="89" spans="1:34" s="141" customFormat="1">
      <c r="A89" s="251">
        <f t="shared" si="2"/>
        <v>84</v>
      </c>
      <c r="B89" s="457"/>
      <c r="C89" s="306"/>
      <c r="D89" s="325"/>
      <c r="E89" s="329"/>
      <c r="F89" s="456"/>
      <c r="G89" s="453"/>
      <c r="H89" s="454"/>
      <c r="I89" s="454"/>
      <c r="J89" s="326"/>
      <c r="K89" s="318"/>
      <c r="L89" s="244"/>
      <c r="M89" s="244"/>
      <c r="N89" s="303"/>
      <c r="O89" s="303"/>
      <c r="P89" s="304"/>
      <c r="Q89" s="305"/>
      <c r="R89" s="305"/>
      <c r="S89" s="274"/>
      <c r="T89" s="232"/>
      <c r="U89" s="232"/>
      <c r="V89" s="232"/>
      <c r="W89" s="232"/>
      <c r="X89" s="233"/>
      <c r="Y89" s="232"/>
      <c r="Z89" s="232"/>
      <c r="AA89" s="232"/>
      <c r="AB89" s="330"/>
      <c r="AC89" s="230"/>
      <c r="AD89" s="331"/>
      <c r="AE89" s="438"/>
      <c r="AF89" s="522"/>
      <c r="AH89" s="390"/>
    </row>
    <row r="90" spans="1:34" s="141" customFormat="1">
      <c r="A90" s="251">
        <f t="shared" si="2"/>
        <v>85</v>
      </c>
      <c r="B90" s="457"/>
      <c r="C90" s="306"/>
      <c r="D90" s="325"/>
      <c r="E90" s="329"/>
      <c r="F90" s="456"/>
      <c r="G90" s="453"/>
      <c r="H90" s="454"/>
      <c r="I90" s="454"/>
      <c r="J90" s="326"/>
      <c r="K90" s="318"/>
      <c r="L90" s="244"/>
      <c r="M90" s="244"/>
      <c r="N90" s="303"/>
      <c r="O90" s="303"/>
      <c r="P90" s="304"/>
      <c r="Q90" s="305"/>
      <c r="R90" s="305"/>
      <c r="S90" s="274"/>
      <c r="T90" s="232"/>
      <c r="U90" s="232"/>
      <c r="V90" s="232"/>
      <c r="W90" s="232"/>
      <c r="X90" s="233"/>
      <c r="Y90" s="232"/>
      <c r="Z90" s="232"/>
      <c r="AA90" s="232"/>
      <c r="AB90" s="330"/>
      <c r="AC90" s="230"/>
      <c r="AD90" s="331"/>
      <c r="AE90" s="438"/>
      <c r="AF90" s="522"/>
      <c r="AH90" s="390"/>
    </row>
    <row r="91" spans="1:34" s="141" customFormat="1">
      <c r="A91" s="251">
        <f t="shared" si="2"/>
        <v>86</v>
      </c>
      <c r="B91" s="457"/>
      <c r="C91" s="306"/>
      <c r="D91" s="325"/>
      <c r="E91" s="329"/>
      <c r="F91" s="456"/>
      <c r="G91" s="453"/>
      <c r="H91" s="454"/>
      <c r="I91" s="454"/>
      <c r="J91" s="326"/>
      <c r="K91" s="318"/>
      <c r="L91" s="244"/>
      <c r="M91" s="244"/>
      <c r="N91" s="303"/>
      <c r="O91" s="303"/>
      <c r="P91" s="304"/>
      <c r="Q91" s="305"/>
      <c r="R91" s="305"/>
      <c r="S91" s="274"/>
      <c r="T91" s="232"/>
      <c r="U91" s="232"/>
      <c r="V91" s="232"/>
      <c r="W91" s="232"/>
      <c r="X91" s="233"/>
      <c r="Y91" s="232"/>
      <c r="Z91" s="232"/>
      <c r="AA91" s="232"/>
      <c r="AB91" s="330"/>
      <c r="AC91" s="230"/>
      <c r="AD91" s="331"/>
      <c r="AE91" s="438"/>
      <c r="AF91" s="522"/>
      <c r="AH91" s="390"/>
    </row>
    <row r="92" spans="1:34" s="141" customFormat="1">
      <c r="A92" s="251">
        <f t="shared" si="2"/>
        <v>87</v>
      </c>
      <c r="B92" s="457"/>
      <c r="C92" s="306"/>
      <c r="D92" s="325"/>
      <c r="E92" s="329"/>
      <c r="F92" s="456"/>
      <c r="G92" s="453"/>
      <c r="H92" s="454"/>
      <c r="I92" s="454"/>
      <c r="J92" s="326"/>
      <c r="K92" s="318"/>
      <c r="L92" s="244"/>
      <c r="M92" s="244"/>
      <c r="N92" s="303"/>
      <c r="O92" s="303"/>
      <c r="P92" s="304"/>
      <c r="Q92" s="305"/>
      <c r="R92" s="305"/>
      <c r="S92" s="274"/>
      <c r="T92" s="232"/>
      <c r="U92" s="232"/>
      <c r="V92" s="232"/>
      <c r="W92" s="232"/>
      <c r="X92" s="233"/>
      <c r="Y92" s="232"/>
      <c r="Z92" s="232"/>
      <c r="AA92" s="232"/>
      <c r="AB92" s="330"/>
      <c r="AC92" s="230"/>
      <c r="AD92" s="331"/>
      <c r="AE92" s="438"/>
      <c r="AF92" s="522"/>
      <c r="AH92" s="390"/>
    </row>
    <row r="93" spans="1:34" s="141" customFormat="1">
      <c r="A93" s="251">
        <f t="shared" si="2"/>
        <v>88</v>
      </c>
      <c r="B93" s="457"/>
      <c r="C93" s="306"/>
      <c r="D93" s="325"/>
      <c r="E93" s="329"/>
      <c r="F93" s="456"/>
      <c r="G93" s="453"/>
      <c r="H93" s="454"/>
      <c r="I93" s="454"/>
      <c r="J93" s="326"/>
      <c r="K93" s="318"/>
      <c r="L93" s="244"/>
      <c r="M93" s="244"/>
      <c r="N93" s="303"/>
      <c r="O93" s="303"/>
      <c r="P93" s="304"/>
      <c r="Q93" s="305"/>
      <c r="R93" s="305"/>
      <c r="S93" s="274"/>
      <c r="T93" s="232"/>
      <c r="U93" s="232"/>
      <c r="V93" s="232"/>
      <c r="W93" s="232"/>
      <c r="X93" s="233"/>
      <c r="Y93" s="232"/>
      <c r="Z93" s="232"/>
      <c r="AA93" s="232"/>
      <c r="AB93" s="330"/>
      <c r="AC93" s="230"/>
      <c r="AD93" s="331"/>
      <c r="AE93" s="438"/>
      <c r="AF93" s="522"/>
      <c r="AH93" s="390"/>
    </row>
    <row r="94" spans="1:34" s="141" customFormat="1">
      <c r="A94" s="251">
        <f t="shared" si="2"/>
        <v>89</v>
      </c>
      <c r="B94" s="457"/>
      <c r="C94" s="306"/>
      <c r="D94" s="325"/>
      <c r="E94" s="329"/>
      <c r="F94" s="456"/>
      <c r="G94" s="453"/>
      <c r="H94" s="454"/>
      <c r="I94" s="454"/>
      <c r="J94" s="326"/>
      <c r="K94" s="318"/>
      <c r="L94" s="244"/>
      <c r="M94" s="244"/>
      <c r="N94" s="303"/>
      <c r="O94" s="303"/>
      <c r="P94" s="304"/>
      <c r="Q94" s="305"/>
      <c r="R94" s="305"/>
      <c r="S94" s="274"/>
      <c r="T94" s="232"/>
      <c r="U94" s="232"/>
      <c r="V94" s="232"/>
      <c r="W94" s="232"/>
      <c r="X94" s="233"/>
      <c r="Y94" s="232"/>
      <c r="Z94" s="232"/>
      <c r="AA94" s="232"/>
      <c r="AB94" s="330"/>
      <c r="AC94" s="230"/>
      <c r="AD94" s="331"/>
      <c r="AE94" s="438"/>
      <c r="AF94" s="522"/>
      <c r="AH94" s="390"/>
    </row>
    <row r="95" spans="1:34" s="141" customFormat="1">
      <c r="A95" s="251">
        <f t="shared" si="2"/>
        <v>90</v>
      </c>
      <c r="B95" s="457"/>
      <c r="C95" s="306"/>
      <c r="D95" s="325"/>
      <c r="E95" s="329"/>
      <c r="F95" s="456"/>
      <c r="G95" s="453"/>
      <c r="H95" s="454"/>
      <c r="I95" s="454"/>
      <c r="J95" s="326"/>
      <c r="K95" s="318"/>
      <c r="L95" s="244"/>
      <c r="M95" s="244"/>
      <c r="N95" s="303"/>
      <c r="O95" s="303"/>
      <c r="P95" s="304"/>
      <c r="Q95" s="305"/>
      <c r="R95" s="305"/>
      <c r="S95" s="274"/>
      <c r="T95" s="232"/>
      <c r="U95" s="232"/>
      <c r="V95" s="232"/>
      <c r="W95" s="232"/>
      <c r="X95" s="233"/>
      <c r="Y95" s="232"/>
      <c r="Z95" s="232"/>
      <c r="AA95" s="232"/>
      <c r="AB95" s="330"/>
      <c r="AC95" s="230"/>
      <c r="AD95" s="331"/>
      <c r="AE95" s="438"/>
      <c r="AF95" s="522"/>
      <c r="AH95" s="390"/>
    </row>
    <row r="96" spans="1:34" s="141" customFormat="1">
      <c r="A96" s="251">
        <f t="shared" si="2"/>
        <v>91</v>
      </c>
      <c r="B96" s="457"/>
      <c r="C96" s="306"/>
      <c r="D96" s="325"/>
      <c r="E96" s="329"/>
      <c r="F96" s="456"/>
      <c r="G96" s="453"/>
      <c r="H96" s="454"/>
      <c r="I96" s="454"/>
      <c r="J96" s="326"/>
      <c r="K96" s="318"/>
      <c r="L96" s="244"/>
      <c r="M96" s="244"/>
      <c r="N96" s="303"/>
      <c r="O96" s="303"/>
      <c r="P96" s="304"/>
      <c r="Q96" s="305"/>
      <c r="R96" s="305"/>
      <c r="S96" s="274"/>
      <c r="T96" s="232"/>
      <c r="U96" s="232"/>
      <c r="V96" s="232"/>
      <c r="W96" s="232"/>
      <c r="X96" s="233"/>
      <c r="Y96" s="232"/>
      <c r="Z96" s="232"/>
      <c r="AA96" s="232"/>
      <c r="AB96" s="330"/>
      <c r="AC96" s="230"/>
      <c r="AD96" s="331"/>
      <c r="AE96" s="438"/>
      <c r="AF96" s="522"/>
      <c r="AH96" s="390"/>
    </row>
    <row r="97" spans="1:34" s="141" customFormat="1">
      <c r="A97" s="251">
        <f t="shared" si="2"/>
        <v>92</v>
      </c>
      <c r="B97" s="457"/>
      <c r="C97" s="306"/>
      <c r="D97" s="325"/>
      <c r="E97" s="329"/>
      <c r="F97" s="456"/>
      <c r="G97" s="453"/>
      <c r="H97" s="454"/>
      <c r="I97" s="454"/>
      <c r="J97" s="326"/>
      <c r="K97" s="318"/>
      <c r="L97" s="244"/>
      <c r="M97" s="244"/>
      <c r="N97" s="303"/>
      <c r="O97" s="303"/>
      <c r="P97" s="304"/>
      <c r="Q97" s="305"/>
      <c r="R97" s="305"/>
      <c r="S97" s="274"/>
      <c r="T97" s="232"/>
      <c r="U97" s="232"/>
      <c r="V97" s="232"/>
      <c r="W97" s="232"/>
      <c r="X97" s="233"/>
      <c r="Y97" s="232"/>
      <c r="Z97" s="232"/>
      <c r="AA97" s="232"/>
      <c r="AB97" s="330"/>
      <c r="AC97" s="230"/>
      <c r="AD97" s="331"/>
      <c r="AE97" s="438"/>
      <c r="AF97" s="522"/>
      <c r="AH97" s="390"/>
    </row>
    <row r="98" spans="1:34" s="141" customFormat="1">
      <c r="A98" s="251">
        <f t="shared" si="2"/>
        <v>93</v>
      </c>
      <c r="B98" s="457"/>
      <c r="C98" s="306"/>
      <c r="D98" s="325"/>
      <c r="E98" s="329"/>
      <c r="F98" s="456"/>
      <c r="G98" s="453"/>
      <c r="H98" s="454"/>
      <c r="I98" s="454"/>
      <c r="J98" s="326"/>
      <c r="K98" s="318"/>
      <c r="L98" s="244"/>
      <c r="M98" s="244"/>
      <c r="N98" s="303"/>
      <c r="O98" s="303"/>
      <c r="P98" s="304"/>
      <c r="Q98" s="305"/>
      <c r="R98" s="305"/>
      <c r="S98" s="274"/>
      <c r="T98" s="232"/>
      <c r="U98" s="232"/>
      <c r="V98" s="232"/>
      <c r="W98" s="232"/>
      <c r="X98" s="233"/>
      <c r="Y98" s="232"/>
      <c r="Z98" s="232"/>
      <c r="AA98" s="232"/>
      <c r="AB98" s="330"/>
      <c r="AC98" s="230"/>
      <c r="AD98" s="331"/>
      <c r="AE98" s="438"/>
      <c r="AF98" s="522"/>
      <c r="AH98" s="390"/>
    </row>
    <row r="99" spans="1:34" s="141" customFormat="1">
      <c r="A99" s="251">
        <f t="shared" si="2"/>
        <v>94</v>
      </c>
      <c r="B99" s="457"/>
      <c r="C99" s="306"/>
      <c r="D99" s="325"/>
      <c r="E99" s="329"/>
      <c r="F99" s="456"/>
      <c r="G99" s="453"/>
      <c r="H99" s="454"/>
      <c r="I99" s="454"/>
      <c r="J99" s="326"/>
      <c r="K99" s="318"/>
      <c r="L99" s="244"/>
      <c r="M99" s="244"/>
      <c r="N99" s="303"/>
      <c r="O99" s="303"/>
      <c r="P99" s="304"/>
      <c r="Q99" s="305"/>
      <c r="R99" s="305"/>
      <c r="S99" s="274"/>
      <c r="T99" s="232"/>
      <c r="U99" s="232"/>
      <c r="V99" s="232"/>
      <c r="W99" s="232"/>
      <c r="X99" s="233"/>
      <c r="Y99" s="232"/>
      <c r="Z99" s="232"/>
      <c r="AA99" s="232"/>
      <c r="AB99" s="330"/>
      <c r="AC99" s="230"/>
      <c r="AD99" s="331"/>
      <c r="AE99" s="438"/>
      <c r="AF99" s="522"/>
      <c r="AH99" s="390"/>
    </row>
    <row r="100" spans="1:34" s="141" customFormat="1">
      <c r="A100" s="251">
        <f t="shared" si="2"/>
        <v>95</v>
      </c>
      <c r="B100" s="457"/>
      <c r="C100" s="306"/>
      <c r="D100" s="325"/>
      <c r="E100" s="329"/>
      <c r="F100" s="456"/>
      <c r="G100" s="453"/>
      <c r="H100" s="454"/>
      <c r="I100" s="454"/>
      <c r="J100" s="326"/>
      <c r="K100" s="318"/>
      <c r="L100" s="244"/>
      <c r="M100" s="244"/>
      <c r="N100" s="303"/>
      <c r="O100" s="303"/>
      <c r="P100" s="304"/>
      <c r="Q100" s="305"/>
      <c r="R100" s="305"/>
      <c r="S100" s="274"/>
      <c r="T100" s="232"/>
      <c r="U100" s="232"/>
      <c r="V100" s="232"/>
      <c r="W100" s="232"/>
      <c r="X100" s="233"/>
      <c r="Y100" s="232"/>
      <c r="Z100" s="232"/>
      <c r="AA100" s="232"/>
      <c r="AB100" s="330"/>
      <c r="AC100" s="230"/>
      <c r="AD100" s="331"/>
      <c r="AE100" s="438"/>
      <c r="AF100" s="522"/>
      <c r="AH100" s="390"/>
    </row>
    <row r="101" spans="1:34" s="141" customFormat="1">
      <c r="A101" s="251"/>
      <c r="B101" s="426"/>
      <c r="C101" s="306"/>
      <c r="D101" s="417"/>
      <c r="E101" s="273"/>
      <c r="F101" s="273"/>
      <c r="G101" s="231"/>
      <c r="H101" s="426"/>
      <c r="I101" s="426"/>
      <c r="J101" s="427"/>
      <c r="K101" s="428"/>
      <c r="L101" s="316"/>
      <c r="M101" s="316"/>
      <c r="N101" s="325"/>
      <c r="O101" s="325"/>
      <c r="P101" s="429"/>
      <c r="Q101" s="325"/>
      <c r="R101" s="325"/>
      <c r="S101" s="426"/>
      <c r="T101" s="232"/>
      <c r="U101" s="232"/>
      <c r="V101" s="232"/>
      <c r="W101" s="232"/>
      <c r="X101" s="233"/>
      <c r="Y101" s="232"/>
      <c r="Z101" s="232"/>
      <c r="AA101" s="232"/>
      <c r="AB101" s="330"/>
      <c r="AC101" s="230"/>
      <c r="AD101" s="331"/>
      <c r="AE101" s="438"/>
      <c r="AF101" s="522"/>
      <c r="AH101" s="390"/>
    </row>
    <row r="102" spans="1:34" s="141" customFormat="1">
      <c r="A102" s="251"/>
      <c r="B102" s="426"/>
      <c r="C102" s="306"/>
      <c r="D102" s="417"/>
      <c r="E102" s="273"/>
      <c r="F102" s="273"/>
      <c r="G102" s="231"/>
      <c r="H102" s="426"/>
      <c r="I102" s="426"/>
      <c r="J102" s="427"/>
      <c r="K102" s="428"/>
      <c r="L102" s="316"/>
      <c r="M102" s="316"/>
      <c r="N102" s="325"/>
      <c r="O102" s="325"/>
      <c r="P102" s="429"/>
      <c r="Q102" s="325"/>
      <c r="R102" s="325"/>
      <c r="S102" s="426"/>
      <c r="T102" s="232"/>
      <c r="U102" s="232"/>
      <c r="V102" s="232"/>
      <c r="W102" s="232"/>
      <c r="X102" s="233"/>
      <c r="Y102" s="232"/>
      <c r="Z102" s="232"/>
      <c r="AA102" s="232"/>
      <c r="AB102" s="330"/>
      <c r="AC102" s="230"/>
      <c r="AD102" s="331"/>
      <c r="AE102" s="438"/>
      <c r="AF102" s="522"/>
      <c r="AH102" s="390"/>
    </row>
    <row r="103" spans="1:34" s="141" customFormat="1">
      <c r="A103" s="251"/>
      <c r="B103" s="426"/>
      <c r="C103" s="306"/>
      <c r="D103" s="417"/>
      <c r="E103" s="273"/>
      <c r="F103" s="273"/>
      <c r="G103" s="231"/>
      <c r="H103" s="426"/>
      <c r="I103" s="426"/>
      <c r="J103" s="427"/>
      <c r="K103" s="428"/>
      <c r="L103" s="316"/>
      <c r="M103" s="316"/>
      <c r="N103" s="325"/>
      <c r="O103" s="325"/>
      <c r="P103" s="429"/>
      <c r="Q103" s="325"/>
      <c r="R103" s="325"/>
      <c r="S103" s="426"/>
      <c r="T103" s="232"/>
      <c r="U103" s="232"/>
      <c r="V103" s="232"/>
      <c r="W103" s="232"/>
      <c r="X103" s="233"/>
      <c r="Y103" s="232"/>
      <c r="Z103" s="232"/>
      <c r="AA103" s="232"/>
      <c r="AB103" s="330"/>
      <c r="AC103" s="230"/>
      <c r="AD103" s="331"/>
      <c r="AE103" s="438"/>
      <c r="AF103" s="522"/>
      <c r="AH103" s="390"/>
    </row>
    <row r="104" spans="1:34" s="141" customFormat="1">
      <c r="A104" s="251"/>
      <c r="B104" s="426"/>
      <c r="C104" s="306"/>
      <c r="D104" s="417"/>
      <c r="E104" s="273"/>
      <c r="F104" s="273"/>
      <c r="G104" s="231"/>
      <c r="H104" s="426"/>
      <c r="I104" s="426"/>
      <c r="J104" s="427"/>
      <c r="K104" s="428"/>
      <c r="L104" s="316"/>
      <c r="M104" s="316"/>
      <c r="N104" s="325"/>
      <c r="O104" s="325"/>
      <c r="P104" s="429"/>
      <c r="Q104" s="325"/>
      <c r="R104" s="325"/>
      <c r="S104" s="426"/>
      <c r="T104" s="232"/>
      <c r="U104" s="232"/>
      <c r="V104" s="232"/>
      <c r="W104" s="232"/>
      <c r="X104" s="233"/>
      <c r="Y104" s="232"/>
      <c r="Z104" s="232"/>
      <c r="AA104" s="232"/>
      <c r="AB104" s="330"/>
      <c r="AC104" s="230"/>
      <c r="AD104" s="331"/>
      <c r="AE104" s="438"/>
      <c r="AF104" s="522"/>
      <c r="AH104" s="390"/>
    </row>
    <row r="105" spans="1:34" s="141" customFormat="1">
      <c r="A105" s="251"/>
      <c r="B105" s="426"/>
      <c r="C105" s="306"/>
      <c r="D105" s="417"/>
      <c r="E105" s="273"/>
      <c r="F105" s="273"/>
      <c r="G105" s="231"/>
      <c r="H105" s="426"/>
      <c r="I105" s="426"/>
      <c r="J105" s="427"/>
      <c r="K105" s="428"/>
      <c r="L105" s="316"/>
      <c r="M105" s="316"/>
      <c r="N105" s="325"/>
      <c r="O105" s="325"/>
      <c r="P105" s="429"/>
      <c r="Q105" s="325"/>
      <c r="R105" s="325"/>
      <c r="S105" s="426"/>
      <c r="T105" s="232"/>
      <c r="U105" s="232"/>
      <c r="V105" s="232"/>
      <c r="W105" s="232"/>
      <c r="X105" s="233"/>
      <c r="Y105" s="232"/>
      <c r="Z105" s="232"/>
      <c r="AA105" s="232"/>
      <c r="AB105" s="330"/>
      <c r="AC105" s="230"/>
      <c r="AD105" s="331"/>
      <c r="AE105" s="438"/>
      <c r="AF105" s="522"/>
      <c r="AH105" s="390"/>
    </row>
    <row r="106" spans="1:34" s="141" customFormat="1">
      <c r="A106" s="251"/>
      <c r="B106" s="426"/>
      <c r="C106" s="306"/>
      <c r="D106" s="417"/>
      <c r="E106" s="273"/>
      <c r="F106" s="273"/>
      <c r="G106" s="231"/>
      <c r="H106" s="426"/>
      <c r="I106" s="426"/>
      <c r="J106" s="427"/>
      <c r="K106" s="428"/>
      <c r="L106" s="316"/>
      <c r="M106" s="316"/>
      <c r="N106" s="325"/>
      <c r="O106" s="325"/>
      <c r="P106" s="429"/>
      <c r="Q106" s="325"/>
      <c r="R106" s="325"/>
      <c r="S106" s="426"/>
      <c r="T106" s="232"/>
      <c r="U106" s="232"/>
      <c r="V106" s="232"/>
      <c r="W106" s="232"/>
      <c r="X106" s="233"/>
      <c r="Y106" s="232"/>
      <c r="Z106" s="232"/>
      <c r="AA106" s="232"/>
      <c r="AB106" s="330"/>
      <c r="AC106" s="230"/>
      <c r="AD106" s="331"/>
      <c r="AE106" s="438"/>
      <c r="AF106" s="522"/>
      <c r="AH106" s="390"/>
    </row>
    <row r="107" spans="1:34" s="141" customFormat="1">
      <c r="A107" s="251"/>
      <c r="B107" s="426"/>
      <c r="C107" s="306"/>
      <c r="D107" s="417"/>
      <c r="E107" s="273"/>
      <c r="F107" s="273"/>
      <c r="G107" s="231"/>
      <c r="H107" s="426"/>
      <c r="I107" s="426"/>
      <c r="J107" s="427"/>
      <c r="K107" s="428"/>
      <c r="L107" s="316"/>
      <c r="M107" s="316"/>
      <c r="N107" s="325"/>
      <c r="O107" s="325"/>
      <c r="P107" s="429"/>
      <c r="Q107" s="325"/>
      <c r="R107" s="325"/>
      <c r="S107" s="426"/>
      <c r="T107" s="232"/>
      <c r="U107" s="232"/>
      <c r="V107" s="232"/>
      <c r="W107" s="232"/>
      <c r="X107" s="233"/>
      <c r="Y107" s="232"/>
      <c r="Z107" s="232"/>
      <c r="AA107" s="232"/>
      <c r="AB107" s="330"/>
      <c r="AC107" s="230"/>
      <c r="AD107" s="331"/>
      <c r="AE107" s="438"/>
      <c r="AF107" s="522"/>
      <c r="AH107" s="390"/>
    </row>
    <row r="108" spans="1:34" s="141" customFormat="1">
      <c r="A108" s="251"/>
      <c r="B108" s="426"/>
      <c r="C108" s="306"/>
      <c r="D108" s="417"/>
      <c r="E108" s="273"/>
      <c r="F108" s="273"/>
      <c r="G108" s="231"/>
      <c r="H108" s="426"/>
      <c r="I108" s="426"/>
      <c r="J108" s="427"/>
      <c r="K108" s="428"/>
      <c r="L108" s="316"/>
      <c r="M108" s="316"/>
      <c r="N108" s="325"/>
      <c r="O108" s="325"/>
      <c r="P108" s="429"/>
      <c r="Q108" s="325"/>
      <c r="R108" s="325"/>
      <c r="S108" s="426"/>
      <c r="T108" s="232"/>
      <c r="U108" s="232"/>
      <c r="V108" s="232"/>
      <c r="W108" s="232"/>
      <c r="X108" s="233"/>
      <c r="Y108" s="232"/>
      <c r="Z108" s="232"/>
      <c r="AA108" s="232"/>
      <c r="AB108" s="330"/>
      <c r="AC108" s="230"/>
      <c r="AD108" s="331"/>
      <c r="AE108" s="438"/>
      <c r="AF108" s="522"/>
      <c r="AH108" s="390"/>
    </row>
    <row r="109" spans="1:34" s="141" customFormat="1">
      <c r="A109" s="251"/>
      <c r="B109" s="426"/>
      <c r="C109" s="306"/>
      <c r="D109" s="417"/>
      <c r="E109" s="273"/>
      <c r="F109" s="273"/>
      <c r="G109" s="231"/>
      <c r="H109" s="426"/>
      <c r="I109" s="426"/>
      <c r="J109" s="427"/>
      <c r="K109" s="428"/>
      <c r="L109" s="316"/>
      <c r="M109" s="316"/>
      <c r="N109" s="325"/>
      <c r="O109" s="325"/>
      <c r="P109" s="429"/>
      <c r="Q109" s="325"/>
      <c r="R109" s="325"/>
      <c r="S109" s="426"/>
      <c r="T109" s="232"/>
      <c r="U109" s="232"/>
      <c r="V109" s="232"/>
      <c r="W109" s="232"/>
      <c r="X109" s="233"/>
      <c r="Y109" s="232"/>
      <c r="Z109" s="232"/>
      <c r="AA109" s="232"/>
      <c r="AB109" s="330"/>
      <c r="AC109" s="230"/>
      <c r="AD109" s="331"/>
      <c r="AE109" s="438"/>
      <c r="AF109" s="522"/>
      <c r="AH109" s="390"/>
    </row>
    <row r="110" spans="1:34" s="141" customFormat="1">
      <c r="A110" s="251"/>
      <c r="B110" s="426"/>
      <c r="C110" s="306"/>
      <c r="D110" s="417"/>
      <c r="E110" s="273"/>
      <c r="F110" s="273"/>
      <c r="G110" s="231"/>
      <c r="H110" s="426"/>
      <c r="I110" s="426"/>
      <c r="J110" s="427"/>
      <c r="K110" s="428"/>
      <c r="L110" s="316"/>
      <c r="M110" s="316"/>
      <c r="N110" s="325"/>
      <c r="O110" s="325"/>
      <c r="P110" s="429"/>
      <c r="Q110" s="325"/>
      <c r="R110" s="325"/>
      <c r="S110" s="426"/>
      <c r="T110" s="232"/>
      <c r="U110" s="232"/>
      <c r="V110" s="232"/>
      <c r="W110" s="232"/>
      <c r="X110" s="233"/>
      <c r="Y110" s="232"/>
      <c r="Z110" s="232"/>
      <c r="AA110" s="232"/>
      <c r="AB110" s="330"/>
      <c r="AC110" s="230"/>
      <c r="AD110" s="331"/>
      <c r="AE110" s="438"/>
      <c r="AF110" s="522"/>
      <c r="AH110" s="390"/>
    </row>
    <row r="111" spans="1:34" s="141" customFormat="1">
      <c r="A111" s="251"/>
      <c r="B111" s="426"/>
      <c r="C111" s="306"/>
      <c r="D111" s="417"/>
      <c r="E111" s="273"/>
      <c r="F111" s="273"/>
      <c r="G111" s="231"/>
      <c r="H111" s="426"/>
      <c r="I111" s="426"/>
      <c r="J111" s="427"/>
      <c r="K111" s="428"/>
      <c r="L111" s="316"/>
      <c r="M111" s="316"/>
      <c r="N111" s="325"/>
      <c r="O111" s="325"/>
      <c r="P111" s="429"/>
      <c r="Q111" s="325"/>
      <c r="R111" s="325"/>
      <c r="S111" s="426"/>
      <c r="T111" s="232"/>
      <c r="U111" s="232"/>
      <c r="V111" s="232"/>
      <c r="W111" s="232"/>
      <c r="X111" s="233"/>
      <c r="Y111" s="232"/>
      <c r="Z111" s="232"/>
      <c r="AA111" s="232"/>
      <c r="AB111" s="330"/>
      <c r="AC111" s="230"/>
      <c r="AD111" s="331"/>
      <c r="AE111" s="438"/>
      <c r="AF111" s="522"/>
      <c r="AH111" s="390"/>
    </row>
    <row r="112" spans="1:34" s="141" customFormat="1">
      <c r="A112" s="251"/>
      <c r="B112" s="426"/>
      <c r="C112" s="306"/>
      <c r="D112" s="417"/>
      <c r="E112" s="273"/>
      <c r="F112" s="273"/>
      <c r="G112" s="231"/>
      <c r="H112" s="426"/>
      <c r="I112" s="426"/>
      <c r="J112" s="427"/>
      <c r="K112" s="428"/>
      <c r="L112" s="316"/>
      <c r="M112" s="316"/>
      <c r="N112" s="325"/>
      <c r="O112" s="325"/>
      <c r="P112" s="429"/>
      <c r="Q112" s="325"/>
      <c r="R112" s="325"/>
      <c r="S112" s="426"/>
      <c r="T112" s="232"/>
      <c r="U112" s="232"/>
      <c r="V112" s="232"/>
      <c r="W112" s="232"/>
      <c r="X112" s="233"/>
      <c r="Y112" s="232"/>
      <c r="Z112" s="232"/>
      <c r="AA112" s="232"/>
      <c r="AB112" s="330"/>
      <c r="AC112" s="230"/>
      <c r="AD112" s="331"/>
      <c r="AE112" s="438"/>
      <c r="AF112" s="522"/>
      <c r="AH112" s="390"/>
    </row>
    <row r="113" spans="1:34" s="141" customFormat="1">
      <c r="A113" s="251"/>
      <c r="B113" s="426"/>
      <c r="C113" s="306"/>
      <c r="D113" s="417"/>
      <c r="E113" s="273"/>
      <c r="F113" s="273"/>
      <c r="G113" s="231"/>
      <c r="H113" s="426"/>
      <c r="I113" s="426"/>
      <c r="J113" s="427"/>
      <c r="K113" s="428"/>
      <c r="L113" s="316"/>
      <c r="M113" s="316"/>
      <c r="N113" s="325"/>
      <c r="O113" s="325"/>
      <c r="P113" s="429"/>
      <c r="Q113" s="325"/>
      <c r="R113" s="325"/>
      <c r="S113" s="426"/>
      <c r="T113" s="232"/>
      <c r="U113" s="232"/>
      <c r="V113" s="232"/>
      <c r="W113" s="232"/>
      <c r="X113" s="233"/>
      <c r="Y113" s="232"/>
      <c r="Z113" s="232"/>
      <c r="AA113" s="232"/>
      <c r="AB113" s="330"/>
      <c r="AC113" s="230"/>
      <c r="AD113" s="331"/>
      <c r="AE113" s="438"/>
      <c r="AF113" s="522"/>
      <c r="AH113" s="390"/>
    </row>
    <row r="114" spans="1:34" s="141" customFormat="1">
      <c r="A114" s="251"/>
      <c r="B114" s="426"/>
      <c r="C114" s="306"/>
      <c r="D114" s="417"/>
      <c r="E114" s="273"/>
      <c r="F114" s="273"/>
      <c r="G114" s="231"/>
      <c r="H114" s="426"/>
      <c r="I114" s="426"/>
      <c r="J114" s="427"/>
      <c r="K114" s="428"/>
      <c r="L114" s="316"/>
      <c r="M114" s="316"/>
      <c r="N114" s="325"/>
      <c r="O114" s="325"/>
      <c r="P114" s="429"/>
      <c r="Q114" s="325"/>
      <c r="R114" s="325"/>
      <c r="S114" s="426"/>
      <c r="T114" s="232"/>
      <c r="U114" s="232"/>
      <c r="V114" s="232"/>
      <c r="W114" s="232"/>
      <c r="X114" s="233"/>
      <c r="Y114" s="232"/>
      <c r="Z114" s="232"/>
      <c r="AA114" s="232"/>
      <c r="AB114" s="330"/>
      <c r="AC114" s="230"/>
      <c r="AD114" s="331"/>
      <c r="AE114" s="438"/>
      <c r="AF114" s="522"/>
      <c r="AH114" s="390"/>
    </row>
    <row r="115" spans="1:34" s="141" customFormat="1">
      <c r="A115" s="251"/>
      <c r="B115" s="426"/>
      <c r="C115" s="306"/>
      <c r="D115" s="417"/>
      <c r="E115" s="273"/>
      <c r="F115" s="273"/>
      <c r="G115" s="231"/>
      <c r="H115" s="426"/>
      <c r="I115" s="426"/>
      <c r="J115" s="427"/>
      <c r="K115" s="428"/>
      <c r="L115" s="316"/>
      <c r="M115" s="316"/>
      <c r="N115" s="325"/>
      <c r="O115" s="325"/>
      <c r="P115" s="429"/>
      <c r="Q115" s="325"/>
      <c r="R115" s="325"/>
      <c r="S115" s="426"/>
      <c r="T115" s="232"/>
      <c r="U115" s="232"/>
      <c r="V115" s="232"/>
      <c r="W115" s="232"/>
      <c r="X115" s="233"/>
      <c r="Y115" s="232"/>
      <c r="Z115" s="232"/>
      <c r="AA115" s="232"/>
      <c r="AB115" s="330"/>
      <c r="AC115" s="230"/>
      <c r="AD115" s="331"/>
      <c r="AE115" s="438"/>
      <c r="AF115" s="522"/>
      <c r="AH115" s="390"/>
    </row>
    <row r="116" spans="1:34" s="141" customFormat="1">
      <c r="A116" s="251"/>
      <c r="B116" s="426"/>
      <c r="C116" s="306"/>
      <c r="D116" s="417"/>
      <c r="E116" s="273"/>
      <c r="F116" s="273"/>
      <c r="G116" s="231"/>
      <c r="H116" s="426"/>
      <c r="I116" s="426"/>
      <c r="J116" s="427"/>
      <c r="K116" s="428"/>
      <c r="L116" s="316"/>
      <c r="M116" s="316"/>
      <c r="N116" s="325"/>
      <c r="O116" s="325"/>
      <c r="P116" s="429"/>
      <c r="Q116" s="325"/>
      <c r="R116" s="325"/>
      <c r="S116" s="426"/>
      <c r="T116" s="232"/>
      <c r="U116" s="232"/>
      <c r="V116" s="232"/>
      <c r="W116" s="232"/>
      <c r="X116" s="233"/>
      <c r="Y116" s="232"/>
      <c r="Z116" s="232"/>
      <c r="AA116" s="232"/>
      <c r="AB116" s="330"/>
      <c r="AC116" s="230"/>
      <c r="AD116" s="331"/>
      <c r="AE116" s="438"/>
      <c r="AF116" s="522"/>
      <c r="AH116" s="390"/>
    </row>
    <row r="117" spans="1:34" s="141" customFormat="1">
      <c r="A117" s="251"/>
      <c r="B117" s="426"/>
      <c r="C117" s="306"/>
      <c r="D117" s="417"/>
      <c r="E117" s="273"/>
      <c r="F117" s="273"/>
      <c r="G117" s="231"/>
      <c r="H117" s="426"/>
      <c r="I117" s="426"/>
      <c r="J117" s="427"/>
      <c r="K117" s="428"/>
      <c r="L117" s="316"/>
      <c r="M117" s="316"/>
      <c r="N117" s="325"/>
      <c r="O117" s="325"/>
      <c r="P117" s="429"/>
      <c r="Q117" s="325"/>
      <c r="R117" s="325"/>
      <c r="S117" s="426"/>
      <c r="T117" s="232"/>
      <c r="U117" s="232"/>
      <c r="V117" s="232"/>
      <c r="W117" s="232"/>
      <c r="X117" s="233"/>
      <c r="Y117" s="232"/>
      <c r="Z117" s="232"/>
      <c r="AA117" s="232"/>
      <c r="AB117" s="330"/>
      <c r="AC117" s="230"/>
      <c r="AD117" s="331"/>
      <c r="AE117" s="438"/>
      <c r="AF117" s="522"/>
      <c r="AH117" s="390"/>
    </row>
    <row r="118" spans="1:34" s="141" customFormat="1">
      <c r="A118" s="251"/>
      <c r="B118" s="426"/>
      <c r="C118" s="306"/>
      <c r="D118" s="417"/>
      <c r="E118" s="273"/>
      <c r="F118" s="273"/>
      <c r="G118" s="231"/>
      <c r="H118" s="426"/>
      <c r="I118" s="426"/>
      <c r="J118" s="427"/>
      <c r="K118" s="428"/>
      <c r="L118" s="316"/>
      <c r="M118" s="316"/>
      <c r="N118" s="325"/>
      <c r="O118" s="325"/>
      <c r="P118" s="429"/>
      <c r="Q118" s="325"/>
      <c r="R118" s="325"/>
      <c r="S118" s="426"/>
      <c r="T118" s="232"/>
      <c r="U118" s="232"/>
      <c r="V118" s="232"/>
      <c r="W118" s="232"/>
      <c r="X118" s="233"/>
      <c r="Y118" s="232"/>
      <c r="Z118" s="232"/>
      <c r="AA118" s="232"/>
      <c r="AB118" s="330"/>
      <c r="AC118" s="230"/>
      <c r="AD118" s="331"/>
      <c r="AE118" s="438"/>
      <c r="AF118" s="522"/>
      <c r="AH118" s="390"/>
    </row>
    <row r="119" spans="1:34" s="141" customFormat="1">
      <c r="A119" s="251"/>
      <c r="B119" s="426"/>
      <c r="C119" s="306"/>
      <c r="D119" s="417"/>
      <c r="E119" s="273"/>
      <c r="F119" s="273"/>
      <c r="G119" s="231"/>
      <c r="H119" s="426"/>
      <c r="I119" s="426"/>
      <c r="J119" s="427"/>
      <c r="K119" s="428"/>
      <c r="L119" s="316"/>
      <c r="M119" s="316"/>
      <c r="N119" s="325"/>
      <c r="O119" s="325"/>
      <c r="P119" s="429"/>
      <c r="Q119" s="325"/>
      <c r="R119" s="325"/>
      <c r="S119" s="426"/>
      <c r="T119" s="232"/>
      <c r="U119" s="232"/>
      <c r="V119" s="232"/>
      <c r="W119" s="232"/>
      <c r="X119" s="233"/>
      <c r="Y119" s="232"/>
      <c r="Z119" s="232"/>
      <c r="AA119" s="232"/>
      <c r="AB119" s="330"/>
      <c r="AC119" s="230"/>
      <c r="AD119" s="331"/>
      <c r="AE119" s="438"/>
      <c r="AF119" s="522"/>
      <c r="AH119" s="390"/>
    </row>
    <row r="120" spans="1:34" s="141" customFormat="1">
      <c r="A120" s="251"/>
      <c r="B120" s="426"/>
      <c r="C120" s="306"/>
      <c r="D120" s="417"/>
      <c r="E120" s="273"/>
      <c r="F120" s="273"/>
      <c r="G120" s="231"/>
      <c r="H120" s="426"/>
      <c r="I120" s="426"/>
      <c r="J120" s="427"/>
      <c r="K120" s="428"/>
      <c r="L120" s="316"/>
      <c r="M120" s="316"/>
      <c r="N120" s="325"/>
      <c r="O120" s="325"/>
      <c r="P120" s="429"/>
      <c r="Q120" s="325"/>
      <c r="R120" s="325"/>
      <c r="S120" s="426"/>
      <c r="T120" s="232"/>
      <c r="U120" s="232"/>
      <c r="V120" s="232"/>
      <c r="W120" s="232"/>
      <c r="X120" s="233"/>
      <c r="Y120" s="232"/>
      <c r="Z120" s="232"/>
      <c r="AA120" s="232"/>
      <c r="AB120" s="330"/>
      <c r="AC120" s="230"/>
      <c r="AD120" s="331"/>
      <c r="AE120" s="438"/>
      <c r="AF120" s="522"/>
      <c r="AH120" s="390"/>
    </row>
    <row r="121" spans="1:34" s="141" customFormat="1">
      <c r="A121" s="251"/>
      <c r="B121" s="426"/>
      <c r="C121" s="306"/>
      <c r="D121" s="417"/>
      <c r="E121" s="273"/>
      <c r="F121" s="273"/>
      <c r="G121" s="231"/>
      <c r="H121" s="426"/>
      <c r="I121" s="426"/>
      <c r="J121" s="427"/>
      <c r="K121" s="428"/>
      <c r="L121" s="316"/>
      <c r="M121" s="316"/>
      <c r="N121" s="325"/>
      <c r="O121" s="325"/>
      <c r="P121" s="429"/>
      <c r="Q121" s="325"/>
      <c r="R121" s="325"/>
      <c r="S121" s="426"/>
      <c r="T121" s="232"/>
      <c r="U121" s="232"/>
      <c r="V121" s="232"/>
      <c r="W121" s="232"/>
      <c r="X121" s="233"/>
      <c r="Y121" s="232"/>
      <c r="Z121" s="232"/>
      <c r="AA121" s="232"/>
      <c r="AB121" s="330"/>
      <c r="AC121" s="230"/>
      <c r="AD121" s="331"/>
      <c r="AE121" s="438"/>
      <c r="AF121" s="522"/>
      <c r="AH121" s="390"/>
    </row>
    <row r="122" spans="1:34" s="141" customFormat="1">
      <c r="A122" s="251"/>
      <c r="B122" s="426"/>
      <c r="C122" s="306"/>
      <c r="D122" s="417"/>
      <c r="E122" s="273"/>
      <c r="F122" s="273"/>
      <c r="G122" s="231"/>
      <c r="H122" s="426"/>
      <c r="I122" s="426"/>
      <c r="J122" s="427"/>
      <c r="K122" s="428"/>
      <c r="L122" s="316"/>
      <c r="M122" s="316"/>
      <c r="N122" s="325"/>
      <c r="O122" s="325"/>
      <c r="P122" s="429"/>
      <c r="Q122" s="325"/>
      <c r="R122" s="325"/>
      <c r="S122" s="426"/>
      <c r="T122" s="232"/>
      <c r="U122" s="232"/>
      <c r="V122" s="232"/>
      <c r="W122" s="232"/>
      <c r="X122" s="233"/>
      <c r="Y122" s="232"/>
      <c r="Z122" s="232"/>
      <c r="AA122" s="232"/>
      <c r="AB122" s="330"/>
      <c r="AC122" s="230"/>
      <c r="AD122" s="331"/>
      <c r="AE122" s="438"/>
      <c r="AF122" s="522"/>
      <c r="AH122" s="390"/>
    </row>
    <row r="123" spans="1:34" s="141" customFormat="1">
      <c r="A123" s="251"/>
      <c r="B123" s="426"/>
      <c r="C123" s="306"/>
      <c r="D123" s="417"/>
      <c r="E123" s="273"/>
      <c r="F123" s="273"/>
      <c r="G123" s="231"/>
      <c r="H123" s="426"/>
      <c r="I123" s="426"/>
      <c r="J123" s="427"/>
      <c r="K123" s="428"/>
      <c r="L123" s="316"/>
      <c r="M123" s="316"/>
      <c r="N123" s="325"/>
      <c r="O123" s="325"/>
      <c r="P123" s="429"/>
      <c r="Q123" s="325"/>
      <c r="R123" s="325"/>
      <c r="S123" s="426"/>
      <c r="T123" s="232"/>
      <c r="U123" s="232"/>
      <c r="V123" s="232"/>
      <c r="W123" s="232"/>
      <c r="X123" s="233"/>
      <c r="Y123" s="232"/>
      <c r="Z123" s="232"/>
      <c r="AA123" s="232"/>
      <c r="AB123" s="330"/>
      <c r="AC123" s="230"/>
      <c r="AD123" s="331"/>
      <c r="AE123" s="438"/>
      <c r="AF123" s="522"/>
      <c r="AH123" s="390"/>
    </row>
    <row r="124" spans="1:34" s="141" customFormat="1">
      <c r="A124" s="251"/>
      <c r="B124" s="426"/>
      <c r="C124" s="306"/>
      <c r="D124" s="417"/>
      <c r="E124" s="273"/>
      <c r="F124" s="273"/>
      <c r="G124" s="231"/>
      <c r="H124" s="426"/>
      <c r="I124" s="426"/>
      <c r="J124" s="427"/>
      <c r="K124" s="428"/>
      <c r="L124" s="316"/>
      <c r="M124" s="316"/>
      <c r="N124" s="325"/>
      <c r="O124" s="325"/>
      <c r="P124" s="429"/>
      <c r="Q124" s="325"/>
      <c r="R124" s="325"/>
      <c r="S124" s="426"/>
      <c r="T124" s="232"/>
      <c r="U124" s="232"/>
      <c r="V124" s="232"/>
      <c r="W124" s="232"/>
      <c r="X124" s="233"/>
      <c r="Y124" s="232"/>
      <c r="Z124" s="232"/>
      <c r="AA124" s="232"/>
      <c r="AB124" s="330"/>
      <c r="AC124" s="230"/>
      <c r="AD124" s="331"/>
      <c r="AE124" s="438"/>
      <c r="AF124" s="522"/>
      <c r="AH124" s="390"/>
    </row>
    <row r="125" spans="1:34" s="141" customFormat="1">
      <c r="A125" s="251"/>
      <c r="B125" s="426"/>
      <c r="C125" s="306"/>
      <c r="D125" s="417"/>
      <c r="E125" s="273"/>
      <c r="F125" s="273"/>
      <c r="G125" s="231"/>
      <c r="H125" s="426"/>
      <c r="I125" s="426"/>
      <c r="J125" s="427"/>
      <c r="K125" s="428"/>
      <c r="L125" s="316"/>
      <c r="M125" s="316"/>
      <c r="N125" s="325"/>
      <c r="O125" s="325"/>
      <c r="P125" s="429"/>
      <c r="Q125" s="325"/>
      <c r="R125" s="325"/>
      <c r="S125" s="426"/>
      <c r="T125" s="232"/>
      <c r="U125" s="232"/>
      <c r="V125" s="232"/>
      <c r="W125" s="232"/>
      <c r="X125" s="233"/>
      <c r="Y125" s="232"/>
      <c r="Z125" s="232"/>
      <c r="AA125" s="232"/>
      <c r="AB125" s="330"/>
      <c r="AC125" s="230"/>
      <c r="AD125" s="331"/>
      <c r="AE125" s="438"/>
      <c r="AF125" s="522"/>
      <c r="AH125" s="390"/>
    </row>
    <row r="126" spans="1:34" s="141" customFormat="1">
      <c r="A126" s="251"/>
      <c r="B126" s="426"/>
      <c r="C126" s="306"/>
      <c r="D126" s="417"/>
      <c r="E126" s="273"/>
      <c r="F126" s="273"/>
      <c r="G126" s="231"/>
      <c r="H126" s="426"/>
      <c r="I126" s="426"/>
      <c r="J126" s="427"/>
      <c r="K126" s="428"/>
      <c r="L126" s="316"/>
      <c r="M126" s="316"/>
      <c r="N126" s="325"/>
      <c r="O126" s="325"/>
      <c r="P126" s="429"/>
      <c r="Q126" s="325"/>
      <c r="R126" s="325"/>
      <c r="S126" s="426"/>
      <c r="T126" s="232"/>
      <c r="U126" s="232"/>
      <c r="V126" s="232"/>
      <c r="W126" s="232"/>
      <c r="X126" s="233"/>
      <c r="Y126" s="232"/>
      <c r="Z126" s="232"/>
      <c r="AA126" s="232"/>
      <c r="AB126" s="330"/>
      <c r="AC126" s="230"/>
      <c r="AD126" s="331"/>
      <c r="AE126" s="438"/>
      <c r="AF126" s="522"/>
      <c r="AH126" s="390"/>
    </row>
    <row r="127" spans="1:34" s="141" customFormat="1">
      <c r="A127" s="251"/>
      <c r="B127" s="426"/>
      <c r="C127" s="306"/>
      <c r="D127" s="417"/>
      <c r="E127" s="273"/>
      <c r="F127" s="273"/>
      <c r="G127" s="231"/>
      <c r="H127" s="426"/>
      <c r="I127" s="426"/>
      <c r="J127" s="427"/>
      <c r="K127" s="428"/>
      <c r="L127" s="316"/>
      <c r="M127" s="316"/>
      <c r="N127" s="325"/>
      <c r="O127" s="325"/>
      <c r="P127" s="429"/>
      <c r="Q127" s="325"/>
      <c r="R127" s="325"/>
      <c r="S127" s="426"/>
      <c r="T127" s="232"/>
      <c r="U127" s="232"/>
      <c r="V127" s="232"/>
      <c r="W127" s="232"/>
      <c r="X127" s="233"/>
      <c r="Y127" s="232"/>
      <c r="Z127" s="232"/>
      <c r="AA127" s="232"/>
      <c r="AB127" s="330"/>
      <c r="AC127" s="230"/>
      <c r="AD127" s="331"/>
      <c r="AE127" s="438"/>
      <c r="AF127" s="522"/>
      <c r="AH127" s="390"/>
    </row>
    <row r="128" spans="1:34" s="141" customFormat="1">
      <c r="A128" s="251"/>
      <c r="B128" s="426"/>
      <c r="C128" s="306"/>
      <c r="D128" s="417"/>
      <c r="E128" s="273"/>
      <c r="F128" s="273"/>
      <c r="G128" s="231"/>
      <c r="H128" s="426"/>
      <c r="I128" s="426"/>
      <c r="J128" s="427"/>
      <c r="K128" s="428"/>
      <c r="L128" s="316"/>
      <c r="M128" s="316"/>
      <c r="N128" s="325"/>
      <c r="O128" s="325"/>
      <c r="P128" s="429"/>
      <c r="Q128" s="325"/>
      <c r="R128" s="325"/>
      <c r="S128" s="426"/>
      <c r="T128" s="232"/>
      <c r="U128" s="232"/>
      <c r="V128" s="232"/>
      <c r="W128" s="232"/>
      <c r="X128" s="233"/>
      <c r="Y128" s="232"/>
      <c r="Z128" s="232"/>
      <c r="AA128" s="232"/>
      <c r="AB128" s="330"/>
      <c r="AC128" s="230"/>
      <c r="AD128" s="331"/>
      <c r="AE128" s="438"/>
      <c r="AF128" s="522"/>
      <c r="AH128" s="390"/>
    </row>
    <row r="129" spans="1:34" s="141" customFormat="1">
      <c r="A129" s="251"/>
      <c r="B129" s="426"/>
      <c r="C129" s="306"/>
      <c r="D129" s="417"/>
      <c r="E129" s="273"/>
      <c r="F129" s="273"/>
      <c r="G129" s="231"/>
      <c r="H129" s="426"/>
      <c r="I129" s="426"/>
      <c r="J129" s="427"/>
      <c r="K129" s="428"/>
      <c r="L129" s="316"/>
      <c r="M129" s="316"/>
      <c r="N129" s="325"/>
      <c r="O129" s="325"/>
      <c r="P129" s="429"/>
      <c r="Q129" s="325"/>
      <c r="R129" s="325"/>
      <c r="S129" s="426"/>
      <c r="T129" s="232"/>
      <c r="U129" s="232"/>
      <c r="V129" s="232"/>
      <c r="W129" s="232"/>
      <c r="X129" s="233"/>
      <c r="Y129" s="232"/>
      <c r="Z129" s="232"/>
      <c r="AA129" s="232"/>
      <c r="AB129" s="330"/>
      <c r="AC129" s="230"/>
      <c r="AD129" s="331"/>
      <c r="AE129" s="438"/>
      <c r="AF129" s="522"/>
      <c r="AH129" s="390"/>
    </row>
    <row r="130" spans="1:34" s="141" customFormat="1">
      <c r="A130" s="251"/>
      <c r="B130" s="426"/>
      <c r="C130" s="306"/>
      <c r="D130" s="417"/>
      <c r="E130" s="273"/>
      <c r="F130" s="273"/>
      <c r="G130" s="231"/>
      <c r="H130" s="426"/>
      <c r="I130" s="426"/>
      <c r="J130" s="427"/>
      <c r="K130" s="428"/>
      <c r="L130" s="316"/>
      <c r="M130" s="316"/>
      <c r="N130" s="325"/>
      <c r="O130" s="325"/>
      <c r="P130" s="429"/>
      <c r="Q130" s="325"/>
      <c r="R130" s="325"/>
      <c r="S130" s="426"/>
      <c r="T130" s="232"/>
      <c r="U130" s="232"/>
      <c r="V130" s="232"/>
      <c r="W130" s="232"/>
      <c r="X130" s="233"/>
      <c r="Y130" s="232"/>
      <c r="Z130" s="232"/>
      <c r="AA130" s="232"/>
      <c r="AB130" s="330"/>
      <c r="AC130" s="230"/>
      <c r="AD130" s="331"/>
      <c r="AE130" s="438"/>
      <c r="AF130" s="522"/>
      <c r="AH130" s="390"/>
    </row>
    <row r="131" spans="1:34" s="141" customFormat="1">
      <c r="A131" s="251"/>
      <c r="B131" s="426"/>
      <c r="C131" s="306"/>
      <c r="D131" s="417"/>
      <c r="E131" s="273"/>
      <c r="F131" s="273"/>
      <c r="G131" s="231"/>
      <c r="H131" s="426"/>
      <c r="I131" s="426"/>
      <c r="J131" s="427"/>
      <c r="K131" s="428"/>
      <c r="L131" s="316"/>
      <c r="M131" s="316"/>
      <c r="N131" s="325"/>
      <c r="O131" s="325"/>
      <c r="P131" s="429"/>
      <c r="Q131" s="325"/>
      <c r="R131" s="325"/>
      <c r="S131" s="426"/>
      <c r="T131" s="232"/>
      <c r="U131" s="232"/>
      <c r="V131" s="232"/>
      <c r="W131" s="232"/>
      <c r="X131" s="233"/>
      <c r="Y131" s="232"/>
      <c r="Z131" s="232"/>
      <c r="AA131" s="232"/>
      <c r="AB131" s="330"/>
      <c r="AC131" s="230"/>
      <c r="AD131" s="331"/>
      <c r="AE131" s="438"/>
      <c r="AF131" s="522"/>
      <c r="AH131" s="390"/>
    </row>
    <row r="132" spans="1:34" s="141" customFormat="1">
      <c r="A132" s="251"/>
      <c r="B132" s="426"/>
      <c r="C132" s="306"/>
      <c r="D132" s="417"/>
      <c r="E132" s="273"/>
      <c r="F132" s="273"/>
      <c r="G132" s="231"/>
      <c r="H132" s="426"/>
      <c r="I132" s="426"/>
      <c r="J132" s="427"/>
      <c r="K132" s="428"/>
      <c r="L132" s="316"/>
      <c r="M132" s="316"/>
      <c r="N132" s="325"/>
      <c r="O132" s="325"/>
      <c r="P132" s="429"/>
      <c r="Q132" s="325"/>
      <c r="R132" s="325"/>
      <c r="S132" s="426"/>
      <c r="T132" s="232"/>
      <c r="U132" s="232"/>
      <c r="V132" s="232"/>
      <c r="W132" s="232"/>
      <c r="X132" s="233"/>
      <c r="Y132" s="232"/>
      <c r="Z132" s="232"/>
      <c r="AA132" s="232"/>
      <c r="AB132" s="330"/>
      <c r="AC132" s="230"/>
      <c r="AD132" s="331"/>
      <c r="AE132" s="438"/>
      <c r="AF132" s="522"/>
      <c r="AH132" s="390"/>
    </row>
    <row r="133" spans="1:34" s="141" customFormat="1">
      <c r="A133" s="251"/>
      <c r="B133" s="426"/>
      <c r="C133" s="306"/>
      <c r="D133" s="417"/>
      <c r="E133" s="273"/>
      <c r="F133" s="273"/>
      <c r="G133" s="231"/>
      <c r="H133" s="426"/>
      <c r="I133" s="426"/>
      <c r="J133" s="427"/>
      <c r="K133" s="428"/>
      <c r="L133" s="316"/>
      <c r="M133" s="316"/>
      <c r="N133" s="325"/>
      <c r="O133" s="325"/>
      <c r="P133" s="429"/>
      <c r="Q133" s="325"/>
      <c r="R133" s="325"/>
      <c r="S133" s="426"/>
      <c r="T133" s="232"/>
      <c r="U133" s="232"/>
      <c r="V133" s="232"/>
      <c r="W133" s="232"/>
      <c r="X133" s="233"/>
      <c r="Y133" s="232"/>
      <c r="Z133" s="232"/>
      <c r="AA133" s="232"/>
      <c r="AB133" s="330"/>
      <c r="AC133" s="230"/>
      <c r="AD133" s="331"/>
      <c r="AE133" s="438"/>
      <c r="AF133" s="522"/>
      <c r="AH133" s="390"/>
    </row>
    <row r="134" spans="1:34" s="141" customFormat="1">
      <c r="A134" s="251"/>
      <c r="B134" s="426"/>
      <c r="C134" s="306"/>
      <c r="D134" s="417"/>
      <c r="E134" s="273"/>
      <c r="F134" s="273"/>
      <c r="G134" s="231"/>
      <c r="H134" s="426"/>
      <c r="I134" s="426"/>
      <c r="J134" s="427"/>
      <c r="K134" s="428"/>
      <c r="L134" s="316"/>
      <c r="M134" s="316"/>
      <c r="N134" s="325"/>
      <c r="O134" s="325"/>
      <c r="P134" s="429"/>
      <c r="Q134" s="325"/>
      <c r="R134" s="325"/>
      <c r="S134" s="426"/>
      <c r="T134" s="232"/>
      <c r="U134" s="232"/>
      <c r="V134" s="232"/>
      <c r="W134" s="232"/>
      <c r="X134" s="233"/>
      <c r="Y134" s="232"/>
      <c r="Z134" s="232"/>
      <c r="AA134" s="232"/>
      <c r="AB134" s="330"/>
      <c r="AC134" s="230"/>
      <c r="AD134" s="331"/>
      <c r="AE134" s="438"/>
      <c r="AF134" s="522"/>
      <c r="AH134" s="390"/>
    </row>
    <row r="135" spans="1:34" s="141" customFormat="1">
      <c r="A135" s="251"/>
      <c r="B135" s="426"/>
      <c r="C135" s="306"/>
      <c r="D135" s="417"/>
      <c r="E135" s="273"/>
      <c r="F135" s="273"/>
      <c r="G135" s="231"/>
      <c r="H135" s="426"/>
      <c r="I135" s="426"/>
      <c r="J135" s="427"/>
      <c r="K135" s="428"/>
      <c r="L135" s="316"/>
      <c r="M135" s="316"/>
      <c r="N135" s="325"/>
      <c r="O135" s="325"/>
      <c r="P135" s="429"/>
      <c r="Q135" s="325"/>
      <c r="R135" s="325"/>
      <c r="S135" s="426"/>
      <c r="T135" s="232"/>
      <c r="U135" s="232"/>
      <c r="V135" s="232"/>
      <c r="W135" s="232"/>
      <c r="X135" s="233"/>
      <c r="Y135" s="232"/>
      <c r="Z135" s="232"/>
      <c r="AA135" s="232"/>
      <c r="AB135" s="330"/>
      <c r="AC135" s="230"/>
      <c r="AD135" s="331"/>
      <c r="AE135" s="438"/>
      <c r="AF135" s="522"/>
      <c r="AH135" s="390"/>
    </row>
    <row r="136" spans="1:34" s="141" customFormat="1">
      <c r="A136" s="251"/>
      <c r="B136" s="426"/>
      <c r="C136" s="306"/>
      <c r="D136" s="417"/>
      <c r="E136" s="273"/>
      <c r="F136" s="273"/>
      <c r="G136" s="231"/>
      <c r="H136" s="426"/>
      <c r="I136" s="426"/>
      <c r="J136" s="427"/>
      <c r="K136" s="428"/>
      <c r="L136" s="316"/>
      <c r="M136" s="316"/>
      <c r="N136" s="325"/>
      <c r="O136" s="325"/>
      <c r="P136" s="429"/>
      <c r="Q136" s="325"/>
      <c r="R136" s="325"/>
      <c r="S136" s="426"/>
      <c r="T136" s="232"/>
      <c r="U136" s="232"/>
      <c r="V136" s="232"/>
      <c r="W136" s="232"/>
      <c r="X136" s="233"/>
      <c r="Y136" s="232"/>
      <c r="Z136" s="232"/>
      <c r="AA136" s="232"/>
      <c r="AB136" s="330"/>
      <c r="AC136" s="230"/>
      <c r="AD136" s="331"/>
      <c r="AE136" s="438"/>
      <c r="AF136" s="522"/>
      <c r="AH136" s="390"/>
    </row>
    <row r="137" spans="1:34" s="141" customFormat="1">
      <c r="A137" s="251"/>
      <c r="B137" s="426"/>
      <c r="C137" s="306"/>
      <c r="D137" s="417"/>
      <c r="E137" s="273"/>
      <c r="F137" s="273"/>
      <c r="G137" s="231"/>
      <c r="H137" s="426"/>
      <c r="I137" s="426"/>
      <c r="J137" s="427"/>
      <c r="K137" s="428"/>
      <c r="L137" s="316"/>
      <c r="M137" s="316"/>
      <c r="N137" s="325"/>
      <c r="O137" s="325"/>
      <c r="P137" s="429"/>
      <c r="Q137" s="325"/>
      <c r="R137" s="325"/>
      <c r="S137" s="426"/>
      <c r="T137" s="232"/>
      <c r="U137" s="232"/>
      <c r="V137" s="232"/>
      <c r="W137" s="232"/>
      <c r="X137" s="233"/>
      <c r="Y137" s="232"/>
      <c r="Z137" s="232"/>
      <c r="AA137" s="232"/>
      <c r="AB137" s="330"/>
      <c r="AC137" s="230"/>
      <c r="AD137" s="331"/>
      <c r="AE137" s="438"/>
      <c r="AF137" s="522"/>
      <c r="AH137" s="390"/>
    </row>
    <row r="138" spans="1:34" s="141" customFormat="1">
      <c r="A138" s="251"/>
      <c r="B138" s="426"/>
      <c r="C138" s="306"/>
      <c r="D138" s="417"/>
      <c r="E138" s="273"/>
      <c r="F138" s="273"/>
      <c r="G138" s="231"/>
      <c r="H138" s="426"/>
      <c r="I138" s="426"/>
      <c r="J138" s="427"/>
      <c r="K138" s="428"/>
      <c r="L138" s="316"/>
      <c r="M138" s="316"/>
      <c r="N138" s="325"/>
      <c r="O138" s="325"/>
      <c r="P138" s="429"/>
      <c r="Q138" s="325"/>
      <c r="R138" s="325"/>
      <c r="S138" s="426"/>
      <c r="T138" s="232"/>
      <c r="U138" s="232"/>
      <c r="V138" s="232"/>
      <c r="W138" s="232"/>
      <c r="X138" s="233"/>
      <c r="Y138" s="232"/>
      <c r="Z138" s="232"/>
      <c r="AA138" s="232"/>
      <c r="AB138" s="330"/>
      <c r="AC138" s="230"/>
      <c r="AD138" s="331"/>
      <c r="AE138" s="438"/>
      <c r="AF138" s="522"/>
      <c r="AH138" s="390"/>
    </row>
    <row r="139" spans="1:34" s="141" customFormat="1">
      <c r="A139" s="251"/>
      <c r="B139" s="426"/>
      <c r="C139" s="306"/>
      <c r="D139" s="417"/>
      <c r="E139" s="273"/>
      <c r="F139" s="273"/>
      <c r="G139" s="231"/>
      <c r="H139" s="426"/>
      <c r="I139" s="426"/>
      <c r="J139" s="427"/>
      <c r="K139" s="428"/>
      <c r="L139" s="316"/>
      <c r="M139" s="316"/>
      <c r="N139" s="325"/>
      <c r="O139" s="325"/>
      <c r="P139" s="429"/>
      <c r="Q139" s="325"/>
      <c r="R139" s="325"/>
      <c r="S139" s="426"/>
      <c r="T139" s="232"/>
      <c r="U139" s="232"/>
      <c r="V139" s="232"/>
      <c r="W139" s="232"/>
      <c r="X139" s="233"/>
      <c r="Y139" s="232"/>
      <c r="Z139" s="232"/>
      <c r="AA139" s="232"/>
      <c r="AB139" s="330"/>
      <c r="AC139" s="230"/>
      <c r="AD139" s="331"/>
      <c r="AE139" s="438"/>
      <c r="AF139" s="522"/>
      <c r="AH139" s="390"/>
    </row>
    <row r="140" spans="1:34" s="141" customFormat="1">
      <c r="A140" s="251"/>
      <c r="B140" s="426"/>
      <c r="C140" s="306"/>
      <c r="D140" s="417"/>
      <c r="E140" s="273"/>
      <c r="F140" s="273"/>
      <c r="G140" s="231"/>
      <c r="H140" s="426"/>
      <c r="I140" s="426"/>
      <c r="J140" s="427"/>
      <c r="K140" s="428"/>
      <c r="L140" s="316"/>
      <c r="M140" s="316"/>
      <c r="N140" s="325"/>
      <c r="O140" s="325"/>
      <c r="P140" s="429"/>
      <c r="Q140" s="325"/>
      <c r="R140" s="325"/>
      <c r="S140" s="426"/>
      <c r="T140" s="232"/>
      <c r="U140" s="232"/>
      <c r="V140" s="232"/>
      <c r="W140" s="232"/>
      <c r="X140" s="233"/>
      <c r="Y140" s="232"/>
      <c r="Z140" s="232"/>
      <c r="AA140" s="232"/>
      <c r="AB140" s="330"/>
      <c r="AC140" s="230"/>
      <c r="AD140" s="331"/>
      <c r="AE140" s="438"/>
      <c r="AF140" s="522"/>
      <c r="AH140" s="390"/>
    </row>
    <row r="141" spans="1:34" s="141" customFormat="1">
      <c r="A141" s="251"/>
      <c r="B141" s="426"/>
      <c r="C141" s="306"/>
      <c r="D141" s="417"/>
      <c r="E141" s="273"/>
      <c r="F141" s="273"/>
      <c r="G141" s="231"/>
      <c r="H141" s="426"/>
      <c r="I141" s="426"/>
      <c r="J141" s="427"/>
      <c r="K141" s="428"/>
      <c r="L141" s="316"/>
      <c r="M141" s="316"/>
      <c r="N141" s="325"/>
      <c r="O141" s="325"/>
      <c r="P141" s="429"/>
      <c r="Q141" s="325"/>
      <c r="R141" s="325"/>
      <c r="S141" s="426"/>
      <c r="T141" s="232"/>
      <c r="U141" s="232"/>
      <c r="V141" s="232"/>
      <c r="W141" s="232"/>
      <c r="X141" s="233"/>
      <c r="Y141" s="232"/>
      <c r="Z141" s="232"/>
      <c r="AA141" s="232"/>
      <c r="AB141" s="330"/>
      <c r="AC141" s="230"/>
      <c r="AD141" s="331"/>
      <c r="AE141" s="438"/>
      <c r="AF141" s="522"/>
      <c r="AH141" s="390"/>
    </row>
    <row r="142" spans="1:34" s="141" customFormat="1">
      <c r="A142" s="251"/>
      <c r="B142" s="426"/>
      <c r="C142" s="306"/>
      <c r="D142" s="417"/>
      <c r="E142" s="273"/>
      <c r="F142" s="273"/>
      <c r="G142" s="231"/>
      <c r="H142" s="426"/>
      <c r="I142" s="426"/>
      <c r="J142" s="427"/>
      <c r="K142" s="428"/>
      <c r="L142" s="316"/>
      <c r="M142" s="316"/>
      <c r="N142" s="325"/>
      <c r="O142" s="325"/>
      <c r="P142" s="429"/>
      <c r="Q142" s="325"/>
      <c r="R142" s="325"/>
      <c r="S142" s="426"/>
      <c r="T142" s="232"/>
      <c r="U142" s="232"/>
      <c r="V142" s="232"/>
      <c r="W142" s="232"/>
      <c r="X142" s="233"/>
      <c r="Y142" s="232"/>
      <c r="Z142" s="232"/>
      <c r="AA142" s="232"/>
      <c r="AB142" s="330"/>
      <c r="AC142" s="230"/>
      <c r="AD142" s="331"/>
      <c r="AE142" s="438"/>
      <c r="AF142" s="522"/>
      <c r="AH142" s="390"/>
    </row>
    <row r="143" spans="1:34" s="141" customFormat="1">
      <c r="A143" s="251"/>
      <c r="B143" s="426"/>
      <c r="C143" s="306"/>
      <c r="D143" s="417"/>
      <c r="E143" s="273"/>
      <c r="F143" s="273"/>
      <c r="G143" s="231"/>
      <c r="H143" s="426"/>
      <c r="I143" s="426"/>
      <c r="J143" s="427"/>
      <c r="K143" s="428"/>
      <c r="L143" s="316"/>
      <c r="M143" s="316"/>
      <c r="N143" s="325"/>
      <c r="O143" s="325"/>
      <c r="P143" s="429"/>
      <c r="Q143" s="325"/>
      <c r="R143" s="325"/>
      <c r="S143" s="426"/>
      <c r="T143" s="232"/>
      <c r="U143" s="232"/>
      <c r="V143" s="232"/>
      <c r="W143" s="232"/>
      <c r="X143" s="233"/>
      <c r="Y143" s="232"/>
      <c r="Z143" s="232"/>
      <c r="AA143" s="232"/>
      <c r="AB143" s="330"/>
      <c r="AC143" s="230"/>
      <c r="AD143" s="331"/>
      <c r="AE143" s="438"/>
      <c r="AF143" s="522"/>
      <c r="AH143" s="390"/>
    </row>
    <row r="144" spans="1:34" s="141" customFormat="1">
      <c r="A144" s="251"/>
      <c r="B144" s="426"/>
      <c r="C144" s="306"/>
      <c r="D144" s="417"/>
      <c r="E144" s="273"/>
      <c r="F144" s="273"/>
      <c r="G144" s="231"/>
      <c r="H144" s="426"/>
      <c r="I144" s="426"/>
      <c r="J144" s="427"/>
      <c r="K144" s="428"/>
      <c r="L144" s="316"/>
      <c r="M144" s="316"/>
      <c r="N144" s="325"/>
      <c r="O144" s="325"/>
      <c r="P144" s="429"/>
      <c r="Q144" s="325"/>
      <c r="R144" s="325"/>
      <c r="S144" s="426"/>
      <c r="T144" s="232"/>
      <c r="U144" s="232"/>
      <c r="V144" s="232"/>
      <c r="W144" s="232"/>
      <c r="X144" s="233"/>
      <c r="Y144" s="232"/>
      <c r="Z144" s="232"/>
      <c r="AA144" s="232"/>
      <c r="AB144" s="330"/>
      <c r="AC144" s="230"/>
      <c r="AD144" s="331"/>
      <c r="AE144" s="438"/>
      <c r="AF144" s="522"/>
      <c r="AH144" s="390"/>
    </row>
    <row r="145" spans="1:34" s="141" customFormat="1">
      <c r="A145" s="251"/>
      <c r="B145" s="426"/>
      <c r="C145" s="306"/>
      <c r="D145" s="417"/>
      <c r="E145" s="273"/>
      <c r="F145" s="273"/>
      <c r="G145" s="231"/>
      <c r="H145" s="426"/>
      <c r="I145" s="426"/>
      <c r="J145" s="427"/>
      <c r="K145" s="428"/>
      <c r="L145" s="316"/>
      <c r="M145" s="316"/>
      <c r="N145" s="325"/>
      <c r="O145" s="325"/>
      <c r="P145" s="429"/>
      <c r="Q145" s="325"/>
      <c r="R145" s="325"/>
      <c r="S145" s="426"/>
      <c r="T145" s="232"/>
      <c r="U145" s="232"/>
      <c r="V145" s="232"/>
      <c r="W145" s="232"/>
      <c r="X145" s="233"/>
      <c r="Y145" s="232"/>
      <c r="Z145" s="232"/>
      <c r="AA145" s="232"/>
      <c r="AB145" s="330"/>
      <c r="AC145" s="230"/>
      <c r="AD145" s="331"/>
      <c r="AE145" s="438"/>
      <c r="AF145" s="522"/>
      <c r="AH145" s="390"/>
    </row>
    <row r="146" spans="1:34" s="141" customFormat="1">
      <c r="A146" s="251"/>
      <c r="B146" s="426"/>
      <c r="C146" s="306"/>
      <c r="D146" s="417"/>
      <c r="E146" s="273"/>
      <c r="F146" s="273"/>
      <c r="G146" s="231"/>
      <c r="H146" s="426"/>
      <c r="I146" s="426"/>
      <c r="J146" s="427"/>
      <c r="K146" s="428"/>
      <c r="L146" s="316"/>
      <c r="M146" s="316"/>
      <c r="N146" s="325"/>
      <c r="O146" s="325"/>
      <c r="P146" s="429"/>
      <c r="Q146" s="325"/>
      <c r="R146" s="325"/>
      <c r="S146" s="426"/>
      <c r="T146" s="232"/>
      <c r="U146" s="232"/>
      <c r="V146" s="232"/>
      <c r="W146" s="232"/>
      <c r="X146" s="233"/>
      <c r="Y146" s="232"/>
      <c r="Z146" s="232"/>
      <c r="AA146" s="232"/>
      <c r="AB146" s="330"/>
      <c r="AC146" s="230"/>
      <c r="AD146" s="331"/>
      <c r="AE146" s="438"/>
      <c r="AF146" s="522"/>
      <c r="AH146" s="390"/>
    </row>
    <row r="147" spans="1:34" s="141" customFormat="1">
      <c r="A147" s="251"/>
      <c r="B147" s="426"/>
      <c r="C147" s="306"/>
      <c r="D147" s="417"/>
      <c r="E147" s="273"/>
      <c r="F147" s="273"/>
      <c r="G147" s="231"/>
      <c r="H147" s="426"/>
      <c r="I147" s="426"/>
      <c r="J147" s="427"/>
      <c r="K147" s="428"/>
      <c r="L147" s="316"/>
      <c r="M147" s="316"/>
      <c r="N147" s="325"/>
      <c r="O147" s="325"/>
      <c r="P147" s="429"/>
      <c r="Q147" s="325"/>
      <c r="R147" s="325"/>
      <c r="S147" s="426"/>
      <c r="T147" s="232"/>
      <c r="U147" s="232"/>
      <c r="V147" s="232"/>
      <c r="W147" s="232"/>
      <c r="X147" s="233"/>
      <c r="Y147" s="232"/>
      <c r="Z147" s="232"/>
      <c r="AA147" s="232"/>
      <c r="AB147" s="330"/>
      <c r="AC147" s="230"/>
      <c r="AD147" s="331"/>
      <c r="AE147" s="438"/>
      <c r="AF147" s="522"/>
      <c r="AH147" s="390"/>
    </row>
    <row r="148" spans="1:34" s="141" customFormat="1">
      <c r="A148" s="251"/>
      <c r="B148" s="426"/>
      <c r="C148" s="306"/>
      <c r="D148" s="417"/>
      <c r="E148" s="273"/>
      <c r="F148" s="273"/>
      <c r="G148" s="231"/>
      <c r="H148" s="426"/>
      <c r="I148" s="426"/>
      <c r="J148" s="427"/>
      <c r="K148" s="428"/>
      <c r="L148" s="316"/>
      <c r="M148" s="316"/>
      <c r="N148" s="325"/>
      <c r="O148" s="325"/>
      <c r="P148" s="429"/>
      <c r="Q148" s="325"/>
      <c r="R148" s="325"/>
      <c r="S148" s="426"/>
      <c r="T148" s="232"/>
      <c r="U148" s="232"/>
      <c r="V148" s="232"/>
      <c r="W148" s="232"/>
      <c r="X148" s="233"/>
      <c r="Y148" s="232"/>
      <c r="Z148" s="232"/>
      <c r="AA148" s="232"/>
      <c r="AB148" s="330"/>
      <c r="AC148" s="230"/>
      <c r="AD148" s="331"/>
      <c r="AE148" s="438"/>
      <c r="AF148" s="522"/>
      <c r="AH148" s="390"/>
    </row>
    <row r="149" spans="1:34" s="141" customFormat="1">
      <c r="A149" s="251"/>
      <c r="B149" s="426"/>
      <c r="C149" s="306"/>
      <c r="D149" s="417"/>
      <c r="E149" s="273"/>
      <c r="F149" s="273"/>
      <c r="G149" s="231"/>
      <c r="H149" s="426"/>
      <c r="I149" s="426"/>
      <c r="J149" s="427"/>
      <c r="K149" s="428"/>
      <c r="L149" s="316"/>
      <c r="M149" s="316"/>
      <c r="N149" s="325"/>
      <c r="O149" s="325"/>
      <c r="P149" s="429"/>
      <c r="Q149" s="325"/>
      <c r="R149" s="325"/>
      <c r="S149" s="426"/>
      <c r="T149" s="232"/>
      <c r="U149" s="232"/>
      <c r="V149" s="232"/>
      <c r="W149" s="232"/>
      <c r="X149" s="233"/>
      <c r="Y149" s="232"/>
      <c r="Z149" s="232"/>
      <c r="AA149" s="232"/>
      <c r="AB149" s="330"/>
      <c r="AC149" s="230"/>
      <c r="AD149" s="331"/>
      <c r="AE149" s="438"/>
      <c r="AF149" s="522"/>
      <c r="AH149" s="390"/>
    </row>
    <row r="150" spans="1:34" s="141" customFormat="1">
      <c r="A150" s="251"/>
      <c r="B150" s="426"/>
      <c r="C150" s="306"/>
      <c r="D150" s="417"/>
      <c r="E150" s="273"/>
      <c r="F150" s="273"/>
      <c r="G150" s="231"/>
      <c r="H150" s="426"/>
      <c r="I150" s="426"/>
      <c r="J150" s="427"/>
      <c r="K150" s="428"/>
      <c r="L150" s="316"/>
      <c r="M150" s="316"/>
      <c r="N150" s="325"/>
      <c r="O150" s="325"/>
      <c r="P150" s="429"/>
      <c r="Q150" s="325"/>
      <c r="R150" s="325"/>
      <c r="S150" s="426"/>
      <c r="T150" s="232"/>
      <c r="U150" s="232"/>
      <c r="V150" s="232"/>
      <c r="W150" s="232"/>
      <c r="X150" s="233"/>
      <c r="Y150" s="232"/>
      <c r="Z150" s="232"/>
      <c r="AA150" s="232"/>
      <c r="AB150" s="330"/>
      <c r="AC150" s="230"/>
      <c r="AD150" s="331"/>
      <c r="AE150" s="438"/>
      <c r="AF150" s="522"/>
      <c r="AH150" s="390"/>
    </row>
    <row r="151" spans="1:34" s="141" customFormat="1">
      <c r="A151" s="251"/>
      <c r="B151" s="426"/>
      <c r="C151" s="306"/>
      <c r="D151" s="417"/>
      <c r="E151" s="273"/>
      <c r="F151" s="273"/>
      <c r="G151" s="231"/>
      <c r="H151" s="426"/>
      <c r="I151" s="426"/>
      <c r="J151" s="427"/>
      <c r="K151" s="428"/>
      <c r="L151" s="316"/>
      <c r="M151" s="316"/>
      <c r="N151" s="325"/>
      <c r="O151" s="325"/>
      <c r="P151" s="429"/>
      <c r="Q151" s="325"/>
      <c r="R151" s="325"/>
      <c r="S151" s="426"/>
      <c r="T151" s="232"/>
      <c r="U151" s="232"/>
      <c r="V151" s="232"/>
      <c r="W151" s="232"/>
      <c r="X151" s="233"/>
      <c r="Y151" s="232"/>
      <c r="Z151" s="232"/>
      <c r="AA151" s="232"/>
      <c r="AB151" s="330"/>
      <c r="AC151" s="230"/>
      <c r="AD151" s="331"/>
      <c r="AE151" s="438"/>
      <c r="AF151" s="522"/>
      <c r="AH151" s="390"/>
    </row>
    <row r="152" spans="1:34" s="141" customFormat="1">
      <c r="A152" s="251"/>
      <c r="B152" s="426"/>
      <c r="C152" s="306"/>
      <c r="D152" s="417"/>
      <c r="E152" s="273"/>
      <c r="F152" s="273"/>
      <c r="G152" s="231"/>
      <c r="H152" s="426"/>
      <c r="I152" s="426"/>
      <c r="J152" s="427"/>
      <c r="K152" s="428"/>
      <c r="L152" s="316"/>
      <c r="M152" s="316"/>
      <c r="N152" s="325"/>
      <c r="O152" s="325"/>
      <c r="P152" s="429"/>
      <c r="Q152" s="325"/>
      <c r="R152" s="325"/>
      <c r="S152" s="426"/>
      <c r="T152" s="232"/>
      <c r="U152" s="232"/>
      <c r="V152" s="232"/>
      <c r="W152" s="232"/>
      <c r="X152" s="233"/>
      <c r="Y152" s="232"/>
      <c r="Z152" s="232"/>
      <c r="AA152" s="232"/>
      <c r="AB152" s="330"/>
      <c r="AC152" s="230"/>
      <c r="AD152" s="331"/>
      <c r="AE152" s="438"/>
      <c r="AF152" s="522"/>
      <c r="AH152" s="390"/>
    </row>
    <row r="153" spans="1:34" s="141" customFormat="1">
      <c r="A153" s="251"/>
      <c r="B153" s="426"/>
      <c r="C153" s="306"/>
      <c r="D153" s="417"/>
      <c r="E153" s="273"/>
      <c r="F153" s="273"/>
      <c r="G153" s="231"/>
      <c r="H153" s="426"/>
      <c r="I153" s="426"/>
      <c r="J153" s="427"/>
      <c r="K153" s="428"/>
      <c r="L153" s="316"/>
      <c r="M153" s="316"/>
      <c r="N153" s="325"/>
      <c r="O153" s="325"/>
      <c r="P153" s="429"/>
      <c r="Q153" s="325"/>
      <c r="R153" s="325"/>
      <c r="S153" s="426"/>
      <c r="T153" s="232"/>
      <c r="U153" s="232"/>
      <c r="V153" s="232"/>
      <c r="W153" s="232"/>
      <c r="X153" s="233"/>
      <c r="Y153" s="232"/>
      <c r="Z153" s="232"/>
      <c r="AA153" s="232"/>
      <c r="AB153" s="330"/>
      <c r="AC153" s="230"/>
      <c r="AD153" s="331"/>
      <c r="AE153" s="438"/>
      <c r="AF153" s="522"/>
      <c r="AH153" s="390"/>
    </row>
    <row r="154" spans="1:34" s="141" customFormat="1">
      <c r="A154" s="251"/>
      <c r="B154" s="426"/>
      <c r="C154" s="306"/>
      <c r="D154" s="417"/>
      <c r="E154" s="273"/>
      <c r="F154" s="273"/>
      <c r="G154" s="231"/>
      <c r="H154" s="426"/>
      <c r="I154" s="426"/>
      <c r="J154" s="427"/>
      <c r="K154" s="428"/>
      <c r="L154" s="316"/>
      <c r="M154" s="316"/>
      <c r="N154" s="325"/>
      <c r="O154" s="325"/>
      <c r="P154" s="429"/>
      <c r="Q154" s="325"/>
      <c r="R154" s="325"/>
      <c r="S154" s="426"/>
      <c r="T154" s="232"/>
      <c r="U154" s="232"/>
      <c r="V154" s="232"/>
      <c r="W154" s="232"/>
      <c r="X154" s="233"/>
      <c r="Y154" s="232"/>
      <c r="Z154" s="232"/>
      <c r="AA154" s="232"/>
      <c r="AB154" s="330"/>
      <c r="AC154" s="230"/>
      <c r="AD154" s="331"/>
      <c r="AE154" s="438"/>
      <c r="AF154" s="522"/>
      <c r="AH154" s="390"/>
    </row>
    <row r="155" spans="1:34" s="141" customFormat="1">
      <c r="A155" s="251"/>
      <c r="B155" s="426"/>
      <c r="C155" s="306"/>
      <c r="D155" s="417"/>
      <c r="E155" s="273"/>
      <c r="F155" s="273"/>
      <c r="G155" s="231"/>
      <c r="H155" s="426"/>
      <c r="I155" s="426"/>
      <c r="J155" s="427"/>
      <c r="K155" s="428"/>
      <c r="L155" s="316"/>
      <c r="M155" s="316"/>
      <c r="N155" s="325"/>
      <c r="O155" s="325"/>
      <c r="P155" s="429"/>
      <c r="Q155" s="325"/>
      <c r="R155" s="325"/>
      <c r="S155" s="426"/>
      <c r="T155" s="232"/>
      <c r="U155" s="232"/>
      <c r="V155" s="232"/>
      <c r="W155" s="232"/>
      <c r="X155" s="233"/>
      <c r="Y155" s="232"/>
      <c r="Z155" s="232"/>
      <c r="AA155" s="232"/>
      <c r="AB155" s="330"/>
      <c r="AC155" s="230"/>
      <c r="AD155" s="331"/>
      <c r="AE155" s="438"/>
      <c r="AF155" s="522"/>
      <c r="AH155" s="390"/>
    </row>
    <row r="156" spans="1:34" s="141" customFormat="1">
      <c r="A156" s="251"/>
      <c r="B156" s="426"/>
      <c r="C156" s="306"/>
      <c r="D156" s="417"/>
      <c r="E156" s="273"/>
      <c r="F156" s="273"/>
      <c r="G156" s="231"/>
      <c r="H156" s="426"/>
      <c r="I156" s="426"/>
      <c r="J156" s="427"/>
      <c r="K156" s="428"/>
      <c r="L156" s="316"/>
      <c r="M156" s="316"/>
      <c r="N156" s="325"/>
      <c r="O156" s="325"/>
      <c r="P156" s="429"/>
      <c r="Q156" s="325"/>
      <c r="R156" s="325"/>
      <c r="S156" s="426"/>
      <c r="T156" s="232"/>
      <c r="U156" s="232"/>
      <c r="V156" s="232"/>
      <c r="W156" s="232"/>
      <c r="X156" s="233"/>
      <c r="Y156" s="232"/>
      <c r="Z156" s="232"/>
      <c r="AA156" s="232"/>
      <c r="AB156" s="330"/>
      <c r="AC156" s="230"/>
      <c r="AD156" s="331"/>
      <c r="AE156" s="438"/>
      <c r="AF156" s="522"/>
      <c r="AH156" s="390"/>
    </row>
    <row r="157" spans="1:34" s="141" customFormat="1">
      <c r="A157" s="251"/>
      <c r="B157" s="426"/>
      <c r="C157" s="306"/>
      <c r="D157" s="417"/>
      <c r="E157" s="273"/>
      <c r="F157" s="273"/>
      <c r="G157" s="231"/>
      <c r="H157" s="426"/>
      <c r="I157" s="426"/>
      <c r="J157" s="427"/>
      <c r="K157" s="428"/>
      <c r="L157" s="316"/>
      <c r="M157" s="316"/>
      <c r="N157" s="325"/>
      <c r="O157" s="325"/>
      <c r="P157" s="429"/>
      <c r="Q157" s="325"/>
      <c r="R157" s="325"/>
      <c r="S157" s="426"/>
      <c r="T157" s="232"/>
      <c r="U157" s="232"/>
      <c r="V157" s="232"/>
      <c r="W157" s="232"/>
      <c r="X157" s="233"/>
      <c r="Y157" s="232"/>
      <c r="Z157" s="232"/>
      <c r="AA157" s="232"/>
      <c r="AB157" s="330"/>
      <c r="AC157" s="230"/>
      <c r="AD157" s="331"/>
      <c r="AE157" s="438"/>
      <c r="AF157" s="522"/>
      <c r="AH157" s="390"/>
    </row>
    <row r="158" spans="1:34" s="141" customFormat="1">
      <c r="A158" s="251"/>
      <c r="B158" s="426"/>
      <c r="C158" s="306"/>
      <c r="D158" s="417"/>
      <c r="E158" s="273"/>
      <c r="F158" s="273"/>
      <c r="G158" s="231"/>
      <c r="H158" s="426"/>
      <c r="I158" s="426"/>
      <c r="J158" s="427"/>
      <c r="K158" s="428"/>
      <c r="L158" s="316"/>
      <c r="M158" s="316"/>
      <c r="N158" s="325"/>
      <c r="O158" s="325"/>
      <c r="P158" s="429"/>
      <c r="Q158" s="325"/>
      <c r="R158" s="325"/>
      <c r="S158" s="426"/>
      <c r="T158" s="232"/>
      <c r="U158" s="232"/>
      <c r="V158" s="232"/>
      <c r="W158" s="232"/>
      <c r="X158" s="233"/>
      <c r="Y158" s="232"/>
      <c r="Z158" s="232"/>
      <c r="AA158" s="232"/>
      <c r="AB158" s="330"/>
      <c r="AC158" s="230"/>
      <c r="AD158" s="331"/>
      <c r="AE158" s="438"/>
      <c r="AF158" s="522"/>
      <c r="AH158" s="390"/>
    </row>
    <row r="159" spans="1:34" s="141" customFormat="1">
      <c r="A159" s="251"/>
      <c r="B159" s="426"/>
      <c r="C159" s="306"/>
      <c r="D159" s="417"/>
      <c r="E159" s="273"/>
      <c r="F159" s="273"/>
      <c r="G159" s="231"/>
      <c r="H159" s="426"/>
      <c r="I159" s="426"/>
      <c r="J159" s="427"/>
      <c r="K159" s="428"/>
      <c r="L159" s="316"/>
      <c r="M159" s="316"/>
      <c r="N159" s="325"/>
      <c r="O159" s="325"/>
      <c r="P159" s="429"/>
      <c r="Q159" s="325"/>
      <c r="R159" s="325"/>
      <c r="S159" s="426"/>
      <c r="T159" s="232"/>
      <c r="U159" s="232"/>
      <c r="V159" s="232"/>
      <c r="W159" s="232"/>
      <c r="X159" s="233"/>
      <c r="Y159" s="232"/>
      <c r="Z159" s="232"/>
      <c r="AA159" s="232"/>
      <c r="AB159" s="330"/>
      <c r="AC159" s="230"/>
      <c r="AD159" s="331"/>
      <c r="AE159" s="438"/>
      <c r="AF159" s="522"/>
      <c r="AH159" s="390"/>
    </row>
    <row r="160" spans="1:34" s="141" customFormat="1">
      <c r="A160" s="251"/>
      <c r="B160" s="426"/>
      <c r="C160" s="306"/>
      <c r="D160" s="417"/>
      <c r="E160" s="273"/>
      <c r="F160" s="273"/>
      <c r="G160" s="231"/>
      <c r="H160" s="426"/>
      <c r="I160" s="426"/>
      <c r="J160" s="427"/>
      <c r="K160" s="428"/>
      <c r="L160" s="316"/>
      <c r="M160" s="316"/>
      <c r="N160" s="325"/>
      <c r="O160" s="325"/>
      <c r="P160" s="429"/>
      <c r="Q160" s="325"/>
      <c r="R160" s="325"/>
      <c r="S160" s="426"/>
      <c r="T160" s="232"/>
      <c r="U160" s="232"/>
      <c r="V160" s="232"/>
      <c r="W160" s="232"/>
      <c r="X160" s="233"/>
      <c r="Y160" s="232"/>
      <c r="Z160" s="232"/>
      <c r="AA160" s="232"/>
      <c r="AB160" s="330"/>
      <c r="AC160" s="230"/>
      <c r="AD160" s="331"/>
      <c r="AE160" s="438"/>
      <c r="AF160" s="522"/>
      <c r="AH160" s="390"/>
    </row>
    <row r="161" spans="1:34" s="141" customFormat="1">
      <c r="A161" s="251"/>
      <c r="B161" s="426"/>
      <c r="C161" s="306"/>
      <c r="D161" s="417"/>
      <c r="E161" s="273"/>
      <c r="F161" s="273"/>
      <c r="G161" s="231"/>
      <c r="H161" s="426"/>
      <c r="I161" s="426"/>
      <c r="J161" s="427"/>
      <c r="K161" s="428"/>
      <c r="L161" s="316"/>
      <c r="M161" s="316"/>
      <c r="N161" s="325"/>
      <c r="O161" s="325"/>
      <c r="P161" s="429"/>
      <c r="Q161" s="325"/>
      <c r="R161" s="325"/>
      <c r="S161" s="426"/>
      <c r="T161" s="232"/>
      <c r="U161" s="232"/>
      <c r="V161" s="232"/>
      <c r="W161" s="232"/>
      <c r="X161" s="233"/>
      <c r="Y161" s="232"/>
      <c r="Z161" s="232"/>
      <c r="AA161" s="232"/>
      <c r="AB161" s="330"/>
      <c r="AC161" s="230"/>
      <c r="AD161" s="331"/>
      <c r="AE161" s="438"/>
      <c r="AF161" s="522"/>
      <c r="AH161" s="390"/>
    </row>
    <row r="162" spans="1:34" s="141" customFormat="1">
      <c r="A162" s="251"/>
      <c r="B162" s="426"/>
      <c r="C162" s="306"/>
      <c r="D162" s="417"/>
      <c r="E162" s="273"/>
      <c r="F162" s="273"/>
      <c r="G162" s="231"/>
      <c r="H162" s="426"/>
      <c r="I162" s="426"/>
      <c r="J162" s="427"/>
      <c r="K162" s="428"/>
      <c r="L162" s="316"/>
      <c r="M162" s="316"/>
      <c r="N162" s="325"/>
      <c r="O162" s="325"/>
      <c r="P162" s="429"/>
      <c r="Q162" s="325"/>
      <c r="R162" s="325"/>
      <c r="S162" s="426"/>
      <c r="T162" s="232"/>
      <c r="U162" s="232"/>
      <c r="V162" s="232"/>
      <c r="W162" s="232"/>
      <c r="X162" s="233"/>
      <c r="Y162" s="232"/>
      <c r="Z162" s="232"/>
      <c r="AA162" s="232"/>
      <c r="AB162" s="330"/>
      <c r="AC162" s="230"/>
      <c r="AD162" s="331"/>
      <c r="AE162" s="438"/>
      <c r="AF162" s="522"/>
      <c r="AH162" s="390"/>
    </row>
    <row r="163" spans="1:34" s="141" customFormat="1">
      <c r="A163" s="251"/>
      <c r="B163" s="426"/>
      <c r="C163" s="306"/>
      <c r="D163" s="417"/>
      <c r="E163" s="273"/>
      <c r="F163" s="273"/>
      <c r="G163" s="231"/>
      <c r="H163" s="426"/>
      <c r="I163" s="426"/>
      <c r="J163" s="427"/>
      <c r="K163" s="428"/>
      <c r="L163" s="316"/>
      <c r="M163" s="316"/>
      <c r="N163" s="325"/>
      <c r="O163" s="325"/>
      <c r="P163" s="429"/>
      <c r="Q163" s="325"/>
      <c r="R163" s="325"/>
      <c r="S163" s="426"/>
      <c r="T163" s="232"/>
      <c r="U163" s="232"/>
      <c r="V163" s="232"/>
      <c r="W163" s="232"/>
      <c r="X163" s="233"/>
      <c r="Y163" s="232"/>
      <c r="Z163" s="232"/>
      <c r="AA163" s="232"/>
      <c r="AB163" s="330"/>
      <c r="AC163" s="230"/>
      <c r="AD163" s="331"/>
      <c r="AE163" s="438"/>
      <c r="AF163" s="522"/>
      <c r="AH163" s="390"/>
    </row>
    <row r="164" spans="1:34" s="141" customFormat="1">
      <c r="A164" s="251"/>
      <c r="B164" s="426"/>
      <c r="C164" s="306"/>
      <c r="D164" s="417"/>
      <c r="E164" s="273"/>
      <c r="F164" s="273"/>
      <c r="G164" s="231"/>
      <c r="H164" s="426"/>
      <c r="I164" s="426"/>
      <c r="J164" s="427"/>
      <c r="K164" s="428"/>
      <c r="L164" s="316"/>
      <c r="M164" s="316"/>
      <c r="N164" s="325"/>
      <c r="O164" s="325"/>
      <c r="P164" s="429"/>
      <c r="Q164" s="325"/>
      <c r="R164" s="325"/>
      <c r="S164" s="426"/>
      <c r="T164" s="232"/>
      <c r="U164" s="232"/>
      <c r="V164" s="232"/>
      <c r="W164" s="232"/>
      <c r="X164" s="233"/>
      <c r="Y164" s="232"/>
      <c r="Z164" s="232"/>
      <c r="AA164" s="232"/>
      <c r="AB164" s="330"/>
      <c r="AC164" s="230"/>
      <c r="AD164" s="331"/>
      <c r="AE164" s="438"/>
      <c r="AF164" s="522"/>
      <c r="AH164" s="390"/>
    </row>
    <row r="165" spans="1:34" s="141" customFormat="1">
      <c r="A165" s="251"/>
      <c r="B165" s="426"/>
      <c r="C165" s="306"/>
      <c r="D165" s="417"/>
      <c r="E165" s="273"/>
      <c r="F165" s="273"/>
      <c r="G165" s="231"/>
      <c r="H165" s="426"/>
      <c r="I165" s="426"/>
      <c r="J165" s="427"/>
      <c r="K165" s="428"/>
      <c r="L165" s="316"/>
      <c r="M165" s="316"/>
      <c r="N165" s="325"/>
      <c r="O165" s="325"/>
      <c r="P165" s="429"/>
      <c r="Q165" s="325"/>
      <c r="R165" s="325"/>
      <c r="S165" s="426"/>
      <c r="T165" s="232"/>
      <c r="U165" s="232"/>
      <c r="V165" s="232"/>
      <c r="W165" s="232"/>
      <c r="X165" s="233"/>
      <c r="Y165" s="232"/>
      <c r="Z165" s="232"/>
      <c r="AA165" s="232"/>
      <c r="AB165" s="330"/>
      <c r="AC165" s="230"/>
      <c r="AD165" s="331"/>
      <c r="AE165" s="438"/>
      <c r="AF165" s="522"/>
      <c r="AH165" s="390"/>
    </row>
    <row r="166" spans="1:34" s="141" customFormat="1">
      <c r="A166" s="251"/>
      <c r="B166" s="426"/>
      <c r="C166" s="306"/>
      <c r="D166" s="417"/>
      <c r="E166" s="273"/>
      <c r="F166" s="273"/>
      <c r="G166" s="231"/>
      <c r="H166" s="426"/>
      <c r="I166" s="426"/>
      <c r="J166" s="427"/>
      <c r="K166" s="428"/>
      <c r="L166" s="316"/>
      <c r="M166" s="316"/>
      <c r="N166" s="325"/>
      <c r="O166" s="325"/>
      <c r="P166" s="429"/>
      <c r="Q166" s="325"/>
      <c r="R166" s="325"/>
      <c r="S166" s="426"/>
      <c r="T166" s="232"/>
      <c r="U166" s="232"/>
      <c r="V166" s="232"/>
      <c r="W166" s="232"/>
      <c r="X166" s="233"/>
      <c r="Y166" s="232"/>
      <c r="Z166" s="232"/>
      <c r="AA166" s="232"/>
      <c r="AB166" s="330"/>
      <c r="AC166" s="230"/>
      <c r="AD166" s="331"/>
      <c r="AE166" s="438"/>
      <c r="AF166" s="522"/>
      <c r="AH166" s="390"/>
    </row>
    <row r="167" spans="1:34" s="141" customFormat="1">
      <c r="A167" s="251"/>
      <c r="B167" s="426"/>
      <c r="C167" s="306"/>
      <c r="D167" s="417"/>
      <c r="E167" s="273"/>
      <c r="F167" s="273"/>
      <c r="G167" s="231"/>
      <c r="H167" s="426"/>
      <c r="I167" s="426"/>
      <c r="J167" s="427"/>
      <c r="K167" s="428"/>
      <c r="L167" s="316"/>
      <c r="M167" s="316"/>
      <c r="N167" s="325"/>
      <c r="O167" s="325"/>
      <c r="P167" s="429"/>
      <c r="Q167" s="325"/>
      <c r="R167" s="325"/>
      <c r="S167" s="426"/>
      <c r="T167" s="232"/>
      <c r="U167" s="232"/>
      <c r="V167" s="232"/>
      <c r="W167" s="232"/>
      <c r="X167" s="233"/>
      <c r="Y167" s="232"/>
      <c r="Z167" s="232"/>
      <c r="AA167" s="232"/>
      <c r="AB167" s="330"/>
      <c r="AC167" s="230"/>
      <c r="AD167" s="331"/>
      <c r="AE167" s="438"/>
      <c r="AF167" s="522"/>
      <c r="AH167" s="390"/>
    </row>
    <row r="168" spans="1:34" s="141" customFormat="1">
      <c r="A168" s="251"/>
      <c r="B168" s="426"/>
      <c r="C168" s="306"/>
      <c r="D168" s="417"/>
      <c r="E168" s="273"/>
      <c r="F168" s="273"/>
      <c r="G168" s="231"/>
      <c r="H168" s="426"/>
      <c r="I168" s="426"/>
      <c r="J168" s="427"/>
      <c r="K168" s="428"/>
      <c r="L168" s="316"/>
      <c r="M168" s="316"/>
      <c r="N168" s="325"/>
      <c r="O168" s="325"/>
      <c r="P168" s="429"/>
      <c r="Q168" s="325"/>
      <c r="R168" s="325"/>
      <c r="S168" s="426"/>
      <c r="T168" s="232"/>
      <c r="U168" s="232"/>
      <c r="V168" s="232"/>
      <c r="W168" s="232"/>
      <c r="X168" s="233"/>
      <c r="Y168" s="232"/>
      <c r="Z168" s="232"/>
      <c r="AA168" s="232"/>
      <c r="AB168" s="330"/>
      <c r="AC168" s="230"/>
      <c r="AD168" s="331"/>
      <c r="AE168" s="438"/>
      <c r="AF168" s="522"/>
      <c r="AH168" s="390"/>
    </row>
    <row r="169" spans="1:34" s="141" customFormat="1">
      <c r="A169" s="251"/>
      <c r="B169" s="426"/>
      <c r="C169" s="306"/>
      <c r="D169" s="417"/>
      <c r="E169" s="273"/>
      <c r="F169" s="273"/>
      <c r="G169" s="231"/>
      <c r="H169" s="426"/>
      <c r="I169" s="426"/>
      <c r="J169" s="427"/>
      <c r="K169" s="428"/>
      <c r="L169" s="316"/>
      <c r="M169" s="316"/>
      <c r="N169" s="325"/>
      <c r="O169" s="325"/>
      <c r="P169" s="429"/>
      <c r="Q169" s="325"/>
      <c r="R169" s="325"/>
      <c r="S169" s="426"/>
      <c r="T169" s="232"/>
      <c r="U169" s="232"/>
      <c r="V169" s="232"/>
      <c r="W169" s="232"/>
      <c r="X169" s="233"/>
      <c r="Y169" s="232"/>
      <c r="Z169" s="232"/>
      <c r="AA169" s="232"/>
      <c r="AB169" s="330"/>
      <c r="AC169" s="230"/>
      <c r="AD169" s="331"/>
      <c r="AE169" s="438"/>
      <c r="AF169" s="522"/>
      <c r="AH169" s="390"/>
    </row>
    <row r="170" spans="1:34" s="141" customFormat="1">
      <c r="A170" s="251"/>
      <c r="B170" s="426"/>
      <c r="C170" s="306"/>
      <c r="D170" s="417"/>
      <c r="E170" s="273"/>
      <c r="F170" s="273"/>
      <c r="G170" s="231"/>
      <c r="H170" s="426"/>
      <c r="I170" s="426"/>
      <c r="J170" s="427"/>
      <c r="K170" s="428"/>
      <c r="L170" s="316"/>
      <c r="M170" s="316"/>
      <c r="N170" s="325"/>
      <c r="O170" s="325"/>
      <c r="P170" s="429"/>
      <c r="Q170" s="325"/>
      <c r="R170" s="325"/>
      <c r="S170" s="426"/>
      <c r="T170" s="232"/>
      <c r="U170" s="232"/>
      <c r="V170" s="232"/>
      <c r="W170" s="232"/>
      <c r="X170" s="233"/>
      <c r="Y170" s="232"/>
      <c r="Z170" s="232"/>
      <c r="AA170" s="232"/>
      <c r="AB170" s="330"/>
      <c r="AC170" s="230"/>
      <c r="AD170" s="331"/>
      <c r="AE170" s="438"/>
      <c r="AF170" s="522"/>
      <c r="AH170" s="390"/>
    </row>
    <row r="171" spans="1:34" s="141" customFormat="1">
      <c r="A171" s="251"/>
      <c r="B171" s="426"/>
      <c r="C171" s="306"/>
      <c r="D171" s="417"/>
      <c r="E171" s="273"/>
      <c r="F171" s="273"/>
      <c r="G171" s="231"/>
      <c r="H171" s="426"/>
      <c r="I171" s="426"/>
      <c r="J171" s="427"/>
      <c r="K171" s="428"/>
      <c r="L171" s="316"/>
      <c r="M171" s="316"/>
      <c r="N171" s="325"/>
      <c r="O171" s="325"/>
      <c r="P171" s="429"/>
      <c r="Q171" s="325"/>
      <c r="R171" s="325"/>
      <c r="S171" s="426"/>
      <c r="T171" s="232"/>
      <c r="U171" s="232"/>
      <c r="V171" s="232"/>
      <c r="W171" s="232"/>
      <c r="X171" s="233"/>
      <c r="Y171" s="232"/>
      <c r="Z171" s="232"/>
      <c r="AA171" s="232"/>
      <c r="AB171" s="330"/>
      <c r="AC171" s="230"/>
      <c r="AD171" s="331"/>
      <c r="AE171" s="438"/>
      <c r="AF171" s="522"/>
      <c r="AH171" s="390"/>
    </row>
    <row r="172" spans="1:34" s="141" customFormat="1">
      <c r="A172" s="251"/>
      <c r="B172" s="426"/>
      <c r="C172" s="306"/>
      <c r="D172" s="417"/>
      <c r="E172" s="273"/>
      <c r="F172" s="273"/>
      <c r="G172" s="231"/>
      <c r="H172" s="426"/>
      <c r="I172" s="426"/>
      <c r="J172" s="427"/>
      <c r="K172" s="428"/>
      <c r="L172" s="316"/>
      <c r="M172" s="316"/>
      <c r="N172" s="325"/>
      <c r="O172" s="325"/>
      <c r="P172" s="429"/>
      <c r="Q172" s="325"/>
      <c r="R172" s="325"/>
      <c r="S172" s="426"/>
      <c r="T172" s="232"/>
      <c r="U172" s="232"/>
      <c r="V172" s="232"/>
      <c r="W172" s="232"/>
      <c r="X172" s="233"/>
      <c r="Y172" s="232"/>
      <c r="Z172" s="232"/>
      <c r="AA172" s="232"/>
      <c r="AB172" s="330"/>
      <c r="AC172" s="230"/>
      <c r="AD172" s="331"/>
      <c r="AE172" s="438"/>
      <c r="AF172" s="522"/>
      <c r="AH172" s="390"/>
    </row>
    <row r="173" spans="1:34" s="141" customFormat="1">
      <c r="A173" s="251"/>
      <c r="B173" s="426"/>
      <c r="C173" s="306"/>
      <c r="D173" s="417"/>
      <c r="E173" s="273"/>
      <c r="F173" s="273"/>
      <c r="G173" s="231"/>
      <c r="H173" s="426"/>
      <c r="I173" s="426"/>
      <c r="J173" s="427"/>
      <c r="K173" s="428"/>
      <c r="L173" s="316"/>
      <c r="M173" s="316"/>
      <c r="N173" s="325"/>
      <c r="O173" s="325"/>
      <c r="P173" s="429"/>
      <c r="Q173" s="325"/>
      <c r="R173" s="325"/>
      <c r="S173" s="426"/>
      <c r="T173" s="232"/>
      <c r="U173" s="232"/>
      <c r="V173" s="232"/>
      <c r="W173" s="232"/>
      <c r="X173" s="233"/>
      <c r="Y173" s="232"/>
      <c r="Z173" s="232"/>
      <c r="AA173" s="232"/>
      <c r="AB173" s="330"/>
      <c r="AC173" s="230"/>
      <c r="AD173" s="331"/>
      <c r="AE173" s="438"/>
      <c r="AF173" s="522"/>
      <c r="AH173" s="390"/>
    </row>
    <row r="174" spans="1:34" s="141" customFormat="1">
      <c r="A174" s="251"/>
      <c r="B174" s="426"/>
      <c r="C174" s="306"/>
      <c r="D174" s="417"/>
      <c r="E174" s="273"/>
      <c r="F174" s="273"/>
      <c r="G174" s="231"/>
      <c r="H174" s="426"/>
      <c r="I174" s="426"/>
      <c r="J174" s="427"/>
      <c r="K174" s="428"/>
      <c r="L174" s="316"/>
      <c r="M174" s="316"/>
      <c r="N174" s="325"/>
      <c r="O174" s="325"/>
      <c r="P174" s="429"/>
      <c r="Q174" s="325"/>
      <c r="R174" s="325"/>
      <c r="S174" s="426"/>
      <c r="T174" s="232"/>
      <c r="U174" s="232"/>
      <c r="V174" s="232"/>
      <c r="W174" s="232"/>
      <c r="X174" s="233"/>
      <c r="Y174" s="232"/>
      <c r="Z174" s="232"/>
      <c r="AA174" s="232"/>
      <c r="AB174" s="330"/>
      <c r="AC174" s="230"/>
      <c r="AD174" s="331"/>
      <c r="AE174" s="438"/>
      <c r="AF174" s="522"/>
      <c r="AH174" s="390"/>
    </row>
    <row r="175" spans="1:34" s="141" customFormat="1">
      <c r="A175" s="251"/>
      <c r="B175" s="426"/>
      <c r="C175" s="306"/>
      <c r="D175" s="417"/>
      <c r="E175" s="273"/>
      <c r="F175" s="273"/>
      <c r="G175" s="231"/>
      <c r="H175" s="426"/>
      <c r="I175" s="426"/>
      <c r="J175" s="427"/>
      <c r="K175" s="428"/>
      <c r="L175" s="316"/>
      <c r="M175" s="316"/>
      <c r="N175" s="325"/>
      <c r="O175" s="325"/>
      <c r="P175" s="429"/>
      <c r="Q175" s="325"/>
      <c r="R175" s="325"/>
      <c r="S175" s="426"/>
      <c r="T175" s="232"/>
      <c r="U175" s="232"/>
      <c r="V175" s="232"/>
      <c r="W175" s="232"/>
      <c r="X175" s="233"/>
      <c r="Y175" s="232"/>
      <c r="Z175" s="232"/>
      <c r="AA175" s="232"/>
      <c r="AB175" s="330"/>
      <c r="AC175" s="230"/>
      <c r="AD175" s="331"/>
      <c r="AE175" s="438"/>
      <c r="AF175" s="522"/>
      <c r="AH175" s="390"/>
    </row>
    <row r="176" spans="1:34" s="141" customFormat="1">
      <c r="A176" s="251"/>
      <c r="B176" s="426"/>
      <c r="C176" s="306"/>
      <c r="D176" s="417"/>
      <c r="E176" s="273"/>
      <c r="F176" s="273"/>
      <c r="G176" s="231"/>
      <c r="H176" s="426"/>
      <c r="I176" s="426"/>
      <c r="J176" s="427"/>
      <c r="K176" s="428"/>
      <c r="L176" s="316"/>
      <c r="M176" s="316"/>
      <c r="N176" s="325"/>
      <c r="O176" s="325"/>
      <c r="P176" s="429"/>
      <c r="Q176" s="325"/>
      <c r="R176" s="325"/>
      <c r="S176" s="426"/>
      <c r="T176" s="232"/>
      <c r="U176" s="232"/>
      <c r="V176" s="232"/>
      <c r="W176" s="232"/>
      <c r="X176" s="233"/>
      <c r="Y176" s="232"/>
      <c r="Z176" s="232"/>
      <c r="AA176" s="232"/>
      <c r="AB176" s="330"/>
      <c r="AC176" s="230"/>
      <c r="AD176" s="331"/>
      <c r="AE176" s="438"/>
      <c r="AF176" s="522"/>
      <c r="AH176" s="390"/>
    </row>
    <row r="177" spans="1:34" s="141" customFormat="1">
      <c r="A177" s="251"/>
      <c r="B177" s="426"/>
      <c r="C177" s="306"/>
      <c r="D177" s="417"/>
      <c r="E177" s="273"/>
      <c r="F177" s="273"/>
      <c r="G177" s="231"/>
      <c r="H177" s="426"/>
      <c r="I177" s="426"/>
      <c r="J177" s="427"/>
      <c r="K177" s="428"/>
      <c r="L177" s="316"/>
      <c r="M177" s="316"/>
      <c r="N177" s="325"/>
      <c r="O177" s="325"/>
      <c r="P177" s="429"/>
      <c r="Q177" s="325"/>
      <c r="R177" s="325"/>
      <c r="S177" s="426"/>
      <c r="T177" s="232"/>
      <c r="U177" s="232"/>
      <c r="V177" s="232"/>
      <c r="W177" s="232"/>
      <c r="X177" s="233"/>
      <c r="Y177" s="232"/>
      <c r="Z177" s="232"/>
      <c r="AA177" s="232"/>
      <c r="AB177" s="330"/>
      <c r="AC177" s="230"/>
      <c r="AD177" s="331"/>
      <c r="AE177" s="438"/>
      <c r="AF177" s="522"/>
      <c r="AH177" s="390"/>
    </row>
    <row r="178" spans="1:34" s="141" customFormat="1">
      <c r="A178" s="251"/>
      <c r="B178" s="426"/>
      <c r="C178" s="306"/>
      <c r="D178" s="417"/>
      <c r="E178" s="273"/>
      <c r="F178" s="273"/>
      <c r="G178" s="231"/>
      <c r="H178" s="426"/>
      <c r="I178" s="426"/>
      <c r="J178" s="427"/>
      <c r="K178" s="428"/>
      <c r="L178" s="316"/>
      <c r="M178" s="316"/>
      <c r="N178" s="325"/>
      <c r="O178" s="325"/>
      <c r="P178" s="429"/>
      <c r="Q178" s="325"/>
      <c r="R178" s="325"/>
      <c r="S178" s="426"/>
      <c r="T178" s="232"/>
      <c r="U178" s="232"/>
      <c r="V178" s="232"/>
      <c r="W178" s="232"/>
      <c r="X178" s="233"/>
      <c r="Y178" s="232"/>
      <c r="Z178" s="232"/>
      <c r="AA178" s="232"/>
      <c r="AB178" s="330"/>
      <c r="AC178" s="230"/>
      <c r="AD178" s="331"/>
      <c r="AE178" s="438"/>
      <c r="AF178" s="522"/>
      <c r="AH178" s="390"/>
    </row>
    <row r="179" spans="1:34" s="141" customFormat="1">
      <c r="A179" s="251"/>
      <c r="B179" s="426"/>
      <c r="C179" s="306"/>
      <c r="D179" s="417"/>
      <c r="E179" s="273"/>
      <c r="F179" s="273"/>
      <c r="G179" s="231"/>
      <c r="H179" s="426"/>
      <c r="I179" s="426"/>
      <c r="J179" s="427"/>
      <c r="K179" s="428"/>
      <c r="L179" s="316"/>
      <c r="M179" s="316"/>
      <c r="N179" s="325"/>
      <c r="O179" s="325"/>
      <c r="P179" s="429"/>
      <c r="Q179" s="325"/>
      <c r="R179" s="325"/>
      <c r="S179" s="426"/>
      <c r="T179" s="232"/>
      <c r="U179" s="232"/>
      <c r="V179" s="232"/>
      <c r="W179" s="232"/>
      <c r="X179" s="233"/>
      <c r="Y179" s="232"/>
      <c r="Z179" s="232"/>
      <c r="AA179" s="232"/>
      <c r="AB179" s="330"/>
      <c r="AC179" s="230"/>
      <c r="AD179" s="331"/>
      <c r="AE179" s="438"/>
      <c r="AF179" s="522"/>
      <c r="AH179" s="390"/>
    </row>
    <row r="180" spans="1:34" s="141" customFormat="1">
      <c r="A180" s="251"/>
      <c r="B180" s="426"/>
      <c r="C180" s="306"/>
      <c r="D180" s="417"/>
      <c r="E180" s="273"/>
      <c r="F180" s="273"/>
      <c r="G180" s="231"/>
      <c r="H180" s="426"/>
      <c r="I180" s="426"/>
      <c r="J180" s="427"/>
      <c r="K180" s="428"/>
      <c r="L180" s="316"/>
      <c r="M180" s="316"/>
      <c r="N180" s="325"/>
      <c r="O180" s="325"/>
      <c r="P180" s="429"/>
      <c r="Q180" s="325"/>
      <c r="R180" s="325"/>
      <c r="S180" s="426"/>
      <c r="T180" s="232"/>
      <c r="U180" s="232"/>
      <c r="V180" s="232"/>
      <c r="W180" s="232"/>
      <c r="X180" s="233"/>
      <c r="Y180" s="232"/>
      <c r="Z180" s="232"/>
      <c r="AA180" s="232"/>
      <c r="AB180" s="330"/>
      <c r="AC180" s="230"/>
      <c r="AD180" s="331"/>
      <c r="AE180" s="438"/>
      <c r="AF180" s="522"/>
      <c r="AH180" s="390"/>
    </row>
    <row r="181" spans="1:34" s="141" customFormat="1">
      <c r="A181" s="251"/>
      <c r="B181" s="426"/>
      <c r="C181" s="306"/>
      <c r="D181" s="417"/>
      <c r="E181" s="273"/>
      <c r="F181" s="273"/>
      <c r="G181" s="231"/>
      <c r="H181" s="426"/>
      <c r="I181" s="426"/>
      <c r="J181" s="427"/>
      <c r="K181" s="428"/>
      <c r="L181" s="316"/>
      <c r="M181" s="316"/>
      <c r="N181" s="325"/>
      <c r="O181" s="325"/>
      <c r="P181" s="429"/>
      <c r="Q181" s="325"/>
      <c r="R181" s="325"/>
      <c r="S181" s="426"/>
      <c r="T181" s="232"/>
      <c r="U181" s="232"/>
      <c r="V181" s="232"/>
      <c r="W181" s="232"/>
      <c r="X181" s="233"/>
      <c r="Y181" s="232"/>
      <c r="Z181" s="232"/>
      <c r="AA181" s="232"/>
      <c r="AB181" s="330"/>
      <c r="AC181" s="230"/>
      <c r="AD181" s="331"/>
      <c r="AE181" s="438"/>
      <c r="AF181" s="522"/>
      <c r="AH181" s="390"/>
    </row>
    <row r="182" spans="1:34" s="141" customFormat="1">
      <c r="A182" s="251"/>
      <c r="B182" s="426"/>
      <c r="C182" s="306"/>
      <c r="D182" s="417"/>
      <c r="E182" s="273"/>
      <c r="F182" s="273"/>
      <c r="G182" s="231"/>
      <c r="H182" s="426"/>
      <c r="I182" s="426"/>
      <c r="J182" s="427"/>
      <c r="K182" s="428"/>
      <c r="L182" s="316"/>
      <c r="M182" s="316"/>
      <c r="N182" s="325"/>
      <c r="O182" s="325"/>
      <c r="P182" s="429"/>
      <c r="Q182" s="325"/>
      <c r="R182" s="325"/>
      <c r="S182" s="426"/>
      <c r="T182" s="232"/>
      <c r="U182" s="232"/>
      <c r="V182" s="232"/>
      <c r="W182" s="232"/>
      <c r="X182" s="233"/>
      <c r="Y182" s="232"/>
      <c r="Z182" s="232"/>
      <c r="AA182" s="232"/>
      <c r="AB182" s="330"/>
      <c r="AC182" s="230"/>
      <c r="AD182" s="331"/>
      <c r="AE182" s="438"/>
      <c r="AF182" s="522"/>
      <c r="AH182" s="390"/>
    </row>
    <row r="183" spans="1:34" s="141" customFormat="1">
      <c r="A183" s="251"/>
      <c r="B183" s="426"/>
      <c r="C183" s="306"/>
      <c r="D183" s="417"/>
      <c r="E183" s="273"/>
      <c r="F183" s="273"/>
      <c r="G183" s="231"/>
      <c r="H183" s="426"/>
      <c r="I183" s="426"/>
      <c r="J183" s="427"/>
      <c r="K183" s="428"/>
      <c r="L183" s="316"/>
      <c r="M183" s="316"/>
      <c r="N183" s="325"/>
      <c r="O183" s="325"/>
      <c r="P183" s="429"/>
      <c r="Q183" s="325"/>
      <c r="R183" s="325"/>
      <c r="S183" s="426"/>
      <c r="T183" s="232"/>
      <c r="U183" s="232"/>
      <c r="V183" s="232"/>
      <c r="W183" s="232"/>
      <c r="X183" s="233"/>
      <c r="Y183" s="232"/>
      <c r="Z183" s="232"/>
      <c r="AA183" s="232"/>
      <c r="AB183" s="330"/>
      <c r="AC183" s="230"/>
      <c r="AD183" s="331"/>
      <c r="AE183" s="438"/>
      <c r="AF183" s="522"/>
      <c r="AH183" s="390"/>
    </row>
    <row r="184" spans="1:34" s="141" customFormat="1">
      <c r="A184" s="251"/>
      <c r="B184" s="426"/>
      <c r="C184" s="306"/>
      <c r="D184" s="417"/>
      <c r="E184" s="273"/>
      <c r="F184" s="273"/>
      <c r="G184" s="231"/>
      <c r="H184" s="426"/>
      <c r="I184" s="426"/>
      <c r="J184" s="427"/>
      <c r="K184" s="428"/>
      <c r="L184" s="316"/>
      <c r="M184" s="316"/>
      <c r="N184" s="325"/>
      <c r="O184" s="325"/>
      <c r="P184" s="429"/>
      <c r="Q184" s="325"/>
      <c r="R184" s="325"/>
      <c r="S184" s="426"/>
      <c r="T184" s="232"/>
      <c r="U184" s="232"/>
      <c r="V184" s="232"/>
      <c r="W184" s="232"/>
      <c r="X184" s="233"/>
      <c r="Y184" s="232"/>
      <c r="Z184" s="232"/>
      <c r="AA184" s="232"/>
      <c r="AB184" s="330"/>
      <c r="AC184" s="230"/>
      <c r="AD184" s="331"/>
      <c r="AE184" s="438"/>
      <c r="AF184" s="522"/>
      <c r="AH184" s="390"/>
    </row>
    <row r="185" spans="1:34" s="141" customFormat="1">
      <c r="A185" s="251"/>
      <c r="B185" s="426"/>
      <c r="C185" s="306"/>
      <c r="D185" s="417"/>
      <c r="E185" s="273"/>
      <c r="F185" s="273"/>
      <c r="G185" s="231"/>
      <c r="H185" s="426"/>
      <c r="I185" s="426"/>
      <c r="J185" s="427"/>
      <c r="K185" s="428"/>
      <c r="L185" s="316"/>
      <c r="M185" s="316"/>
      <c r="N185" s="325"/>
      <c r="O185" s="325"/>
      <c r="P185" s="429"/>
      <c r="Q185" s="325"/>
      <c r="R185" s="325"/>
      <c r="S185" s="426"/>
      <c r="T185" s="232"/>
      <c r="U185" s="232"/>
      <c r="V185" s="232"/>
      <c r="W185" s="232"/>
      <c r="X185" s="233"/>
      <c r="Y185" s="232"/>
      <c r="Z185" s="232"/>
      <c r="AA185" s="232"/>
      <c r="AB185" s="330"/>
      <c r="AC185" s="230"/>
      <c r="AD185" s="331"/>
      <c r="AE185" s="438"/>
      <c r="AF185" s="522"/>
      <c r="AH185" s="390"/>
    </row>
    <row r="186" spans="1:34" s="141" customFormat="1">
      <c r="A186" s="251"/>
      <c r="B186" s="426"/>
      <c r="C186" s="306"/>
      <c r="D186" s="417"/>
      <c r="E186" s="273"/>
      <c r="F186" s="273"/>
      <c r="G186" s="231"/>
      <c r="H186" s="426"/>
      <c r="I186" s="426"/>
      <c r="J186" s="427"/>
      <c r="K186" s="428"/>
      <c r="L186" s="316"/>
      <c r="M186" s="316"/>
      <c r="N186" s="325"/>
      <c r="O186" s="325"/>
      <c r="P186" s="429"/>
      <c r="Q186" s="325"/>
      <c r="R186" s="325"/>
      <c r="S186" s="426"/>
      <c r="T186" s="232"/>
      <c r="U186" s="232"/>
      <c r="V186" s="232"/>
      <c r="W186" s="232"/>
      <c r="X186" s="233"/>
      <c r="Y186" s="232"/>
      <c r="Z186" s="232"/>
      <c r="AA186" s="232"/>
      <c r="AB186" s="330"/>
      <c r="AC186" s="230"/>
      <c r="AD186" s="331"/>
      <c r="AE186" s="438"/>
      <c r="AF186" s="522"/>
      <c r="AH186" s="390"/>
    </row>
    <row r="187" spans="1:34" s="141" customFormat="1">
      <c r="A187" s="251"/>
      <c r="B187" s="426"/>
      <c r="C187" s="306"/>
      <c r="D187" s="417"/>
      <c r="E187" s="273"/>
      <c r="F187" s="273"/>
      <c r="G187" s="231"/>
      <c r="H187" s="426"/>
      <c r="I187" s="426"/>
      <c r="J187" s="427"/>
      <c r="K187" s="428"/>
      <c r="L187" s="316"/>
      <c r="M187" s="316"/>
      <c r="N187" s="325"/>
      <c r="O187" s="325"/>
      <c r="P187" s="429"/>
      <c r="Q187" s="325"/>
      <c r="R187" s="325"/>
      <c r="S187" s="426"/>
      <c r="T187" s="232"/>
      <c r="U187" s="232"/>
      <c r="V187" s="232"/>
      <c r="W187" s="232"/>
      <c r="X187" s="233"/>
      <c r="Y187" s="232"/>
      <c r="Z187" s="232"/>
      <c r="AA187" s="232"/>
      <c r="AB187" s="330"/>
      <c r="AC187" s="230"/>
      <c r="AD187" s="331"/>
      <c r="AE187" s="438"/>
      <c r="AF187" s="522"/>
      <c r="AH187" s="390"/>
    </row>
    <row r="188" spans="1:34" s="141" customFormat="1">
      <c r="A188" s="251"/>
      <c r="B188" s="426"/>
      <c r="C188" s="306"/>
      <c r="D188" s="417"/>
      <c r="E188" s="273"/>
      <c r="F188" s="273"/>
      <c r="G188" s="231"/>
      <c r="H188" s="426"/>
      <c r="I188" s="426"/>
      <c r="J188" s="427"/>
      <c r="K188" s="428"/>
      <c r="L188" s="316"/>
      <c r="M188" s="316"/>
      <c r="N188" s="325"/>
      <c r="O188" s="325"/>
      <c r="P188" s="429"/>
      <c r="Q188" s="325"/>
      <c r="R188" s="325"/>
      <c r="S188" s="426"/>
      <c r="T188" s="232"/>
      <c r="U188" s="232"/>
      <c r="V188" s="232"/>
      <c r="W188" s="232"/>
      <c r="X188" s="233"/>
      <c r="Y188" s="232"/>
      <c r="Z188" s="232"/>
      <c r="AA188" s="232"/>
      <c r="AB188" s="330"/>
      <c r="AC188" s="230"/>
      <c r="AD188" s="331"/>
      <c r="AE188" s="438"/>
      <c r="AF188" s="522"/>
      <c r="AH188" s="390"/>
    </row>
    <row r="189" spans="1:34" s="141" customFormat="1">
      <c r="A189" s="251"/>
      <c r="B189" s="426"/>
      <c r="C189" s="306"/>
      <c r="D189" s="417"/>
      <c r="E189" s="273"/>
      <c r="F189" s="273"/>
      <c r="G189" s="231"/>
      <c r="H189" s="426"/>
      <c r="I189" s="426"/>
      <c r="J189" s="427"/>
      <c r="K189" s="428"/>
      <c r="L189" s="316"/>
      <c r="M189" s="316"/>
      <c r="N189" s="325"/>
      <c r="O189" s="325"/>
      <c r="P189" s="429"/>
      <c r="Q189" s="325"/>
      <c r="R189" s="325"/>
      <c r="S189" s="426"/>
      <c r="T189" s="232"/>
      <c r="U189" s="232"/>
      <c r="V189" s="232"/>
      <c r="W189" s="232"/>
      <c r="X189" s="233"/>
      <c r="Y189" s="232"/>
      <c r="Z189" s="232"/>
      <c r="AA189" s="232"/>
      <c r="AB189" s="330"/>
      <c r="AC189" s="230"/>
      <c r="AD189" s="331"/>
      <c r="AE189" s="438"/>
      <c r="AF189" s="522"/>
      <c r="AH189" s="390"/>
    </row>
    <row r="190" spans="1:34" s="141" customFormat="1">
      <c r="A190" s="251"/>
      <c r="B190" s="426"/>
      <c r="C190" s="306"/>
      <c r="D190" s="417"/>
      <c r="E190" s="273"/>
      <c r="F190" s="273"/>
      <c r="G190" s="231"/>
      <c r="H190" s="426"/>
      <c r="I190" s="426"/>
      <c r="J190" s="427"/>
      <c r="K190" s="428"/>
      <c r="L190" s="316"/>
      <c r="M190" s="316"/>
      <c r="N190" s="325"/>
      <c r="O190" s="325"/>
      <c r="P190" s="429"/>
      <c r="Q190" s="325"/>
      <c r="R190" s="325"/>
      <c r="S190" s="426"/>
      <c r="T190" s="232"/>
      <c r="U190" s="232"/>
      <c r="V190" s="232"/>
      <c r="W190" s="232"/>
      <c r="X190" s="233"/>
      <c r="Y190" s="232"/>
      <c r="Z190" s="232"/>
      <c r="AA190" s="232"/>
      <c r="AB190" s="330"/>
      <c r="AC190" s="230"/>
      <c r="AD190" s="331"/>
      <c r="AE190" s="438"/>
      <c r="AF190" s="522"/>
      <c r="AH190" s="390"/>
    </row>
    <row r="191" spans="1:34" s="141" customFormat="1">
      <c r="A191" s="251"/>
      <c r="B191" s="426"/>
      <c r="C191" s="306"/>
      <c r="D191" s="417"/>
      <c r="E191" s="273"/>
      <c r="F191" s="273"/>
      <c r="G191" s="231"/>
      <c r="H191" s="426"/>
      <c r="I191" s="426"/>
      <c r="J191" s="427"/>
      <c r="K191" s="428"/>
      <c r="L191" s="316"/>
      <c r="M191" s="316"/>
      <c r="N191" s="325"/>
      <c r="O191" s="325"/>
      <c r="P191" s="429"/>
      <c r="Q191" s="325"/>
      <c r="R191" s="325"/>
      <c r="S191" s="426"/>
      <c r="T191" s="232"/>
      <c r="U191" s="232"/>
      <c r="V191" s="232"/>
      <c r="W191" s="232"/>
      <c r="X191" s="233"/>
      <c r="Y191" s="232"/>
      <c r="Z191" s="232"/>
      <c r="AA191" s="232"/>
      <c r="AB191" s="330"/>
      <c r="AC191" s="230"/>
      <c r="AD191" s="331"/>
      <c r="AE191" s="438"/>
      <c r="AF191" s="522"/>
      <c r="AH191" s="390"/>
    </row>
    <row r="192" spans="1:34" s="141" customFormat="1">
      <c r="A192" s="251"/>
      <c r="B192" s="426"/>
      <c r="C192" s="306"/>
      <c r="D192" s="417"/>
      <c r="E192" s="273"/>
      <c r="F192" s="273"/>
      <c r="G192" s="231"/>
      <c r="H192" s="426"/>
      <c r="I192" s="426"/>
      <c r="J192" s="427"/>
      <c r="K192" s="428"/>
      <c r="L192" s="316"/>
      <c r="M192" s="316"/>
      <c r="N192" s="325"/>
      <c r="O192" s="325"/>
      <c r="P192" s="429"/>
      <c r="Q192" s="325"/>
      <c r="R192" s="325"/>
      <c r="S192" s="426"/>
      <c r="T192" s="232"/>
      <c r="U192" s="232"/>
      <c r="V192" s="232"/>
      <c r="W192" s="232"/>
      <c r="X192" s="233"/>
      <c r="Y192" s="232"/>
      <c r="Z192" s="232"/>
      <c r="AA192" s="232"/>
      <c r="AB192" s="330"/>
      <c r="AC192" s="230"/>
      <c r="AD192" s="331"/>
      <c r="AE192" s="438"/>
      <c r="AF192" s="522"/>
      <c r="AH192" s="390"/>
    </row>
    <row r="193" spans="1:34" s="141" customFormat="1">
      <c r="A193" s="251"/>
      <c r="B193" s="426"/>
      <c r="C193" s="306"/>
      <c r="D193" s="417"/>
      <c r="E193" s="273"/>
      <c r="F193" s="273"/>
      <c r="G193" s="231"/>
      <c r="H193" s="426"/>
      <c r="I193" s="426"/>
      <c r="J193" s="427"/>
      <c r="K193" s="428"/>
      <c r="L193" s="316"/>
      <c r="M193" s="316"/>
      <c r="N193" s="325"/>
      <c r="O193" s="325"/>
      <c r="P193" s="429"/>
      <c r="Q193" s="325"/>
      <c r="R193" s="325"/>
      <c r="S193" s="426"/>
      <c r="T193" s="232"/>
      <c r="U193" s="232"/>
      <c r="V193" s="232"/>
      <c r="W193" s="232"/>
      <c r="X193" s="233"/>
      <c r="Y193" s="232"/>
      <c r="Z193" s="232"/>
      <c r="AA193" s="232"/>
      <c r="AB193" s="330"/>
      <c r="AC193" s="230"/>
      <c r="AD193" s="331"/>
      <c r="AE193" s="438"/>
      <c r="AF193" s="522"/>
      <c r="AH193" s="390"/>
    </row>
    <row r="194" spans="1:34" s="141" customFormat="1">
      <c r="A194" s="251"/>
      <c r="B194" s="426"/>
      <c r="C194" s="306"/>
      <c r="D194" s="417"/>
      <c r="E194" s="273"/>
      <c r="F194" s="273"/>
      <c r="G194" s="231"/>
      <c r="H194" s="426"/>
      <c r="I194" s="426"/>
      <c r="J194" s="427"/>
      <c r="K194" s="428"/>
      <c r="L194" s="316"/>
      <c r="M194" s="316"/>
      <c r="N194" s="325"/>
      <c r="O194" s="325"/>
      <c r="P194" s="429"/>
      <c r="Q194" s="325"/>
      <c r="R194" s="325"/>
      <c r="S194" s="426"/>
      <c r="T194" s="232"/>
      <c r="U194" s="232"/>
      <c r="V194" s="232"/>
      <c r="W194" s="232"/>
      <c r="X194" s="233"/>
      <c r="Y194" s="232"/>
      <c r="Z194" s="232"/>
      <c r="AA194" s="232"/>
      <c r="AB194" s="330"/>
      <c r="AC194" s="230"/>
      <c r="AD194" s="331"/>
      <c r="AE194" s="438"/>
      <c r="AF194" s="522"/>
      <c r="AH194" s="390"/>
    </row>
    <row r="195" spans="1:34" s="141" customFormat="1">
      <c r="A195" s="251"/>
      <c r="B195" s="426"/>
      <c r="C195" s="306"/>
      <c r="D195" s="417"/>
      <c r="E195" s="273"/>
      <c r="F195" s="273"/>
      <c r="G195" s="231"/>
      <c r="H195" s="426"/>
      <c r="I195" s="426"/>
      <c r="J195" s="427"/>
      <c r="K195" s="428"/>
      <c r="L195" s="316"/>
      <c r="M195" s="316"/>
      <c r="N195" s="325"/>
      <c r="O195" s="325"/>
      <c r="P195" s="429"/>
      <c r="Q195" s="325"/>
      <c r="R195" s="325"/>
      <c r="S195" s="426"/>
      <c r="T195" s="232"/>
      <c r="U195" s="232"/>
      <c r="V195" s="232"/>
      <c r="W195" s="232"/>
      <c r="X195" s="233"/>
      <c r="Y195" s="232"/>
      <c r="Z195" s="232"/>
      <c r="AA195" s="232"/>
      <c r="AB195" s="330"/>
      <c r="AC195" s="230"/>
      <c r="AD195" s="331"/>
      <c r="AE195" s="438"/>
      <c r="AF195" s="522"/>
      <c r="AH195" s="390"/>
    </row>
    <row r="196" spans="1:34" s="141" customFormat="1">
      <c r="A196" s="251"/>
      <c r="B196" s="426"/>
      <c r="C196" s="306"/>
      <c r="D196" s="417"/>
      <c r="E196" s="273"/>
      <c r="F196" s="273"/>
      <c r="G196" s="231"/>
      <c r="H196" s="426"/>
      <c r="I196" s="426"/>
      <c r="J196" s="427"/>
      <c r="K196" s="428"/>
      <c r="L196" s="316"/>
      <c r="M196" s="316"/>
      <c r="N196" s="325"/>
      <c r="O196" s="325"/>
      <c r="P196" s="429"/>
      <c r="Q196" s="325"/>
      <c r="R196" s="325"/>
      <c r="S196" s="426"/>
      <c r="T196" s="232"/>
      <c r="U196" s="232"/>
      <c r="V196" s="232"/>
      <c r="W196" s="232"/>
      <c r="X196" s="233"/>
      <c r="Y196" s="232"/>
      <c r="Z196" s="232"/>
      <c r="AA196" s="232"/>
      <c r="AB196" s="330"/>
      <c r="AC196" s="230"/>
      <c r="AD196" s="331"/>
      <c r="AE196" s="438"/>
      <c r="AF196" s="522"/>
      <c r="AH196" s="390"/>
    </row>
    <row r="197" spans="1:34" s="141" customFormat="1">
      <c r="A197" s="251"/>
      <c r="B197" s="426"/>
      <c r="C197" s="306"/>
      <c r="D197" s="417"/>
      <c r="E197" s="273"/>
      <c r="F197" s="273"/>
      <c r="G197" s="231"/>
      <c r="H197" s="426"/>
      <c r="I197" s="426"/>
      <c r="J197" s="427"/>
      <c r="K197" s="428"/>
      <c r="L197" s="316"/>
      <c r="M197" s="316"/>
      <c r="N197" s="325"/>
      <c r="O197" s="325"/>
      <c r="P197" s="429"/>
      <c r="Q197" s="325"/>
      <c r="R197" s="325"/>
      <c r="S197" s="426"/>
      <c r="T197" s="232"/>
      <c r="U197" s="232"/>
      <c r="V197" s="232"/>
      <c r="W197" s="232"/>
      <c r="X197" s="233"/>
      <c r="Y197" s="232"/>
      <c r="Z197" s="232"/>
      <c r="AA197" s="232"/>
      <c r="AB197" s="330"/>
      <c r="AC197" s="230"/>
      <c r="AD197" s="331"/>
      <c r="AE197" s="438"/>
      <c r="AF197" s="522"/>
      <c r="AH197" s="390"/>
    </row>
    <row r="198" spans="1:34" s="141" customFormat="1">
      <c r="A198" s="251"/>
      <c r="B198" s="426"/>
      <c r="C198" s="306"/>
      <c r="D198" s="417"/>
      <c r="E198" s="273"/>
      <c r="F198" s="273"/>
      <c r="G198" s="231"/>
      <c r="H198" s="426"/>
      <c r="I198" s="426"/>
      <c r="J198" s="427"/>
      <c r="K198" s="428"/>
      <c r="L198" s="316"/>
      <c r="M198" s="316"/>
      <c r="N198" s="325"/>
      <c r="O198" s="325"/>
      <c r="P198" s="429"/>
      <c r="Q198" s="325"/>
      <c r="R198" s="325"/>
      <c r="S198" s="426"/>
      <c r="T198" s="232"/>
      <c r="U198" s="232"/>
      <c r="V198" s="232"/>
      <c r="W198" s="232"/>
      <c r="X198" s="233"/>
      <c r="Y198" s="232"/>
      <c r="Z198" s="232"/>
      <c r="AA198" s="232"/>
      <c r="AB198" s="330"/>
      <c r="AC198" s="230"/>
      <c r="AD198" s="331"/>
      <c r="AE198" s="438"/>
      <c r="AF198" s="522"/>
      <c r="AH198" s="390"/>
    </row>
    <row r="199" spans="1:34" s="141" customFormat="1">
      <c r="A199" s="251"/>
      <c r="B199" s="426"/>
      <c r="C199" s="306"/>
      <c r="D199" s="417"/>
      <c r="E199" s="273"/>
      <c r="F199" s="273"/>
      <c r="G199" s="231"/>
      <c r="H199" s="426"/>
      <c r="I199" s="426"/>
      <c r="J199" s="427"/>
      <c r="K199" s="428"/>
      <c r="L199" s="316"/>
      <c r="M199" s="316"/>
      <c r="N199" s="325"/>
      <c r="O199" s="325"/>
      <c r="P199" s="429"/>
      <c r="Q199" s="325"/>
      <c r="R199" s="325"/>
      <c r="S199" s="426"/>
      <c r="T199" s="232"/>
      <c r="U199" s="232"/>
      <c r="V199" s="232"/>
      <c r="W199" s="232"/>
      <c r="X199" s="233"/>
      <c r="Y199" s="232"/>
      <c r="Z199" s="232"/>
      <c r="AA199" s="232"/>
      <c r="AB199" s="330"/>
      <c r="AC199" s="230"/>
      <c r="AD199" s="331"/>
      <c r="AE199" s="438"/>
      <c r="AF199" s="522"/>
      <c r="AH199" s="390"/>
    </row>
    <row r="200" spans="1:34" s="141" customFormat="1">
      <c r="A200" s="251"/>
      <c r="B200" s="426"/>
      <c r="C200" s="306"/>
      <c r="D200" s="417"/>
      <c r="E200" s="273"/>
      <c r="F200" s="273"/>
      <c r="G200" s="231"/>
      <c r="H200" s="426"/>
      <c r="I200" s="426"/>
      <c r="J200" s="427"/>
      <c r="K200" s="428"/>
      <c r="L200" s="316"/>
      <c r="M200" s="316"/>
      <c r="N200" s="325"/>
      <c r="O200" s="325"/>
      <c r="P200" s="429"/>
      <c r="Q200" s="325"/>
      <c r="R200" s="325"/>
      <c r="S200" s="426"/>
      <c r="T200" s="232"/>
      <c r="U200" s="232"/>
      <c r="V200" s="232"/>
      <c r="W200" s="232"/>
      <c r="X200" s="233"/>
      <c r="Y200" s="232"/>
      <c r="Z200" s="232"/>
      <c r="AA200" s="232"/>
      <c r="AB200" s="330"/>
      <c r="AC200" s="230"/>
      <c r="AD200" s="331"/>
      <c r="AE200" s="438"/>
      <c r="AF200" s="522"/>
      <c r="AH200" s="390"/>
    </row>
    <row r="201" spans="1:34" s="141" customFormat="1">
      <c r="A201" s="251"/>
      <c r="B201" s="426"/>
      <c r="C201" s="306"/>
      <c r="D201" s="417"/>
      <c r="E201" s="273"/>
      <c r="F201" s="273"/>
      <c r="G201" s="231"/>
      <c r="H201" s="426"/>
      <c r="I201" s="426"/>
      <c r="J201" s="427"/>
      <c r="K201" s="428"/>
      <c r="L201" s="316"/>
      <c r="M201" s="316"/>
      <c r="N201" s="325"/>
      <c r="O201" s="325"/>
      <c r="P201" s="429"/>
      <c r="Q201" s="325"/>
      <c r="R201" s="325"/>
      <c r="S201" s="426"/>
      <c r="T201" s="232"/>
      <c r="U201" s="232"/>
      <c r="V201" s="232"/>
      <c r="W201" s="232"/>
      <c r="X201" s="233"/>
      <c r="Y201" s="232"/>
      <c r="Z201" s="232"/>
      <c r="AA201" s="232"/>
      <c r="AB201" s="330"/>
      <c r="AC201" s="230"/>
      <c r="AD201" s="331"/>
      <c r="AE201" s="438"/>
      <c r="AF201" s="522"/>
      <c r="AH201" s="390"/>
    </row>
    <row r="202" spans="1:34" s="141" customFormat="1">
      <c r="A202" s="251"/>
      <c r="B202" s="426"/>
      <c r="C202" s="306"/>
      <c r="D202" s="417"/>
      <c r="E202" s="273"/>
      <c r="F202" s="273"/>
      <c r="G202" s="231"/>
      <c r="H202" s="426"/>
      <c r="I202" s="426"/>
      <c r="J202" s="427"/>
      <c r="K202" s="428"/>
      <c r="L202" s="316"/>
      <c r="M202" s="316"/>
      <c r="N202" s="325"/>
      <c r="O202" s="325"/>
      <c r="P202" s="429"/>
      <c r="Q202" s="325"/>
      <c r="R202" s="325"/>
      <c r="S202" s="426"/>
      <c r="T202" s="232"/>
      <c r="U202" s="232"/>
      <c r="V202" s="232"/>
      <c r="W202" s="232"/>
      <c r="X202" s="233"/>
      <c r="Y202" s="232"/>
      <c r="Z202" s="232"/>
      <c r="AA202" s="232"/>
      <c r="AB202" s="330"/>
      <c r="AC202" s="230"/>
      <c r="AD202" s="331"/>
      <c r="AE202" s="438"/>
      <c r="AF202" s="522"/>
      <c r="AH202" s="390"/>
    </row>
    <row r="203" spans="1:34" s="141" customFormat="1">
      <c r="A203" s="251"/>
      <c r="B203" s="426"/>
      <c r="C203" s="306"/>
      <c r="D203" s="417"/>
      <c r="E203" s="273"/>
      <c r="F203" s="273"/>
      <c r="G203" s="231"/>
      <c r="H203" s="426"/>
      <c r="I203" s="426"/>
      <c r="J203" s="427"/>
      <c r="K203" s="428"/>
      <c r="L203" s="316"/>
      <c r="M203" s="316"/>
      <c r="N203" s="325"/>
      <c r="O203" s="325"/>
      <c r="P203" s="429"/>
      <c r="Q203" s="325"/>
      <c r="R203" s="325"/>
      <c r="S203" s="426"/>
      <c r="T203" s="232"/>
      <c r="U203" s="232"/>
      <c r="V203" s="232"/>
      <c r="W203" s="232"/>
      <c r="X203" s="233"/>
      <c r="Y203" s="232"/>
      <c r="Z203" s="232"/>
      <c r="AA203" s="232"/>
      <c r="AB203" s="330"/>
      <c r="AC203" s="230"/>
      <c r="AD203" s="331"/>
      <c r="AE203" s="438"/>
      <c r="AF203" s="522"/>
      <c r="AH203" s="390"/>
    </row>
    <row r="204" spans="1:34" s="141" customFormat="1">
      <c r="A204" s="251"/>
      <c r="B204" s="426"/>
      <c r="C204" s="306"/>
      <c r="D204" s="417"/>
      <c r="E204" s="273"/>
      <c r="F204" s="273"/>
      <c r="G204" s="231"/>
      <c r="H204" s="426"/>
      <c r="I204" s="426"/>
      <c r="J204" s="427"/>
      <c r="K204" s="428"/>
      <c r="L204" s="316"/>
      <c r="M204" s="316"/>
      <c r="N204" s="325"/>
      <c r="O204" s="325"/>
      <c r="P204" s="429"/>
      <c r="Q204" s="325"/>
      <c r="R204" s="325"/>
      <c r="S204" s="426"/>
      <c r="T204" s="232"/>
      <c r="U204" s="232"/>
      <c r="V204" s="232"/>
      <c r="W204" s="232"/>
      <c r="X204" s="233"/>
      <c r="Y204" s="232"/>
      <c r="Z204" s="232"/>
      <c r="AA204" s="232"/>
      <c r="AB204" s="330"/>
      <c r="AC204" s="230"/>
      <c r="AD204" s="331"/>
      <c r="AE204" s="438"/>
      <c r="AF204" s="522"/>
      <c r="AH204" s="390"/>
    </row>
    <row r="205" spans="1:34" s="141" customFormat="1">
      <c r="A205" s="251"/>
      <c r="B205" s="426"/>
      <c r="C205" s="306"/>
      <c r="D205" s="417"/>
      <c r="E205" s="273"/>
      <c r="F205" s="273"/>
      <c r="G205" s="231"/>
      <c r="H205" s="426"/>
      <c r="I205" s="426"/>
      <c r="J205" s="427"/>
      <c r="K205" s="428"/>
      <c r="L205" s="316"/>
      <c r="M205" s="316"/>
      <c r="N205" s="325"/>
      <c r="O205" s="325"/>
      <c r="P205" s="429"/>
      <c r="Q205" s="325"/>
      <c r="R205" s="325"/>
      <c r="S205" s="426"/>
      <c r="T205" s="232"/>
      <c r="U205" s="232"/>
      <c r="V205" s="232"/>
      <c r="W205" s="232"/>
      <c r="X205" s="233"/>
      <c r="Y205" s="232"/>
      <c r="Z205" s="232"/>
      <c r="AA205" s="232"/>
      <c r="AB205" s="330"/>
      <c r="AC205" s="230"/>
      <c r="AD205" s="331"/>
      <c r="AE205" s="438"/>
      <c r="AF205" s="522"/>
      <c r="AH205" s="390"/>
    </row>
    <row r="206" spans="1:34" s="141" customFormat="1">
      <c r="A206" s="251"/>
      <c r="B206" s="426"/>
      <c r="C206" s="306"/>
      <c r="D206" s="417"/>
      <c r="E206" s="273"/>
      <c r="F206" s="273"/>
      <c r="G206" s="231"/>
      <c r="H206" s="426"/>
      <c r="I206" s="426"/>
      <c r="J206" s="427"/>
      <c r="K206" s="428"/>
      <c r="L206" s="316"/>
      <c r="M206" s="316"/>
      <c r="N206" s="325"/>
      <c r="O206" s="325"/>
      <c r="P206" s="429"/>
      <c r="Q206" s="325"/>
      <c r="R206" s="325"/>
      <c r="S206" s="426"/>
      <c r="T206" s="232"/>
      <c r="U206" s="232"/>
      <c r="V206" s="232"/>
      <c r="W206" s="232"/>
      <c r="X206" s="233"/>
      <c r="Y206" s="232"/>
      <c r="Z206" s="232"/>
      <c r="AA206" s="232"/>
      <c r="AB206" s="330"/>
      <c r="AC206" s="230"/>
      <c r="AD206" s="331"/>
      <c r="AE206" s="438"/>
      <c r="AF206" s="522"/>
      <c r="AH206" s="390"/>
    </row>
    <row r="207" spans="1:34" s="141" customFormat="1">
      <c r="A207" s="251"/>
      <c r="B207" s="426"/>
      <c r="C207" s="306"/>
      <c r="D207" s="417"/>
      <c r="E207" s="273"/>
      <c r="F207" s="273"/>
      <c r="G207" s="231"/>
      <c r="H207" s="426"/>
      <c r="I207" s="426"/>
      <c r="J207" s="427"/>
      <c r="K207" s="428"/>
      <c r="L207" s="316"/>
      <c r="M207" s="316"/>
      <c r="N207" s="325"/>
      <c r="O207" s="325"/>
      <c r="P207" s="429"/>
      <c r="Q207" s="325"/>
      <c r="R207" s="325"/>
      <c r="S207" s="426"/>
      <c r="T207" s="232"/>
      <c r="U207" s="232"/>
      <c r="V207" s="232"/>
      <c r="W207" s="232"/>
      <c r="X207" s="233"/>
      <c r="Y207" s="232"/>
      <c r="Z207" s="232"/>
      <c r="AA207" s="232"/>
      <c r="AB207" s="330"/>
      <c r="AC207" s="230"/>
      <c r="AD207" s="331"/>
      <c r="AE207" s="438"/>
      <c r="AF207" s="522"/>
      <c r="AH207" s="390"/>
    </row>
    <row r="208" spans="1:34" s="141" customFormat="1">
      <c r="A208" s="251"/>
      <c r="B208" s="426"/>
      <c r="C208" s="306"/>
      <c r="D208" s="417"/>
      <c r="E208" s="273"/>
      <c r="F208" s="273"/>
      <c r="G208" s="231"/>
      <c r="H208" s="426"/>
      <c r="I208" s="426"/>
      <c r="J208" s="427"/>
      <c r="K208" s="428"/>
      <c r="L208" s="316"/>
      <c r="M208" s="316"/>
      <c r="N208" s="325"/>
      <c r="O208" s="325"/>
      <c r="P208" s="429"/>
      <c r="Q208" s="325"/>
      <c r="R208" s="325"/>
      <c r="S208" s="426"/>
      <c r="T208" s="232"/>
      <c r="U208" s="232"/>
      <c r="V208" s="232"/>
      <c r="W208" s="232"/>
      <c r="X208" s="233"/>
      <c r="Y208" s="232"/>
      <c r="Z208" s="232"/>
      <c r="AA208" s="232"/>
      <c r="AB208" s="330"/>
      <c r="AC208" s="230"/>
      <c r="AD208" s="331"/>
      <c r="AE208" s="438"/>
      <c r="AF208" s="522"/>
      <c r="AH208" s="390"/>
    </row>
    <row r="209" spans="1:34" s="141" customFormat="1">
      <c r="A209" s="251"/>
      <c r="B209" s="426"/>
      <c r="C209" s="306"/>
      <c r="D209" s="417"/>
      <c r="E209" s="273"/>
      <c r="F209" s="273"/>
      <c r="G209" s="231"/>
      <c r="H209" s="426"/>
      <c r="I209" s="426"/>
      <c r="J209" s="427"/>
      <c r="K209" s="428"/>
      <c r="L209" s="316"/>
      <c r="M209" s="316"/>
      <c r="N209" s="325"/>
      <c r="O209" s="325"/>
      <c r="P209" s="429"/>
      <c r="Q209" s="325"/>
      <c r="R209" s="325"/>
      <c r="S209" s="426"/>
      <c r="T209" s="232"/>
      <c r="U209" s="232"/>
      <c r="V209" s="232"/>
      <c r="W209" s="232"/>
      <c r="X209" s="233"/>
      <c r="Y209" s="232"/>
      <c r="Z209" s="232"/>
      <c r="AA209" s="232"/>
      <c r="AB209" s="330"/>
      <c r="AC209" s="230"/>
      <c r="AD209" s="331"/>
      <c r="AE209" s="438"/>
      <c r="AF209" s="522"/>
      <c r="AH209" s="390"/>
    </row>
    <row r="210" spans="1:34" s="141" customFormat="1">
      <c r="A210" s="251"/>
      <c r="B210" s="426"/>
      <c r="C210" s="306"/>
      <c r="D210" s="417"/>
      <c r="E210" s="273"/>
      <c r="F210" s="273"/>
      <c r="G210" s="231"/>
      <c r="H210" s="426"/>
      <c r="I210" s="426"/>
      <c r="J210" s="427"/>
      <c r="K210" s="428"/>
      <c r="L210" s="316"/>
      <c r="M210" s="316"/>
      <c r="N210" s="325"/>
      <c r="O210" s="325"/>
      <c r="P210" s="429"/>
      <c r="Q210" s="325"/>
      <c r="R210" s="325"/>
      <c r="S210" s="426"/>
      <c r="T210" s="232"/>
      <c r="U210" s="232"/>
      <c r="V210" s="232"/>
      <c r="W210" s="232"/>
      <c r="X210" s="233"/>
      <c r="Y210" s="232"/>
      <c r="Z210" s="232"/>
      <c r="AA210" s="232"/>
      <c r="AB210" s="330"/>
      <c r="AC210" s="230"/>
      <c r="AD210" s="331"/>
      <c r="AE210" s="438"/>
      <c r="AF210" s="522"/>
      <c r="AH210" s="390"/>
    </row>
    <row r="211" spans="1:34" s="141" customFormat="1">
      <c r="A211" s="251"/>
      <c r="B211" s="426"/>
      <c r="C211" s="306"/>
      <c r="D211" s="417"/>
      <c r="E211" s="273"/>
      <c r="F211" s="273"/>
      <c r="G211" s="231"/>
      <c r="H211" s="426"/>
      <c r="I211" s="426"/>
      <c r="J211" s="427"/>
      <c r="K211" s="428"/>
      <c r="L211" s="316"/>
      <c r="M211" s="316"/>
      <c r="N211" s="325"/>
      <c r="O211" s="325"/>
      <c r="P211" s="429"/>
      <c r="Q211" s="325"/>
      <c r="R211" s="325"/>
      <c r="S211" s="426"/>
      <c r="T211" s="232"/>
      <c r="U211" s="232"/>
      <c r="V211" s="232"/>
      <c r="W211" s="232"/>
      <c r="X211" s="233"/>
      <c r="Y211" s="232"/>
      <c r="Z211" s="232"/>
      <c r="AA211" s="232"/>
      <c r="AB211" s="330"/>
      <c r="AC211" s="230"/>
      <c r="AD211" s="331"/>
      <c r="AE211" s="438"/>
      <c r="AF211" s="522"/>
      <c r="AH211" s="390"/>
    </row>
    <row r="212" spans="1:34" s="141" customFormat="1">
      <c r="A212" s="251"/>
      <c r="B212" s="426"/>
      <c r="C212" s="306"/>
      <c r="D212" s="417"/>
      <c r="E212" s="273"/>
      <c r="F212" s="273"/>
      <c r="G212" s="231"/>
      <c r="H212" s="426"/>
      <c r="I212" s="426"/>
      <c r="J212" s="427"/>
      <c r="K212" s="428"/>
      <c r="L212" s="316"/>
      <c r="M212" s="316"/>
      <c r="N212" s="325"/>
      <c r="O212" s="325"/>
      <c r="P212" s="429"/>
      <c r="Q212" s="325"/>
      <c r="R212" s="325"/>
      <c r="S212" s="426"/>
      <c r="T212" s="232"/>
      <c r="U212" s="232"/>
      <c r="V212" s="232"/>
      <c r="W212" s="232"/>
      <c r="X212" s="233"/>
      <c r="Y212" s="232"/>
      <c r="Z212" s="232"/>
      <c r="AA212" s="232"/>
      <c r="AB212" s="330"/>
      <c r="AC212" s="230"/>
      <c r="AD212" s="331"/>
      <c r="AE212" s="438"/>
      <c r="AF212" s="522"/>
      <c r="AH212" s="390"/>
    </row>
    <row r="213" spans="1:34" s="141" customFormat="1">
      <c r="A213" s="251"/>
      <c r="B213" s="426"/>
      <c r="C213" s="306"/>
      <c r="D213" s="417"/>
      <c r="E213" s="273"/>
      <c r="F213" s="273"/>
      <c r="G213" s="231"/>
      <c r="H213" s="426"/>
      <c r="I213" s="426"/>
      <c r="J213" s="427"/>
      <c r="K213" s="428"/>
      <c r="L213" s="316"/>
      <c r="M213" s="316"/>
      <c r="N213" s="325"/>
      <c r="O213" s="325"/>
      <c r="P213" s="429"/>
      <c r="Q213" s="325"/>
      <c r="R213" s="325"/>
      <c r="S213" s="426"/>
      <c r="T213" s="232"/>
      <c r="U213" s="232"/>
      <c r="V213" s="232"/>
      <c r="W213" s="232"/>
      <c r="X213" s="233"/>
      <c r="Y213" s="232"/>
      <c r="Z213" s="232"/>
      <c r="AA213" s="232"/>
      <c r="AB213" s="330"/>
      <c r="AC213" s="230"/>
      <c r="AD213" s="331"/>
      <c r="AE213" s="438"/>
      <c r="AF213" s="522"/>
      <c r="AH213" s="390"/>
    </row>
    <row r="214" spans="1:34" s="141" customFormat="1">
      <c r="A214" s="251"/>
      <c r="B214" s="426"/>
      <c r="C214" s="306"/>
      <c r="D214" s="417"/>
      <c r="E214" s="273"/>
      <c r="F214" s="273"/>
      <c r="G214" s="231"/>
      <c r="H214" s="426"/>
      <c r="I214" s="426"/>
      <c r="J214" s="427"/>
      <c r="K214" s="428"/>
      <c r="L214" s="316"/>
      <c r="M214" s="316"/>
      <c r="N214" s="325"/>
      <c r="O214" s="325"/>
      <c r="P214" s="429"/>
      <c r="Q214" s="325"/>
      <c r="R214" s="325"/>
      <c r="S214" s="426"/>
      <c r="T214" s="232"/>
      <c r="U214" s="232"/>
      <c r="V214" s="232"/>
      <c r="W214" s="232"/>
      <c r="X214" s="233"/>
      <c r="Y214" s="232"/>
      <c r="Z214" s="232"/>
      <c r="AA214" s="232"/>
      <c r="AB214" s="330"/>
      <c r="AC214" s="230"/>
      <c r="AD214" s="331"/>
      <c r="AE214" s="438"/>
      <c r="AF214" s="522"/>
      <c r="AH214" s="390"/>
    </row>
    <row r="215" spans="1:34" s="141" customFormat="1">
      <c r="A215" s="251"/>
      <c r="B215" s="426"/>
      <c r="C215" s="306"/>
      <c r="D215" s="417"/>
      <c r="E215" s="273"/>
      <c r="F215" s="273"/>
      <c r="G215" s="231"/>
      <c r="H215" s="426"/>
      <c r="I215" s="426"/>
      <c r="J215" s="427"/>
      <c r="K215" s="428"/>
      <c r="L215" s="316"/>
      <c r="M215" s="316"/>
      <c r="N215" s="325"/>
      <c r="O215" s="325"/>
      <c r="P215" s="429"/>
      <c r="Q215" s="325"/>
      <c r="R215" s="325"/>
      <c r="S215" s="426"/>
      <c r="T215" s="232"/>
      <c r="U215" s="232"/>
      <c r="V215" s="232"/>
      <c r="W215" s="232"/>
      <c r="X215" s="233"/>
      <c r="Y215" s="232"/>
      <c r="Z215" s="232"/>
      <c r="AA215" s="232"/>
      <c r="AB215" s="330"/>
      <c r="AC215" s="230"/>
      <c r="AD215" s="331"/>
      <c r="AE215" s="438"/>
      <c r="AF215" s="522"/>
      <c r="AH215" s="390"/>
    </row>
    <row r="216" spans="1:34" s="141" customFormat="1">
      <c r="A216" s="251"/>
      <c r="B216" s="426"/>
      <c r="C216" s="306"/>
      <c r="D216" s="417"/>
      <c r="E216" s="273"/>
      <c r="F216" s="273"/>
      <c r="G216" s="231"/>
      <c r="H216" s="426"/>
      <c r="I216" s="426"/>
      <c r="J216" s="427"/>
      <c r="K216" s="428"/>
      <c r="L216" s="316"/>
      <c r="M216" s="316"/>
      <c r="N216" s="325"/>
      <c r="O216" s="325"/>
      <c r="P216" s="429"/>
      <c r="Q216" s="325"/>
      <c r="R216" s="325"/>
      <c r="S216" s="426"/>
      <c r="T216" s="232"/>
      <c r="U216" s="232"/>
      <c r="V216" s="232"/>
      <c r="W216" s="232"/>
      <c r="X216" s="233"/>
      <c r="Y216" s="232"/>
      <c r="Z216" s="232"/>
      <c r="AA216" s="232"/>
      <c r="AB216" s="330"/>
      <c r="AC216" s="230"/>
      <c r="AD216" s="331"/>
      <c r="AE216" s="438"/>
      <c r="AF216" s="522"/>
      <c r="AH216" s="390"/>
    </row>
    <row r="217" spans="1:34" s="141" customFormat="1">
      <c r="A217" s="251"/>
      <c r="B217" s="426"/>
      <c r="C217" s="306"/>
      <c r="D217" s="417"/>
      <c r="E217" s="273"/>
      <c r="F217" s="273"/>
      <c r="G217" s="231"/>
      <c r="H217" s="426"/>
      <c r="I217" s="426"/>
      <c r="J217" s="427"/>
      <c r="K217" s="428"/>
      <c r="L217" s="316"/>
      <c r="M217" s="316"/>
      <c r="N217" s="325"/>
      <c r="O217" s="325"/>
      <c r="P217" s="429"/>
      <c r="Q217" s="325"/>
      <c r="R217" s="325"/>
      <c r="S217" s="426"/>
      <c r="T217" s="232"/>
      <c r="U217" s="232"/>
      <c r="V217" s="232"/>
      <c r="W217" s="232"/>
      <c r="X217" s="233"/>
      <c r="Y217" s="232"/>
      <c r="Z217" s="232"/>
      <c r="AA217" s="232"/>
      <c r="AB217" s="330"/>
      <c r="AC217" s="230"/>
      <c r="AD217" s="331"/>
      <c r="AE217" s="438"/>
      <c r="AF217" s="522"/>
      <c r="AH217" s="390"/>
    </row>
    <row r="218" spans="1:34" s="141" customFormat="1">
      <c r="A218" s="251"/>
      <c r="B218" s="426"/>
      <c r="C218" s="306"/>
      <c r="D218" s="417"/>
      <c r="E218" s="273"/>
      <c r="F218" s="273"/>
      <c r="G218" s="231"/>
      <c r="H218" s="426"/>
      <c r="I218" s="426"/>
      <c r="J218" s="427"/>
      <c r="K218" s="428"/>
      <c r="L218" s="316"/>
      <c r="M218" s="316"/>
      <c r="N218" s="325"/>
      <c r="O218" s="325"/>
      <c r="P218" s="429"/>
      <c r="Q218" s="325"/>
      <c r="R218" s="325"/>
      <c r="S218" s="426"/>
      <c r="T218" s="232"/>
      <c r="U218" s="232"/>
      <c r="V218" s="232"/>
      <c r="W218" s="232"/>
      <c r="X218" s="233"/>
      <c r="Y218" s="232"/>
      <c r="Z218" s="232"/>
      <c r="AA218" s="232"/>
      <c r="AB218" s="330"/>
      <c r="AC218" s="230"/>
      <c r="AD218" s="331"/>
      <c r="AE218" s="438"/>
      <c r="AF218" s="522"/>
      <c r="AH218" s="390"/>
    </row>
    <row r="219" spans="1:34" s="141" customFormat="1">
      <c r="A219" s="251"/>
      <c r="B219" s="426"/>
      <c r="C219" s="306"/>
      <c r="D219" s="417"/>
      <c r="E219" s="273"/>
      <c r="F219" s="273"/>
      <c r="G219" s="231"/>
      <c r="H219" s="426"/>
      <c r="I219" s="426"/>
      <c r="J219" s="427"/>
      <c r="K219" s="428"/>
      <c r="L219" s="316"/>
      <c r="M219" s="316"/>
      <c r="N219" s="325"/>
      <c r="O219" s="325"/>
      <c r="P219" s="429"/>
      <c r="Q219" s="325"/>
      <c r="R219" s="325"/>
      <c r="S219" s="426"/>
      <c r="T219" s="232"/>
      <c r="U219" s="232"/>
      <c r="V219" s="232"/>
      <c r="W219" s="232"/>
      <c r="X219" s="233"/>
      <c r="Y219" s="232"/>
      <c r="Z219" s="232"/>
      <c r="AA219" s="232"/>
      <c r="AB219" s="330"/>
      <c r="AC219" s="230"/>
      <c r="AD219" s="331"/>
      <c r="AE219" s="438"/>
      <c r="AF219" s="522"/>
      <c r="AH219" s="390"/>
    </row>
    <row r="220" spans="1:34" s="141" customFormat="1">
      <c r="A220" s="251"/>
      <c r="B220" s="426"/>
      <c r="C220" s="306"/>
      <c r="D220" s="417"/>
      <c r="E220" s="273"/>
      <c r="F220" s="273"/>
      <c r="G220" s="231"/>
      <c r="H220" s="426"/>
      <c r="I220" s="426"/>
      <c r="J220" s="427"/>
      <c r="K220" s="428"/>
      <c r="L220" s="316"/>
      <c r="M220" s="316"/>
      <c r="N220" s="325"/>
      <c r="O220" s="325"/>
      <c r="P220" s="429"/>
      <c r="Q220" s="325"/>
      <c r="R220" s="325"/>
      <c r="S220" s="426"/>
      <c r="T220" s="232"/>
      <c r="U220" s="232"/>
      <c r="V220" s="232"/>
      <c r="W220" s="232"/>
      <c r="X220" s="233"/>
      <c r="Y220" s="232"/>
      <c r="Z220" s="232"/>
      <c r="AA220" s="232"/>
      <c r="AB220" s="330"/>
      <c r="AC220" s="230"/>
      <c r="AD220" s="331"/>
      <c r="AE220" s="438"/>
      <c r="AF220" s="522"/>
      <c r="AH220" s="390"/>
    </row>
    <row r="221" spans="1:34" s="141" customFormat="1">
      <c r="A221" s="251"/>
      <c r="B221" s="426"/>
      <c r="C221" s="306"/>
      <c r="D221" s="417"/>
      <c r="E221" s="273"/>
      <c r="F221" s="273"/>
      <c r="G221" s="231"/>
      <c r="H221" s="426"/>
      <c r="I221" s="426"/>
      <c r="J221" s="427"/>
      <c r="K221" s="428"/>
      <c r="L221" s="316"/>
      <c r="M221" s="316"/>
      <c r="N221" s="325"/>
      <c r="O221" s="325"/>
      <c r="P221" s="429"/>
      <c r="Q221" s="325"/>
      <c r="R221" s="325"/>
      <c r="S221" s="426"/>
      <c r="T221" s="232"/>
      <c r="U221" s="232"/>
      <c r="V221" s="232"/>
      <c r="W221" s="232"/>
      <c r="X221" s="233"/>
      <c r="Y221" s="232"/>
      <c r="Z221" s="232"/>
      <c r="AA221" s="232"/>
      <c r="AB221" s="330"/>
      <c r="AC221" s="230"/>
      <c r="AD221" s="331"/>
      <c r="AE221" s="438"/>
      <c r="AF221" s="522"/>
      <c r="AH221" s="390"/>
    </row>
    <row r="222" spans="1:34" s="141" customFormat="1">
      <c r="A222" s="251"/>
      <c r="B222" s="426"/>
      <c r="C222" s="306"/>
      <c r="D222" s="417"/>
      <c r="E222" s="273"/>
      <c r="F222" s="273"/>
      <c r="G222" s="231"/>
      <c r="H222" s="426"/>
      <c r="I222" s="426"/>
      <c r="J222" s="427"/>
      <c r="K222" s="428"/>
      <c r="L222" s="316"/>
      <c r="M222" s="316"/>
      <c r="N222" s="325"/>
      <c r="O222" s="325"/>
      <c r="P222" s="429"/>
      <c r="Q222" s="325"/>
      <c r="R222" s="325"/>
      <c r="S222" s="426"/>
      <c r="T222" s="232"/>
      <c r="U222" s="232"/>
      <c r="V222" s="232"/>
      <c r="W222" s="232"/>
      <c r="X222" s="233"/>
      <c r="Y222" s="232"/>
      <c r="Z222" s="232"/>
      <c r="AA222" s="232"/>
      <c r="AB222" s="330"/>
      <c r="AC222" s="230"/>
      <c r="AD222" s="331"/>
      <c r="AE222" s="438"/>
      <c r="AF222" s="522"/>
      <c r="AH222" s="390"/>
    </row>
    <row r="223" spans="1:34" s="141" customFormat="1">
      <c r="A223" s="251"/>
      <c r="B223" s="426"/>
      <c r="C223" s="306"/>
      <c r="D223" s="417"/>
      <c r="E223" s="273"/>
      <c r="F223" s="273"/>
      <c r="G223" s="231"/>
      <c r="H223" s="426"/>
      <c r="I223" s="426"/>
      <c r="J223" s="427"/>
      <c r="K223" s="428"/>
      <c r="L223" s="316"/>
      <c r="M223" s="316"/>
      <c r="N223" s="325"/>
      <c r="O223" s="325"/>
      <c r="P223" s="429"/>
      <c r="Q223" s="325"/>
      <c r="R223" s="325"/>
      <c r="S223" s="426"/>
      <c r="T223" s="232"/>
      <c r="U223" s="232"/>
      <c r="V223" s="232"/>
      <c r="W223" s="232"/>
      <c r="X223" s="233"/>
      <c r="Y223" s="232"/>
      <c r="Z223" s="232"/>
      <c r="AA223" s="232"/>
      <c r="AB223" s="330"/>
      <c r="AC223" s="230"/>
      <c r="AD223" s="331"/>
      <c r="AE223" s="438"/>
      <c r="AF223" s="522"/>
      <c r="AH223" s="390"/>
    </row>
    <row r="224" spans="1:34" s="141" customFormat="1">
      <c r="A224" s="251"/>
      <c r="B224" s="426"/>
      <c r="C224" s="306"/>
      <c r="D224" s="417"/>
      <c r="E224" s="273"/>
      <c r="F224" s="273"/>
      <c r="G224" s="231"/>
      <c r="H224" s="426"/>
      <c r="I224" s="426"/>
      <c r="J224" s="427"/>
      <c r="K224" s="428"/>
      <c r="L224" s="316"/>
      <c r="M224" s="316"/>
      <c r="N224" s="325"/>
      <c r="O224" s="325"/>
      <c r="P224" s="429"/>
      <c r="Q224" s="325"/>
      <c r="R224" s="325"/>
      <c r="S224" s="426"/>
      <c r="T224" s="232"/>
      <c r="U224" s="232"/>
      <c r="V224" s="232"/>
      <c r="W224" s="232"/>
      <c r="X224" s="233"/>
      <c r="Y224" s="232"/>
      <c r="Z224" s="232"/>
      <c r="AA224" s="232"/>
      <c r="AB224" s="330"/>
      <c r="AC224" s="230"/>
      <c r="AD224" s="331"/>
      <c r="AE224" s="438"/>
      <c r="AF224" s="522"/>
      <c r="AH224" s="390"/>
    </row>
    <row r="225" spans="1:34" s="141" customFormat="1">
      <c r="A225" s="251"/>
      <c r="B225" s="426"/>
      <c r="C225" s="306"/>
      <c r="D225" s="417"/>
      <c r="E225" s="273"/>
      <c r="F225" s="273"/>
      <c r="G225" s="231"/>
      <c r="H225" s="426"/>
      <c r="I225" s="426"/>
      <c r="J225" s="427"/>
      <c r="K225" s="428"/>
      <c r="L225" s="316"/>
      <c r="M225" s="316"/>
      <c r="N225" s="325"/>
      <c r="O225" s="325"/>
      <c r="P225" s="429"/>
      <c r="Q225" s="325"/>
      <c r="R225" s="325"/>
      <c r="S225" s="426"/>
      <c r="T225" s="232"/>
      <c r="U225" s="232"/>
      <c r="V225" s="232"/>
      <c r="W225" s="232"/>
      <c r="X225" s="233"/>
      <c r="Y225" s="232"/>
      <c r="Z225" s="232"/>
      <c r="AA225" s="232"/>
      <c r="AB225" s="330"/>
      <c r="AC225" s="230"/>
      <c r="AD225" s="331"/>
      <c r="AE225" s="438"/>
      <c r="AF225" s="522"/>
      <c r="AH225" s="390"/>
    </row>
    <row r="226" spans="1:34" s="141" customFormat="1">
      <c r="A226" s="251"/>
      <c r="B226" s="426"/>
      <c r="C226" s="306"/>
      <c r="D226" s="417"/>
      <c r="E226" s="273"/>
      <c r="F226" s="273"/>
      <c r="G226" s="231"/>
      <c r="H226" s="426"/>
      <c r="I226" s="426"/>
      <c r="J226" s="427"/>
      <c r="K226" s="428"/>
      <c r="L226" s="316"/>
      <c r="M226" s="316"/>
      <c r="N226" s="325"/>
      <c r="O226" s="325"/>
      <c r="P226" s="429"/>
      <c r="Q226" s="325"/>
      <c r="R226" s="325"/>
      <c r="S226" s="426"/>
      <c r="T226" s="232"/>
      <c r="U226" s="232"/>
      <c r="V226" s="232"/>
      <c r="W226" s="232"/>
      <c r="X226" s="233"/>
      <c r="Y226" s="232"/>
      <c r="Z226" s="232"/>
      <c r="AA226" s="232"/>
      <c r="AB226" s="330"/>
      <c r="AC226" s="230"/>
      <c r="AD226" s="331"/>
      <c r="AE226" s="438"/>
      <c r="AF226" s="522"/>
      <c r="AH226" s="390"/>
    </row>
    <row r="227" spans="1:34" s="141" customFormat="1">
      <c r="A227" s="251"/>
      <c r="B227" s="426"/>
      <c r="C227" s="306"/>
      <c r="D227" s="417"/>
      <c r="E227" s="273"/>
      <c r="F227" s="273"/>
      <c r="G227" s="231"/>
      <c r="H227" s="426"/>
      <c r="I227" s="426"/>
      <c r="J227" s="427"/>
      <c r="K227" s="428"/>
      <c r="L227" s="316"/>
      <c r="M227" s="316"/>
      <c r="N227" s="325"/>
      <c r="O227" s="325"/>
      <c r="P227" s="429"/>
      <c r="Q227" s="325"/>
      <c r="R227" s="325"/>
      <c r="S227" s="426"/>
      <c r="T227" s="232"/>
      <c r="U227" s="232"/>
      <c r="V227" s="232"/>
      <c r="W227" s="232"/>
      <c r="X227" s="233"/>
      <c r="Y227" s="232"/>
      <c r="Z227" s="232"/>
      <c r="AA227" s="232"/>
      <c r="AB227" s="330"/>
      <c r="AC227" s="230"/>
      <c r="AD227" s="331"/>
      <c r="AE227" s="438"/>
      <c r="AF227" s="522"/>
      <c r="AH227" s="390"/>
    </row>
    <row r="228" spans="1:34" s="141" customFormat="1">
      <c r="A228" s="251"/>
      <c r="B228" s="426"/>
      <c r="C228" s="306"/>
      <c r="D228" s="417"/>
      <c r="E228" s="273"/>
      <c r="F228" s="273"/>
      <c r="G228" s="231"/>
      <c r="H228" s="426"/>
      <c r="I228" s="426"/>
      <c r="J228" s="427"/>
      <c r="K228" s="428"/>
      <c r="L228" s="316"/>
      <c r="M228" s="316"/>
      <c r="N228" s="325"/>
      <c r="O228" s="325"/>
      <c r="P228" s="429"/>
      <c r="Q228" s="325"/>
      <c r="R228" s="325"/>
      <c r="S228" s="426"/>
      <c r="T228" s="232"/>
      <c r="U228" s="232"/>
      <c r="V228" s="232"/>
      <c r="W228" s="232"/>
      <c r="X228" s="233"/>
      <c r="Y228" s="232"/>
      <c r="Z228" s="232"/>
      <c r="AA228" s="232"/>
      <c r="AB228" s="330"/>
      <c r="AC228" s="230"/>
      <c r="AD228" s="331"/>
      <c r="AE228" s="438"/>
      <c r="AF228" s="522"/>
      <c r="AH228" s="390"/>
    </row>
    <row r="229" spans="1:34" s="141" customFormat="1">
      <c r="A229" s="251"/>
      <c r="B229" s="426"/>
      <c r="C229" s="306"/>
      <c r="D229" s="417"/>
      <c r="E229" s="273"/>
      <c r="F229" s="273"/>
      <c r="G229" s="231"/>
      <c r="H229" s="426"/>
      <c r="I229" s="426"/>
      <c r="J229" s="427"/>
      <c r="K229" s="428"/>
      <c r="L229" s="316"/>
      <c r="M229" s="316"/>
      <c r="N229" s="325"/>
      <c r="O229" s="325"/>
      <c r="P229" s="429"/>
      <c r="Q229" s="325"/>
      <c r="R229" s="325"/>
      <c r="S229" s="426"/>
      <c r="T229" s="232"/>
      <c r="U229" s="232"/>
      <c r="V229" s="232"/>
      <c r="W229" s="232"/>
      <c r="X229" s="233"/>
      <c r="Y229" s="232"/>
      <c r="Z229" s="232"/>
      <c r="AA229" s="232"/>
      <c r="AB229" s="330"/>
      <c r="AC229" s="230"/>
      <c r="AD229" s="331"/>
      <c r="AE229" s="438"/>
      <c r="AF229" s="522"/>
      <c r="AH229" s="390"/>
    </row>
    <row r="230" spans="1:34" s="141" customFormat="1">
      <c r="A230" s="251"/>
      <c r="B230" s="426"/>
      <c r="C230" s="306"/>
      <c r="D230" s="417"/>
      <c r="E230" s="273"/>
      <c r="F230" s="273"/>
      <c r="G230" s="231"/>
      <c r="H230" s="426"/>
      <c r="I230" s="426"/>
      <c r="J230" s="427"/>
      <c r="K230" s="428"/>
      <c r="L230" s="316"/>
      <c r="M230" s="316"/>
      <c r="N230" s="325"/>
      <c r="O230" s="325"/>
      <c r="P230" s="429"/>
      <c r="Q230" s="325"/>
      <c r="R230" s="325"/>
      <c r="S230" s="426"/>
      <c r="T230" s="232"/>
      <c r="U230" s="232"/>
      <c r="V230" s="232"/>
      <c r="W230" s="232"/>
      <c r="X230" s="233"/>
      <c r="Y230" s="232"/>
      <c r="Z230" s="232"/>
      <c r="AA230" s="232"/>
      <c r="AB230" s="330"/>
      <c r="AC230" s="230"/>
      <c r="AD230" s="331"/>
      <c r="AE230" s="438"/>
      <c r="AF230" s="522"/>
      <c r="AH230" s="390"/>
    </row>
    <row r="231" spans="1:34" s="141" customFormat="1">
      <c r="A231" s="251"/>
      <c r="B231" s="426"/>
      <c r="C231" s="306"/>
      <c r="D231" s="417"/>
      <c r="E231" s="273"/>
      <c r="F231" s="273"/>
      <c r="G231" s="231"/>
      <c r="H231" s="426"/>
      <c r="I231" s="426"/>
      <c r="J231" s="427"/>
      <c r="K231" s="428"/>
      <c r="L231" s="316"/>
      <c r="M231" s="316"/>
      <c r="N231" s="325"/>
      <c r="O231" s="325"/>
      <c r="P231" s="429"/>
      <c r="Q231" s="325"/>
      <c r="R231" s="325"/>
      <c r="S231" s="426"/>
      <c r="T231" s="232"/>
      <c r="U231" s="232"/>
      <c r="V231" s="232"/>
      <c r="W231" s="232"/>
      <c r="X231" s="233"/>
      <c r="Y231" s="232"/>
      <c r="Z231" s="232"/>
      <c r="AA231" s="232"/>
      <c r="AB231" s="330"/>
      <c r="AC231" s="230"/>
      <c r="AD231" s="331"/>
      <c r="AE231" s="438"/>
      <c r="AF231" s="522"/>
      <c r="AH231" s="390"/>
    </row>
    <row r="232" spans="1:34" s="141" customFormat="1">
      <c r="A232" s="251"/>
      <c r="B232" s="426"/>
      <c r="C232" s="306"/>
      <c r="D232" s="417"/>
      <c r="E232" s="273"/>
      <c r="F232" s="273"/>
      <c r="G232" s="231"/>
      <c r="H232" s="426"/>
      <c r="I232" s="426"/>
      <c r="J232" s="427"/>
      <c r="K232" s="428"/>
      <c r="L232" s="316"/>
      <c r="M232" s="316"/>
      <c r="N232" s="325"/>
      <c r="O232" s="325"/>
      <c r="P232" s="429"/>
      <c r="Q232" s="325"/>
      <c r="R232" s="325"/>
      <c r="S232" s="426"/>
      <c r="T232" s="232"/>
      <c r="U232" s="232"/>
      <c r="V232" s="232"/>
      <c r="W232" s="232"/>
      <c r="X232" s="233"/>
      <c r="Y232" s="232"/>
      <c r="Z232" s="232"/>
      <c r="AA232" s="232"/>
      <c r="AB232" s="330"/>
      <c r="AC232" s="230"/>
      <c r="AD232" s="331"/>
      <c r="AE232" s="438"/>
      <c r="AF232" s="522"/>
      <c r="AH232" s="390"/>
    </row>
    <row r="233" spans="1:34" s="141" customFormat="1">
      <c r="A233" s="251"/>
      <c r="B233" s="426"/>
      <c r="C233" s="306"/>
      <c r="D233" s="417"/>
      <c r="E233" s="273"/>
      <c r="F233" s="273"/>
      <c r="G233" s="231"/>
      <c r="H233" s="426"/>
      <c r="I233" s="426"/>
      <c r="J233" s="427"/>
      <c r="K233" s="428"/>
      <c r="L233" s="316"/>
      <c r="M233" s="316"/>
      <c r="N233" s="325"/>
      <c r="O233" s="325"/>
      <c r="P233" s="429"/>
      <c r="Q233" s="325"/>
      <c r="R233" s="325"/>
      <c r="S233" s="426"/>
      <c r="T233" s="232"/>
      <c r="U233" s="232"/>
      <c r="V233" s="232"/>
      <c r="W233" s="232"/>
      <c r="X233" s="233"/>
      <c r="Y233" s="232"/>
      <c r="Z233" s="232"/>
      <c r="AA233" s="232"/>
      <c r="AB233" s="330"/>
      <c r="AC233" s="230"/>
      <c r="AD233" s="331"/>
      <c r="AE233" s="438"/>
      <c r="AF233" s="522"/>
      <c r="AH233" s="390"/>
    </row>
    <row r="234" spans="1:34" s="141" customFormat="1">
      <c r="A234" s="251"/>
      <c r="B234" s="426"/>
      <c r="C234" s="306"/>
      <c r="D234" s="417"/>
      <c r="E234" s="273"/>
      <c r="F234" s="273"/>
      <c r="G234" s="231"/>
      <c r="H234" s="426"/>
      <c r="I234" s="426"/>
      <c r="J234" s="427"/>
      <c r="K234" s="428"/>
      <c r="L234" s="316"/>
      <c r="M234" s="316"/>
      <c r="N234" s="325"/>
      <c r="O234" s="325"/>
      <c r="P234" s="429"/>
      <c r="Q234" s="325"/>
      <c r="R234" s="325"/>
      <c r="S234" s="426"/>
      <c r="T234" s="232"/>
      <c r="U234" s="232"/>
      <c r="V234" s="232"/>
      <c r="W234" s="232"/>
      <c r="X234" s="233"/>
      <c r="Y234" s="232"/>
      <c r="Z234" s="232"/>
      <c r="AA234" s="232"/>
      <c r="AB234" s="330"/>
      <c r="AC234" s="230"/>
      <c r="AD234" s="331"/>
      <c r="AE234" s="438"/>
      <c r="AF234" s="522"/>
      <c r="AH234" s="390"/>
    </row>
    <row r="235" spans="1:34" s="141" customFormat="1">
      <c r="A235" s="251"/>
      <c r="B235" s="426"/>
      <c r="C235" s="306"/>
      <c r="D235" s="417"/>
      <c r="E235" s="273"/>
      <c r="F235" s="273"/>
      <c r="G235" s="231"/>
      <c r="H235" s="426"/>
      <c r="I235" s="426"/>
      <c r="J235" s="427"/>
      <c r="K235" s="428"/>
      <c r="L235" s="316"/>
      <c r="M235" s="316"/>
      <c r="N235" s="325"/>
      <c r="O235" s="325"/>
      <c r="P235" s="429"/>
      <c r="Q235" s="325"/>
      <c r="R235" s="325"/>
      <c r="S235" s="426"/>
      <c r="T235" s="232"/>
      <c r="U235" s="232"/>
      <c r="V235" s="232"/>
      <c r="W235" s="232"/>
      <c r="X235" s="233"/>
      <c r="Y235" s="232"/>
      <c r="Z235" s="232"/>
      <c r="AA235" s="232"/>
      <c r="AB235" s="330"/>
      <c r="AC235" s="230"/>
      <c r="AD235" s="331"/>
      <c r="AE235" s="438"/>
      <c r="AF235" s="522"/>
      <c r="AH235" s="390"/>
    </row>
    <row r="236" spans="1:34" s="141" customFormat="1">
      <c r="A236" s="251"/>
      <c r="B236" s="426"/>
      <c r="C236" s="306"/>
      <c r="D236" s="417"/>
      <c r="E236" s="273"/>
      <c r="F236" s="273"/>
      <c r="G236" s="231"/>
      <c r="H236" s="426"/>
      <c r="I236" s="426"/>
      <c r="J236" s="427"/>
      <c r="K236" s="428"/>
      <c r="L236" s="316"/>
      <c r="M236" s="316"/>
      <c r="N236" s="325"/>
      <c r="O236" s="325"/>
      <c r="P236" s="429"/>
      <c r="Q236" s="325"/>
      <c r="R236" s="325"/>
      <c r="S236" s="426"/>
      <c r="T236" s="232"/>
      <c r="U236" s="232"/>
      <c r="V236" s="232"/>
      <c r="W236" s="232"/>
      <c r="X236" s="233"/>
      <c r="Y236" s="232"/>
      <c r="Z236" s="232"/>
      <c r="AA236" s="232"/>
      <c r="AB236" s="330"/>
      <c r="AC236" s="230"/>
      <c r="AD236" s="331"/>
      <c r="AE236" s="438"/>
      <c r="AF236" s="522"/>
      <c r="AH236" s="390"/>
    </row>
    <row r="237" spans="1:34" s="141" customFormat="1">
      <c r="A237" s="251"/>
      <c r="B237" s="426"/>
      <c r="C237" s="306"/>
      <c r="D237" s="417"/>
      <c r="E237" s="273"/>
      <c r="F237" s="273"/>
      <c r="G237" s="231"/>
      <c r="H237" s="426"/>
      <c r="I237" s="426"/>
      <c r="J237" s="427"/>
      <c r="K237" s="428"/>
      <c r="L237" s="316"/>
      <c r="M237" s="316"/>
      <c r="N237" s="325"/>
      <c r="O237" s="325"/>
      <c r="P237" s="429"/>
      <c r="Q237" s="325"/>
      <c r="R237" s="325"/>
      <c r="S237" s="426"/>
      <c r="T237" s="232"/>
      <c r="U237" s="232"/>
      <c r="V237" s="232"/>
      <c r="W237" s="232"/>
      <c r="X237" s="233"/>
      <c r="Y237" s="232"/>
      <c r="Z237" s="232"/>
      <c r="AA237" s="232"/>
      <c r="AB237" s="330"/>
      <c r="AC237" s="230"/>
      <c r="AD237" s="331"/>
      <c r="AE237" s="438"/>
      <c r="AF237" s="522"/>
      <c r="AH237" s="390"/>
    </row>
    <row r="238" spans="1:34" s="141" customFormat="1">
      <c r="A238" s="251"/>
      <c r="B238" s="426"/>
      <c r="C238" s="306"/>
      <c r="D238" s="417"/>
      <c r="E238" s="273"/>
      <c r="F238" s="273"/>
      <c r="G238" s="231"/>
      <c r="H238" s="426"/>
      <c r="I238" s="426"/>
      <c r="J238" s="427"/>
      <c r="K238" s="428"/>
      <c r="L238" s="316"/>
      <c r="M238" s="316"/>
      <c r="N238" s="325"/>
      <c r="O238" s="325"/>
      <c r="P238" s="429"/>
      <c r="Q238" s="325"/>
      <c r="R238" s="325"/>
      <c r="S238" s="426"/>
      <c r="T238" s="232"/>
      <c r="U238" s="232"/>
      <c r="V238" s="232"/>
      <c r="W238" s="232"/>
      <c r="X238" s="233"/>
      <c r="Y238" s="232"/>
      <c r="Z238" s="232"/>
      <c r="AA238" s="232"/>
      <c r="AB238" s="330"/>
      <c r="AC238" s="230"/>
      <c r="AD238" s="331"/>
      <c r="AE238" s="438"/>
      <c r="AF238" s="522"/>
      <c r="AH238" s="390"/>
    </row>
    <row r="239" spans="1:34" s="141" customFormat="1">
      <c r="A239" s="251"/>
      <c r="B239" s="426"/>
      <c r="C239" s="306"/>
      <c r="D239" s="417"/>
      <c r="E239" s="273"/>
      <c r="F239" s="273"/>
      <c r="G239" s="231"/>
      <c r="H239" s="426"/>
      <c r="I239" s="426"/>
      <c r="J239" s="427"/>
      <c r="K239" s="428"/>
      <c r="L239" s="316"/>
      <c r="M239" s="316"/>
      <c r="N239" s="325"/>
      <c r="O239" s="325"/>
      <c r="P239" s="429"/>
      <c r="Q239" s="325"/>
      <c r="R239" s="325"/>
      <c r="S239" s="426"/>
      <c r="T239" s="232"/>
      <c r="U239" s="232"/>
      <c r="V239" s="232"/>
      <c r="W239" s="232"/>
      <c r="X239" s="233"/>
      <c r="Y239" s="232"/>
      <c r="Z239" s="232"/>
      <c r="AA239" s="232"/>
      <c r="AB239" s="330"/>
      <c r="AC239" s="230"/>
      <c r="AD239" s="331"/>
      <c r="AE239" s="438"/>
      <c r="AF239" s="522"/>
      <c r="AH239" s="390"/>
    </row>
    <row r="240" spans="1:34" s="141" customFormat="1">
      <c r="A240" s="251"/>
      <c r="B240" s="426"/>
      <c r="C240" s="306"/>
      <c r="D240" s="417"/>
      <c r="E240" s="273"/>
      <c r="F240" s="273"/>
      <c r="G240" s="231"/>
      <c r="H240" s="426"/>
      <c r="I240" s="426"/>
      <c r="J240" s="427"/>
      <c r="K240" s="428"/>
      <c r="L240" s="316"/>
      <c r="M240" s="316"/>
      <c r="N240" s="325"/>
      <c r="O240" s="325"/>
      <c r="P240" s="429"/>
      <c r="Q240" s="325"/>
      <c r="R240" s="325"/>
      <c r="S240" s="426"/>
      <c r="T240" s="232"/>
      <c r="U240" s="232"/>
      <c r="V240" s="232"/>
      <c r="W240" s="232"/>
      <c r="X240" s="233"/>
      <c r="Y240" s="232"/>
      <c r="Z240" s="232"/>
      <c r="AA240" s="232"/>
      <c r="AB240" s="330"/>
      <c r="AC240" s="230"/>
      <c r="AD240" s="331"/>
      <c r="AE240" s="438"/>
      <c r="AF240" s="522"/>
      <c r="AH240" s="390"/>
    </row>
    <row r="241" spans="1:34" s="141" customFormat="1">
      <c r="A241" s="251"/>
      <c r="B241" s="426"/>
      <c r="C241" s="306"/>
      <c r="D241" s="417"/>
      <c r="E241" s="273"/>
      <c r="F241" s="273"/>
      <c r="G241" s="231"/>
      <c r="H241" s="426"/>
      <c r="I241" s="426"/>
      <c r="J241" s="427"/>
      <c r="K241" s="428"/>
      <c r="L241" s="316"/>
      <c r="M241" s="316"/>
      <c r="N241" s="325"/>
      <c r="O241" s="325"/>
      <c r="P241" s="429"/>
      <c r="Q241" s="325"/>
      <c r="R241" s="325"/>
      <c r="S241" s="426"/>
      <c r="T241" s="232"/>
      <c r="U241" s="232"/>
      <c r="V241" s="232"/>
      <c r="W241" s="232"/>
      <c r="X241" s="233"/>
      <c r="Y241" s="232"/>
      <c r="Z241" s="232"/>
      <c r="AA241" s="232"/>
      <c r="AB241" s="330"/>
      <c r="AC241" s="230"/>
      <c r="AD241" s="331"/>
      <c r="AE241" s="438"/>
      <c r="AF241" s="522"/>
      <c r="AH241" s="390"/>
    </row>
    <row r="242" spans="1:34" s="141" customFormat="1">
      <c r="A242" s="251"/>
      <c r="B242" s="426"/>
      <c r="C242" s="306"/>
      <c r="D242" s="417"/>
      <c r="E242" s="273"/>
      <c r="F242" s="273"/>
      <c r="G242" s="231"/>
      <c r="H242" s="426"/>
      <c r="I242" s="426"/>
      <c r="J242" s="427"/>
      <c r="K242" s="428"/>
      <c r="L242" s="316"/>
      <c r="M242" s="316"/>
      <c r="N242" s="325"/>
      <c r="O242" s="325"/>
      <c r="P242" s="429"/>
      <c r="Q242" s="325"/>
      <c r="R242" s="325"/>
      <c r="S242" s="426"/>
      <c r="T242" s="232"/>
      <c r="U242" s="232"/>
      <c r="V242" s="232"/>
      <c r="W242" s="232"/>
      <c r="X242" s="233"/>
      <c r="Y242" s="232"/>
      <c r="Z242" s="232"/>
      <c r="AA242" s="232"/>
      <c r="AB242" s="330"/>
      <c r="AC242" s="230"/>
      <c r="AD242" s="331"/>
      <c r="AE242" s="438"/>
      <c r="AF242" s="522"/>
      <c r="AH242" s="390"/>
    </row>
    <row r="243" spans="1:34" s="141" customFormat="1">
      <c r="A243" s="251"/>
      <c r="B243" s="426"/>
      <c r="C243" s="306"/>
      <c r="D243" s="417"/>
      <c r="E243" s="273"/>
      <c r="F243" s="273"/>
      <c r="G243" s="231"/>
      <c r="H243" s="426"/>
      <c r="I243" s="426"/>
      <c r="J243" s="427"/>
      <c r="K243" s="428"/>
      <c r="L243" s="316"/>
      <c r="M243" s="316"/>
      <c r="N243" s="325"/>
      <c r="O243" s="325"/>
      <c r="P243" s="429"/>
      <c r="Q243" s="325"/>
      <c r="R243" s="325"/>
      <c r="S243" s="426"/>
      <c r="T243" s="232"/>
      <c r="U243" s="232"/>
      <c r="V243" s="232"/>
      <c r="W243" s="232"/>
      <c r="X243" s="233"/>
      <c r="Y243" s="232"/>
      <c r="Z243" s="232"/>
      <c r="AA243" s="232"/>
      <c r="AB243" s="330"/>
      <c r="AC243" s="230"/>
      <c r="AD243" s="331"/>
      <c r="AE243" s="438"/>
      <c r="AF243" s="522"/>
      <c r="AH243" s="390"/>
    </row>
    <row r="244" spans="1:34" s="141" customFormat="1">
      <c r="A244" s="251"/>
      <c r="B244" s="426"/>
      <c r="C244" s="306"/>
      <c r="D244" s="417"/>
      <c r="E244" s="273"/>
      <c r="F244" s="273"/>
      <c r="G244" s="231"/>
      <c r="H244" s="426"/>
      <c r="I244" s="426"/>
      <c r="J244" s="427"/>
      <c r="K244" s="428"/>
      <c r="L244" s="316"/>
      <c r="M244" s="316"/>
      <c r="N244" s="325"/>
      <c r="O244" s="325"/>
      <c r="P244" s="429"/>
      <c r="Q244" s="325"/>
      <c r="R244" s="325"/>
      <c r="S244" s="426"/>
      <c r="T244" s="232"/>
      <c r="U244" s="232"/>
      <c r="V244" s="232"/>
      <c r="W244" s="232"/>
      <c r="X244" s="233"/>
      <c r="Y244" s="232"/>
      <c r="Z244" s="232"/>
      <c r="AA244" s="232"/>
      <c r="AB244" s="330"/>
      <c r="AC244" s="230"/>
      <c r="AD244" s="331"/>
      <c r="AE244" s="438"/>
      <c r="AF244" s="522"/>
      <c r="AH244" s="390"/>
    </row>
    <row r="245" spans="1:34" s="141" customFormat="1">
      <c r="A245" s="251"/>
      <c r="B245" s="426"/>
      <c r="C245" s="306"/>
      <c r="D245" s="417"/>
      <c r="E245" s="273"/>
      <c r="F245" s="273"/>
      <c r="G245" s="231"/>
      <c r="H245" s="426"/>
      <c r="I245" s="426"/>
      <c r="J245" s="427"/>
      <c r="K245" s="428"/>
      <c r="L245" s="316"/>
      <c r="M245" s="316"/>
      <c r="N245" s="325"/>
      <c r="O245" s="325"/>
      <c r="P245" s="429"/>
      <c r="Q245" s="325"/>
      <c r="R245" s="325"/>
      <c r="S245" s="426"/>
      <c r="T245" s="232"/>
      <c r="U245" s="232"/>
      <c r="V245" s="232"/>
      <c r="W245" s="232"/>
      <c r="X245" s="233"/>
      <c r="Y245" s="232"/>
      <c r="Z245" s="232"/>
      <c r="AA245" s="232"/>
      <c r="AB245" s="330"/>
      <c r="AC245" s="230"/>
      <c r="AD245" s="331"/>
      <c r="AE245" s="438"/>
      <c r="AF245" s="522"/>
      <c r="AH245" s="390"/>
    </row>
    <row r="246" spans="1:34" s="141" customFormat="1">
      <c r="A246" s="251"/>
      <c r="B246" s="426"/>
      <c r="C246" s="306"/>
      <c r="D246" s="417"/>
      <c r="E246" s="273"/>
      <c r="F246" s="273"/>
      <c r="G246" s="231"/>
      <c r="H246" s="426"/>
      <c r="I246" s="426"/>
      <c r="J246" s="427"/>
      <c r="K246" s="428"/>
      <c r="L246" s="316"/>
      <c r="M246" s="316"/>
      <c r="N246" s="325"/>
      <c r="O246" s="325"/>
      <c r="P246" s="429"/>
      <c r="Q246" s="325"/>
      <c r="R246" s="325"/>
      <c r="S246" s="426"/>
      <c r="T246" s="232"/>
      <c r="U246" s="232"/>
      <c r="V246" s="232"/>
      <c r="W246" s="232"/>
      <c r="X246" s="233"/>
      <c r="Y246" s="232"/>
      <c r="Z246" s="232"/>
      <c r="AA246" s="232"/>
      <c r="AB246" s="330"/>
      <c r="AC246" s="230"/>
      <c r="AD246" s="331"/>
      <c r="AE246" s="438"/>
      <c r="AF246" s="522"/>
      <c r="AH246" s="390"/>
    </row>
    <row r="247" spans="1:34" s="141" customFormat="1">
      <c r="A247" s="251"/>
      <c r="B247" s="426"/>
      <c r="C247" s="306"/>
      <c r="D247" s="417"/>
      <c r="E247" s="273"/>
      <c r="F247" s="273"/>
      <c r="G247" s="231"/>
      <c r="H247" s="426"/>
      <c r="I247" s="426"/>
      <c r="J247" s="427"/>
      <c r="K247" s="428"/>
      <c r="L247" s="316"/>
      <c r="M247" s="316"/>
      <c r="N247" s="325"/>
      <c r="O247" s="325"/>
      <c r="P247" s="429"/>
      <c r="Q247" s="325"/>
      <c r="R247" s="325"/>
      <c r="S247" s="426"/>
      <c r="T247" s="232"/>
      <c r="U247" s="232"/>
      <c r="V247" s="232"/>
      <c r="W247" s="232"/>
      <c r="X247" s="233"/>
      <c r="Y247" s="232"/>
      <c r="Z247" s="232"/>
      <c r="AA247" s="232"/>
      <c r="AB247" s="330"/>
      <c r="AC247" s="230"/>
      <c r="AD247" s="331"/>
      <c r="AE247" s="438"/>
      <c r="AF247" s="522"/>
      <c r="AH247" s="390"/>
    </row>
    <row r="248" spans="1:34" s="141" customFormat="1">
      <c r="A248" s="251"/>
      <c r="B248" s="426"/>
      <c r="C248" s="306"/>
      <c r="D248" s="417"/>
      <c r="E248" s="273"/>
      <c r="F248" s="273"/>
      <c r="G248" s="231"/>
      <c r="H248" s="426"/>
      <c r="I248" s="426"/>
      <c r="J248" s="427"/>
      <c r="K248" s="428"/>
      <c r="L248" s="316"/>
      <c r="M248" s="316"/>
      <c r="N248" s="325"/>
      <c r="O248" s="325"/>
      <c r="P248" s="429"/>
      <c r="Q248" s="325"/>
      <c r="R248" s="325"/>
      <c r="S248" s="426"/>
      <c r="T248" s="232"/>
      <c r="U248" s="232"/>
      <c r="V248" s="232"/>
      <c r="W248" s="232"/>
      <c r="X248" s="233"/>
      <c r="Y248" s="232"/>
      <c r="Z248" s="232"/>
      <c r="AA248" s="232"/>
      <c r="AB248" s="330"/>
      <c r="AC248" s="230"/>
      <c r="AD248" s="331"/>
      <c r="AE248" s="438"/>
      <c r="AF248" s="522"/>
      <c r="AH248" s="390"/>
    </row>
    <row r="249" spans="1:34" s="141" customFormat="1">
      <c r="A249" s="251"/>
      <c r="B249" s="426"/>
      <c r="C249" s="306"/>
      <c r="D249" s="417"/>
      <c r="E249" s="273"/>
      <c r="F249" s="273"/>
      <c r="G249" s="231"/>
      <c r="H249" s="426"/>
      <c r="I249" s="426"/>
      <c r="J249" s="427"/>
      <c r="K249" s="428"/>
      <c r="L249" s="316"/>
      <c r="M249" s="316"/>
      <c r="N249" s="325"/>
      <c r="O249" s="325"/>
      <c r="P249" s="429"/>
      <c r="Q249" s="325"/>
      <c r="R249" s="325"/>
      <c r="S249" s="426"/>
      <c r="T249" s="232"/>
      <c r="U249" s="232"/>
      <c r="V249" s="232"/>
      <c r="W249" s="232"/>
      <c r="X249" s="233"/>
      <c r="Y249" s="232"/>
      <c r="Z249" s="232"/>
      <c r="AA249" s="232"/>
      <c r="AB249" s="330"/>
      <c r="AC249" s="230"/>
      <c r="AD249" s="331"/>
      <c r="AE249" s="438"/>
      <c r="AF249" s="522"/>
      <c r="AH249" s="390"/>
    </row>
    <row r="250" spans="1:34" s="141" customFormat="1">
      <c r="A250" s="251"/>
      <c r="B250" s="426"/>
      <c r="C250" s="306"/>
      <c r="D250" s="417"/>
      <c r="E250" s="273"/>
      <c r="F250" s="273"/>
      <c r="G250" s="231"/>
      <c r="H250" s="426"/>
      <c r="I250" s="426"/>
      <c r="J250" s="427"/>
      <c r="K250" s="428"/>
      <c r="L250" s="316"/>
      <c r="M250" s="316"/>
      <c r="N250" s="325"/>
      <c r="O250" s="325"/>
      <c r="P250" s="429"/>
      <c r="Q250" s="325"/>
      <c r="R250" s="325"/>
      <c r="S250" s="426"/>
      <c r="T250" s="232"/>
      <c r="U250" s="232"/>
      <c r="V250" s="232"/>
      <c r="W250" s="232"/>
      <c r="X250" s="233"/>
      <c r="Y250" s="232"/>
      <c r="Z250" s="232"/>
      <c r="AA250" s="232"/>
      <c r="AB250" s="330"/>
      <c r="AC250" s="230"/>
      <c r="AD250" s="331"/>
      <c r="AE250" s="438"/>
      <c r="AF250" s="522"/>
      <c r="AH250" s="390"/>
    </row>
    <row r="251" spans="1:34" s="141" customFormat="1">
      <c r="A251" s="251"/>
      <c r="B251" s="426"/>
      <c r="C251" s="306"/>
      <c r="D251" s="417"/>
      <c r="E251" s="273"/>
      <c r="F251" s="273"/>
      <c r="G251" s="231"/>
      <c r="H251" s="426"/>
      <c r="I251" s="426"/>
      <c r="J251" s="427"/>
      <c r="K251" s="428"/>
      <c r="L251" s="316"/>
      <c r="M251" s="316"/>
      <c r="N251" s="325"/>
      <c r="O251" s="325"/>
      <c r="P251" s="429"/>
      <c r="Q251" s="325"/>
      <c r="R251" s="325"/>
      <c r="S251" s="426"/>
      <c r="T251" s="232"/>
      <c r="U251" s="232"/>
      <c r="V251" s="232"/>
      <c r="W251" s="232"/>
      <c r="X251" s="233"/>
      <c r="Y251" s="232"/>
      <c r="Z251" s="232"/>
      <c r="AA251" s="232"/>
      <c r="AB251" s="330"/>
      <c r="AC251" s="230"/>
      <c r="AD251" s="331"/>
      <c r="AE251" s="438"/>
      <c r="AF251" s="522"/>
      <c r="AH251" s="390"/>
    </row>
    <row r="252" spans="1:34" s="141" customFormat="1">
      <c r="A252" s="251"/>
      <c r="B252" s="426"/>
      <c r="C252" s="306"/>
      <c r="D252" s="417"/>
      <c r="E252" s="273"/>
      <c r="F252" s="273"/>
      <c r="G252" s="231"/>
      <c r="H252" s="426"/>
      <c r="I252" s="426"/>
      <c r="J252" s="427"/>
      <c r="K252" s="428"/>
      <c r="L252" s="316"/>
      <c r="M252" s="316"/>
      <c r="N252" s="325"/>
      <c r="O252" s="325"/>
      <c r="P252" s="429"/>
      <c r="Q252" s="325"/>
      <c r="R252" s="325"/>
      <c r="S252" s="426"/>
      <c r="T252" s="232"/>
      <c r="U252" s="232"/>
      <c r="V252" s="232"/>
      <c r="W252" s="232"/>
      <c r="X252" s="233"/>
      <c r="Y252" s="232"/>
      <c r="Z252" s="232"/>
      <c r="AA252" s="232"/>
      <c r="AB252" s="330"/>
      <c r="AC252" s="230"/>
      <c r="AD252" s="331"/>
      <c r="AE252" s="438"/>
      <c r="AF252" s="522"/>
      <c r="AH252" s="390"/>
    </row>
    <row r="253" spans="1:34" s="141" customFormat="1">
      <c r="A253" s="251"/>
      <c r="B253" s="426"/>
      <c r="C253" s="306"/>
      <c r="D253" s="417"/>
      <c r="E253" s="273"/>
      <c r="F253" s="273"/>
      <c r="G253" s="231"/>
      <c r="H253" s="426"/>
      <c r="I253" s="426"/>
      <c r="J253" s="427"/>
      <c r="K253" s="428"/>
      <c r="L253" s="316"/>
      <c r="M253" s="316"/>
      <c r="N253" s="325"/>
      <c r="O253" s="325"/>
      <c r="P253" s="429"/>
      <c r="Q253" s="325"/>
      <c r="R253" s="325"/>
      <c r="S253" s="426"/>
      <c r="T253" s="232"/>
      <c r="U253" s="232"/>
      <c r="V253" s="232"/>
      <c r="W253" s="232"/>
      <c r="X253" s="233"/>
      <c r="Y253" s="232"/>
      <c r="Z253" s="232"/>
      <c r="AA253" s="232"/>
      <c r="AB253" s="330"/>
      <c r="AC253" s="230"/>
      <c r="AD253" s="331"/>
      <c r="AE253" s="438"/>
      <c r="AF253" s="522"/>
      <c r="AH253" s="390"/>
    </row>
    <row r="254" spans="1:34" s="141" customFormat="1">
      <c r="A254" s="251"/>
      <c r="B254" s="426"/>
      <c r="C254" s="306"/>
      <c r="D254" s="417"/>
      <c r="E254" s="273"/>
      <c r="F254" s="273"/>
      <c r="G254" s="231"/>
      <c r="H254" s="426"/>
      <c r="I254" s="426"/>
      <c r="J254" s="427"/>
      <c r="K254" s="428"/>
      <c r="L254" s="316"/>
      <c r="M254" s="316"/>
      <c r="N254" s="325"/>
      <c r="O254" s="325"/>
      <c r="P254" s="429"/>
      <c r="Q254" s="325"/>
      <c r="R254" s="325"/>
      <c r="S254" s="426"/>
      <c r="T254" s="232"/>
      <c r="U254" s="232"/>
      <c r="V254" s="232"/>
      <c r="W254" s="232"/>
      <c r="X254" s="233"/>
      <c r="Y254" s="232"/>
      <c r="Z254" s="232"/>
      <c r="AA254" s="232"/>
      <c r="AB254" s="330"/>
      <c r="AC254" s="230"/>
      <c r="AD254" s="331"/>
      <c r="AE254" s="438"/>
      <c r="AF254" s="522"/>
      <c r="AH254" s="390"/>
    </row>
    <row r="255" spans="1:34" s="141" customFormat="1">
      <c r="A255" s="251"/>
      <c r="B255" s="426"/>
      <c r="C255" s="306"/>
      <c r="D255" s="417"/>
      <c r="E255" s="273"/>
      <c r="F255" s="273"/>
      <c r="G255" s="231"/>
      <c r="H255" s="426"/>
      <c r="I255" s="426"/>
      <c r="J255" s="427"/>
      <c r="K255" s="428"/>
      <c r="L255" s="316"/>
      <c r="M255" s="316"/>
      <c r="N255" s="325"/>
      <c r="O255" s="325"/>
      <c r="P255" s="429"/>
      <c r="Q255" s="325"/>
      <c r="R255" s="325"/>
      <c r="S255" s="426"/>
      <c r="T255" s="232"/>
      <c r="U255" s="232"/>
      <c r="V255" s="232"/>
      <c r="W255" s="232"/>
      <c r="X255" s="233"/>
      <c r="Y255" s="232"/>
      <c r="Z255" s="232"/>
      <c r="AA255" s="232"/>
      <c r="AB255" s="330"/>
      <c r="AC255" s="230"/>
      <c r="AD255" s="331"/>
      <c r="AE255" s="438"/>
      <c r="AF255" s="522"/>
      <c r="AH255" s="390"/>
    </row>
    <row r="256" spans="1:34" s="141" customFormat="1">
      <c r="A256" s="251"/>
      <c r="B256" s="426"/>
      <c r="C256" s="306"/>
      <c r="D256" s="417"/>
      <c r="E256" s="273"/>
      <c r="F256" s="273"/>
      <c r="G256" s="231"/>
      <c r="H256" s="426"/>
      <c r="I256" s="426"/>
      <c r="J256" s="427"/>
      <c r="K256" s="428"/>
      <c r="L256" s="316"/>
      <c r="M256" s="316"/>
      <c r="N256" s="325"/>
      <c r="O256" s="325"/>
      <c r="P256" s="429"/>
      <c r="Q256" s="325"/>
      <c r="R256" s="325"/>
      <c r="S256" s="426"/>
      <c r="T256" s="232"/>
      <c r="U256" s="232"/>
      <c r="V256" s="232"/>
      <c r="W256" s="232"/>
      <c r="X256" s="233"/>
      <c r="Y256" s="232"/>
      <c r="Z256" s="232"/>
      <c r="AA256" s="232"/>
      <c r="AB256" s="330"/>
      <c r="AC256" s="230"/>
      <c r="AD256" s="331"/>
      <c r="AE256" s="438"/>
      <c r="AF256" s="522"/>
      <c r="AH256" s="390"/>
    </row>
    <row r="257" spans="1:34" s="141" customFormat="1">
      <c r="A257" s="251"/>
      <c r="B257" s="426"/>
      <c r="C257" s="306"/>
      <c r="D257" s="417"/>
      <c r="E257" s="273"/>
      <c r="F257" s="273"/>
      <c r="G257" s="231"/>
      <c r="H257" s="426"/>
      <c r="I257" s="426"/>
      <c r="J257" s="427"/>
      <c r="K257" s="428"/>
      <c r="L257" s="316"/>
      <c r="M257" s="316"/>
      <c r="N257" s="325"/>
      <c r="O257" s="325"/>
      <c r="P257" s="429"/>
      <c r="Q257" s="325"/>
      <c r="R257" s="325"/>
      <c r="S257" s="426"/>
      <c r="T257" s="232"/>
      <c r="U257" s="232"/>
      <c r="V257" s="232"/>
      <c r="W257" s="232"/>
      <c r="X257" s="233"/>
      <c r="Y257" s="232"/>
      <c r="Z257" s="232"/>
      <c r="AA257" s="232"/>
      <c r="AB257" s="330"/>
      <c r="AC257" s="230"/>
      <c r="AD257" s="331"/>
      <c r="AE257" s="438"/>
      <c r="AF257" s="522"/>
      <c r="AH257" s="390"/>
    </row>
    <row r="258" spans="1:34" s="141" customFormat="1">
      <c r="A258" s="251"/>
      <c r="B258" s="426"/>
      <c r="C258" s="306"/>
      <c r="D258" s="417"/>
      <c r="E258" s="273"/>
      <c r="F258" s="273"/>
      <c r="G258" s="231"/>
      <c r="H258" s="426"/>
      <c r="I258" s="426"/>
      <c r="J258" s="427"/>
      <c r="K258" s="428"/>
      <c r="L258" s="316"/>
      <c r="M258" s="316"/>
      <c r="N258" s="325"/>
      <c r="O258" s="325"/>
      <c r="P258" s="429"/>
      <c r="Q258" s="325"/>
      <c r="R258" s="325"/>
      <c r="S258" s="426"/>
      <c r="T258" s="232"/>
      <c r="U258" s="232"/>
      <c r="V258" s="232"/>
      <c r="W258" s="232"/>
      <c r="X258" s="233"/>
      <c r="Y258" s="232"/>
      <c r="Z258" s="232"/>
      <c r="AA258" s="232"/>
      <c r="AB258" s="330"/>
      <c r="AC258" s="230"/>
      <c r="AD258" s="331"/>
      <c r="AE258" s="438"/>
      <c r="AF258" s="522"/>
      <c r="AH258" s="390"/>
    </row>
    <row r="259" spans="1:34" s="141" customFormat="1">
      <c r="A259" s="251"/>
      <c r="B259" s="426"/>
      <c r="C259" s="306"/>
      <c r="D259" s="417"/>
      <c r="E259" s="273"/>
      <c r="F259" s="273"/>
      <c r="G259" s="231"/>
      <c r="H259" s="426"/>
      <c r="I259" s="426"/>
      <c r="J259" s="427"/>
      <c r="K259" s="428"/>
      <c r="L259" s="316"/>
      <c r="M259" s="316"/>
      <c r="N259" s="325"/>
      <c r="O259" s="325"/>
      <c r="P259" s="429"/>
      <c r="Q259" s="325"/>
      <c r="R259" s="325"/>
      <c r="S259" s="426"/>
      <c r="T259" s="232"/>
      <c r="U259" s="232"/>
      <c r="V259" s="232"/>
      <c r="W259" s="232"/>
      <c r="X259" s="233"/>
      <c r="Y259" s="232"/>
      <c r="Z259" s="232"/>
      <c r="AA259" s="232"/>
      <c r="AB259" s="330"/>
      <c r="AC259" s="230"/>
      <c r="AD259" s="331"/>
      <c r="AE259" s="438"/>
      <c r="AF259" s="522"/>
      <c r="AH259" s="390"/>
    </row>
    <row r="260" spans="1:34" s="141" customFormat="1">
      <c r="A260" s="251"/>
      <c r="B260" s="426"/>
      <c r="C260" s="306"/>
      <c r="D260" s="417"/>
      <c r="E260" s="273"/>
      <c r="F260" s="273"/>
      <c r="G260" s="231"/>
      <c r="H260" s="426"/>
      <c r="I260" s="426"/>
      <c r="J260" s="427"/>
      <c r="K260" s="428"/>
      <c r="L260" s="316"/>
      <c r="M260" s="316"/>
      <c r="N260" s="325"/>
      <c r="O260" s="325"/>
      <c r="P260" s="429"/>
      <c r="Q260" s="325"/>
      <c r="R260" s="325"/>
      <c r="S260" s="426"/>
      <c r="T260" s="232"/>
      <c r="U260" s="232"/>
      <c r="V260" s="232"/>
      <c r="W260" s="232"/>
      <c r="X260" s="233"/>
      <c r="Y260" s="232"/>
      <c r="Z260" s="232"/>
      <c r="AA260" s="232"/>
      <c r="AB260" s="330"/>
      <c r="AC260" s="230"/>
      <c r="AD260" s="331"/>
      <c r="AE260" s="438"/>
      <c r="AF260" s="522"/>
      <c r="AH260" s="390"/>
    </row>
    <row r="261" spans="1:34" s="141" customFormat="1">
      <c r="A261" s="251"/>
      <c r="B261" s="426"/>
      <c r="C261" s="306"/>
      <c r="D261" s="417"/>
      <c r="E261" s="273"/>
      <c r="F261" s="273"/>
      <c r="G261" s="231"/>
      <c r="H261" s="426"/>
      <c r="I261" s="426"/>
      <c r="J261" s="427"/>
      <c r="K261" s="428"/>
      <c r="L261" s="316"/>
      <c r="M261" s="316"/>
      <c r="N261" s="325"/>
      <c r="O261" s="325"/>
      <c r="P261" s="429"/>
      <c r="Q261" s="325"/>
      <c r="R261" s="325"/>
      <c r="S261" s="426"/>
      <c r="T261" s="232"/>
      <c r="U261" s="232"/>
      <c r="V261" s="232"/>
      <c r="W261" s="232"/>
      <c r="X261" s="233"/>
      <c r="Y261" s="232"/>
      <c r="Z261" s="232"/>
      <c r="AA261" s="232"/>
      <c r="AB261" s="330"/>
      <c r="AC261" s="230"/>
      <c r="AD261" s="331"/>
      <c r="AE261" s="438"/>
      <c r="AF261" s="522"/>
      <c r="AH261" s="390"/>
    </row>
    <row r="262" spans="1:34" s="141" customFormat="1">
      <c r="A262" s="251"/>
      <c r="B262" s="426"/>
      <c r="C262" s="306"/>
      <c r="D262" s="417"/>
      <c r="E262" s="273"/>
      <c r="F262" s="273"/>
      <c r="G262" s="231"/>
      <c r="H262" s="426"/>
      <c r="I262" s="426"/>
      <c r="J262" s="427"/>
      <c r="K262" s="428"/>
      <c r="L262" s="316"/>
      <c r="M262" s="316"/>
      <c r="N262" s="325"/>
      <c r="O262" s="325"/>
      <c r="P262" s="429"/>
      <c r="Q262" s="325"/>
      <c r="R262" s="325"/>
      <c r="S262" s="426"/>
      <c r="T262" s="232"/>
      <c r="U262" s="232"/>
      <c r="V262" s="232"/>
      <c r="W262" s="232"/>
      <c r="X262" s="233"/>
      <c r="Y262" s="232"/>
      <c r="Z262" s="232"/>
      <c r="AA262" s="232"/>
      <c r="AB262" s="330"/>
      <c r="AC262" s="230"/>
      <c r="AD262" s="331"/>
      <c r="AE262" s="438"/>
      <c r="AF262" s="522"/>
      <c r="AH262" s="390"/>
    </row>
    <row r="263" spans="1:34" s="141" customFormat="1">
      <c r="A263" s="251"/>
      <c r="B263" s="426"/>
      <c r="C263" s="306"/>
      <c r="D263" s="417"/>
      <c r="E263" s="273"/>
      <c r="F263" s="273"/>
      <c r="G263" s="231"/>
      <c r="H263" s="426"/>
      <c r="I263" s="426"/>
      <c r="J263" s="427"/>
      <c r="K263" s="428"/>
      <c r="L263" s="316"/>
      <c r="M263" s="316"/>
      <c r="N263" s="325"/>
      <c r="O263" s="325"/>
      <c r="P263" s="429"/>
      <c r="Q263" s="325"/>
      <c r="R263" s="325"/>
      <c r="S263" s="426"/>
      <c r="T263" s="232"/>
      <c r="U263" s="232"/>
      <c r="V263" s="232"/>
      <c r="W263" s="232"/>
      <c r="X263" s="233"/>
      <c r="Y263" s="232"/>
      <c r="Z263" s="232"/>
      <c r="AA263" s="232"/>
      <c r="AB263" s="330"/>
      <c r="AC263" s="230"/>
      <c r="AD263" s="331"/>
      <c r="AE263" s="438"/>
      <c r="AF263" s="522"/>
      <c r="AH263" s="390"/>
    </row>
    <row r="264" spans="1:34" s="141" customFormat="1">
      <c r="A264" s="251"/>
      <c r="B264" s="426"/>
      <c r="C264" s="306"/>
      <c r="D264" s="417"/>
      <c r="E264" s="273"/>
      <c r="F264" s="273"/>
      <c r="G264" s="231"/>
      <c r="H264" s="426"/>
      <c r="I264" s="426"/>
      <c r="J264" s="427"/>
      <c r="K264" s="428"/>
      <c r="L264" s="316"/>
      <c r="M264" s="316"/>
      <c r="N264" s="325"/>
      <c r="O264" s="325"/>
      <c r="P264" s="429"/>
      <c r="Q264" s="325"/>
      <c r="R264" s="325"/>
      <c r="S264" s="426"/>
      <c r="T264" s="232"/>
      <c r="U264" s="232"/>
      <c r="V264" s="232"/>
      <c r="W264" s="232"/>
      <c r="X264" s="233"/>
      <c r="Y264" s="232"/>
      <c r="Z264" s="232"/>
      <c r="AA264" s="232"/>
      <c r="AB264" s="330"/>
      <c r="AC264" s="230"/>
      <c r="AD264" s="331"/>
      <c r="AE264" s="438"/>
      <c r="AF264" s="522"/>
      <c r="AH264" s="390"/>
    </row>
    <row r="265" spans="1:34" s="141" customFormat="1">
      <c r="A265" s="251"/>
      <c r="B265" s="426"/>
      <c r="C265" s="306"/>
      <c r="D265" s="417"/>
      <c r="E265" s="273"/>
      <c r="F265" s="273"/>
      <c r="G265" s="231"/>
      <c r="H265" s="426"/>
      <c r="I265" s="426"/>
      <c r="J265" s="427"/>
      <c r="K265" s="428"/>
      <c r="L265" s="316"/>
      <c r="M265" s="316"/>
      <c r="N265" s="325"/>
      <c r="O265" s="325"/>
      <c r="P265" s="429"/>
      <c r="Q265" s="325"/>
      <c r="R265" s="325"/>
      <c r="S265" s="426"/>
      <c r="T265" s="232"/>
      <c r="U265" s="232"/>
      <c r="V265" s="232"/>
      <c r="W265" s="232"/>
      <c r="X265" s="233"/>
      <c r="Y265" s="232"/>
      <c r="Z265" s="232"/>
      <c r="AA265" s="232"/>
      <c r="AB265" s="330"/>
      <c r="AC265" s="230"/>
      <c r="AD265" s="331"/>
      <c r="AE265" s="438"/>
      <c r="AF265" s="522"/>
      <c r="AH265" s="390"/>
    </row>
    <row r="266" spans="1:34" s="141" customFormat="1">
      <c r="A266" s="251"/>
      <c r="B266" s="426"/>
      <c r="C266" s="306"/>
      <c r="D266" s="417"/>
      <c r="E266" s="273"/>
      <c r="F266" s="273"/>
      <c r="G266" s="231"/>
      <c r="H266" s="426"/>
      <c r="I266" s="426"/>
      <c r="J266" s="427"/>
      <c r="K266" s="428"/>
      <c r="L266" s="316"/>
      <c r="M266" s="316"/>
      <c r="N266" s="325"/>
      <c r="O266" s="325"/>
      <c r="P266" s="429"/>
      <c r="Q266" s="325"/>
      <c r="R266" s="325"/>
      <c r="S266" s="426"/>
      <c r="T266" s="232"/>
      <c r="U266" s="232"/>
      <c r="V266" s="232"/>
      <c r="W266" s="232"/>
      <c r="X266" s="233"/>
      <c r="Y266" s="232"/>
      <c r="Z266" s="232"/>
      <c r="AA266" s="232"/>
      <c r="AB266" s="330"/>
      <c r="AC266" s="230"/>
      <c r="AD266" s="331"/>
      <c r="AE266" s="438"/>
      <c r="AF266" s="522"/>
      <c r="AH266" s="390"/>
    </row>
    <row r="267" spans="1:34" s="141" customFormat="1">
      <c r="A267" s="251"/>
      <c r="B267" s="426"/>
      <c r="C267" s="306"/>
      <c r="D267" s="417"/>
      <c r="E267" s="273"/>
      <c r="F267" s="273"/>
      <c r="G267" s="231"/>
      <c r="H267" s="426"/>
      <c r="I267" s="426"/>
      <c r="J267" s="427"/>
      <c r="K267" s="428"/>
      <c r="L267" s="316"/>
      <c r="M267" s="316"/>
      <c r="N267" s="325"/>
      <c r="O267" s="325"/>
      <c r="P267" s="429"/>
      <c r="Q267" s="325"/>
      <c r="R267" s="325"/>
      <c r="S267" s="426"/>
      <c r="T267" s="232"/>
      <c r="U267" s="232"/>
      <c r="V267" s="232"/>
      <c r="W267" s="232"/>
      <c r="X267" s="233"/>
      <c r="Y267" s="232"/>
      <c r="Z267" s="232"/>
      <c r="AA267" s="232"/>
      <c r="AB267" s="330"/>
      <c r="AC267" s="230"/>
      <c r="AD267" s="331"/>
      <c r="AE267" s="438"/>
      <c r="AF267" s="522"/>
      <c r="AH267" s="390"/>
    </row>
    <row r="268" spans="1:34" s="141" customFormat="1">
      <c r="A268" s="251"/>
      <c r="B268" s="426"/>
      <c r="C268" s="306"/>
      <c r="D268" s="417"/>
      <c r="E268" s="273"/>
      <c r="F268" s="273"/>
      <c r="G268" s="231"/>
      <c r="H268" s="426"/>
      <c r="I268" s="426"/>
      <c r="J268" s="427"/>
      <c r="K268" s="428"/>
      <c r="L268" s="316"/>
      <c r="M268" s="316"/>
      <c r="N268" s="325"/>
      <c r="O268" s="325"/>
      <c r="P268" s="429"/>
      <c r="Q268" s="325"/>
      <c r="R268" s="325"/>
      <c r="S268" s="426"/>
      <c r="T268" s="232"/>
      <c r="U268" s="232"/>
      <c r="V268" s="232"/>
      <c r="W268" s="232"/>
      <c r="X268" s="233"/>
      <c r="Y268" s="232"/>
      <c r="Z268" s="232"/>
      <c r="AA268" s="232"/>
      <c r="AB268" s="330"/>
      <c r="AC268" s="230"/>
      <c r="AD268" s="331"/>
      <c r="AE268" s="438"/>
      <c r="AF268" s="522"/>
      <c r="AH268" s="390"/>
    </row>
    <row r="269" spans="1:34" s="141" customFormat="1">
      <c r="A269" s="251"/>
      <c r="B269" s="426"/>
      <c r="C269" s="306"/>
      <c r="D269" s="417"/>
      <c r="E269" s="273"/>
      <c r="F269" s="273"/>
      <c r="G269" s="231"/>
      <c r="H269" s="426"/>
      <c r="I269" s="426"/>
      <c r="J269" s="427"/>
      <c r="K269" s="428"/>
      <c r="L269" s="316"/>
      <c r="M269" s="316"/>
      <c r="N269" s="325"/>
      <c r="O269" s="325"/>
      <c r="P269" s="429"/>
      <c r="Q269" s="325"/>
      <c r="R269" s="325"/>
      <c r="S269" s="426"/>
      <c r="T269" s="232"/>
      <c r="U269" s="232"/>
      <c r="V269" s="232"/>
      <c r="W269" s="232"/>
      <c r="X269" s="233"/>
      <c r="Y269" s="232"/>
      <c r="Z269" s="232"/>
      <c r="AA269" s="232"/>
      <c r="AB269" s="330"/>
      <c r="AC269" s="230"/>
      <c r="AD269" s="331"/>
      <c r="AE269" s="438"/>
      <c r="AF269" s="522"/>
      <c r="AH269" s="390"/>
    </row>
    <row r="270" spans="1:34" s="141" customFormat="1">
      <c r="A270" s="251"/>
      <c r="B270" s="426"/>
      <c r="C270" s="306"/>
      <c r="D270" s="417"/>
      <c r="E270" s="273"/>
      <c r="F270" s="273"/>
      <c r="G270" s="231"/>
      <c r="H270" s="426"/>
      <c r="I270" s="426"/>
      <c r="J270" s="427"/>
      <c r="K270" s="428"/>
      <c r="L270" s="316"/>
      <c r="M270" s="316"/>
      <c r="N270" s="325"/>
      <c r="O270" s="325"/>
      <c r="P270" s="429"/>
      <c r="Q270" s="325"/>
      <c r="R270" s="325"/>
      <c r="S270" s="426"/>
      <c r="T270" s="232"/>
      <c r="U270" s="232"/>
      <c r="V270" s="232"/>
      <c r="W270" s="232"/>
      <c r="X270" s="233"/>
      <c r="Y270" s="232"/>
      <c r="Z270" s="232"/>
      <c r="AA270" s="232"/>
      <c r="AB270" s="330"/>
      <c r="AC270" s="230"/>
      <c r="AD270" s="331"/>
      <c r="AE270" s="438"/>
      <c r="AF270" s="522"/>
      <c r="AH270" s="390"/>
    </row>
    <row r="271" spans="1:34" s="141" customFormat="1">
      <c r="A271" s="251"/>
      <c r="B271" s="426"/>
      <c r="C271" s="306"/>
      <c r="D271" s="417"/>
      <c r="E271" s="273"/>
      <c r="F271" s="273"/>
      <c r="G271" s="231"/>
      <c r="H271" s="426"/>
      <c r="I271" s="426"/>
      <c r="J271" s="427"/>
      <c r="K271" s="428"/>
      <c r="L271" s="316"/>
      <c r="M271" s="316"/>
      <c r="N271" s="325"/>
      <c r="O271" s="325"/>
      <c r="P271" s="429"/>
      <c r="Q271" s="325"/>
      <c r="R271" s="325"/>
      <c r="S271" s="426"/>
      <c r="T271" s="232"/>
      <c r="U271" s="232"/>
      <c r="V271" s="232"/>
      <c r="W271" s="232"/>
      <c r="X271" s="233"/>
      <c r="Y271" s="232"/>
      <c r="Z271" s="232"/>
      <c r="AA271" s="232"/>
      <c r="AB271" s="330"/>
      <c r="AC271" s="230"/>
      <c r="AD271" s="331"/>
      <c r="AE271" s="438"/>
      <c r="AF271" s="522"/>
      <c r="AH271" s="390"/>
    </row>
    <row r="272" spans="1:34" s="141" customFormat="1">
      <c r="A272" s="251"/>
      <c r="B272" s="426"/>
      <c r="C272" s="306"/>
      <c r="D272" s="417"/>
      <c r="E272" s="273"/>
      <c r="F272" s="273"/>
      <c r="G272" s="231"/>
      <c r="H272" s="426"/>
      <c r="I272" s="426"/>
      <c r="J272" s="427"/>
      <c r="K272" s="428"/>
      <c r="L272" s="316"/>
      <c r="M272" s="316"/>
      <c r="N272" s="325"/>
      <c r="O272" s="325"/>
      <c r="P272" s="429"/>
      <c r="Q272" s="325"/>
      <c r="R272" s="325"/>
      <c r="S272" s="426"/>
      <c r="T272" s="232"/>
      <c r="U272" s="232"/>
      <c r="V272" s="232"/>
      <c r="W272" s="232"/>
      <c r="X272" s="233"/>
      <c r="Y272" s="232"/>
      <c r="Z272" s="232"/>
      <c r="AA272" s="232"/>
      <c r="AB272" s="330"/>
      <c r="AC272" s="230"/>
      <c r="AD272" s="331"/>
      <c r="AE272" s="438"/>
      <c r="AF272" s="522"/>
      <c r="AH272" s="390"/>
    </row>
    <row r="273" spans="1:34" s="141" customFormat="1">
      <c r="A273" s="251"/>
      <c r="B273" s="426"/>
      <c r="C273" s="306"/>
      <c r="D273" s="417"/>
      <c r="E273" s="273"/>
      <c r="F273" s="273"/>
      <c r="G273" s="231"/>
      <c r="H273" s="426"/>
      <c r="I273" s="426"/>
      <c r="J273" s="427"/>
      <c r="K273" s="428"/>
      <c r="L273" s="316"/>
      <c r="M273" s="316"/>
      <c r="N273" s="325"/>
      <c r="O273" s="325"/>
      <c r="P273" s="429"/>
      <c r="Q273" s="325"/>
      <c r="R273" s="325"/>
      <c r="S273" s="426"/>
      <c r="T273" s="232"/>
      <c r="U273" s="232"/>
      <c r="V273" s="232"/>
      <c r="W273" s="232"/>
      <c r="X273" s="233"/>
      <c r="Y273" s="232"/>
      <c r="Z273" s="232"/>
      <c r="AA273" s="232"/>
      <c r="AB273" s="330"/>
      <c r="AC273" s="230"/>
      <c r="AD273" s="331"/>
      <c r="AE273" s="438"/>
      <c r="AF273" s="522"/>
      <c r="AH273" s="390"/>
    </row>
    <row r="274" spans="1:34" s="141" customFormat="1">
      <c r="A274" s="251"/>
      <c r="B274" s="426"/>
      <c r="C274" s="306"/>
      <c r="D274" s="417"/>
      <c r="E274" s="273"/>
      <c r="F274" s="273"/>
      <c r="G274" s="231"/>
      <c r="H274" s="426"/>
      <c r="I274" s="426"/>
      <c r="J274" s="427"/>
      <c r="K274" s="428"/>
      <c r="L274" s="316"/>
      <c r="M274" s="316"/>
      <c r="N274" s="325"/>
      <c r="O274" s="325"/>
      <c r="P274" s="429"/>
      <c r="Q274" s="325"/>
      <c r="R274" s="325"/>
      <c r="S274" s="426"/>
      <c r="T274" s="232"/>
      <c r="U274" s="232"/>
      <c r="V274" s="232"/>
      <c r="W274" s="232"/>
      <c r="X274" s="233"/>
      <c r="Y274" s="232"/>
      <c r="Z274" s="232"/>
      <c r="AA274" s="232"/>
      <c r="AB274" s="330"/>
      <c r="AC274" s="230"/>
      <c r="AD274" s="331"/>
      <c r="AE274" s="438"/>
      <c r="AF274" s="522"/>
      <c r="AH274" s="390"/>
    </row>
    <row r="275" spans="1:34" s="141" customFormat="1">
      <c r="A275" s="251"/>
      <c r="B275" s="426"/>
      <c r="C275" s="306"/>
      <c r="D275" s="417"/>
      <c r="E275" s="273"/>
      <c r="F275" s="273"/>
      <c r="G275" s="231"/>
      <c r="H275" s="426"/>
      <c r="I275" s="426"/>
      <c r="J275" s="427"/>
      <c r="K275" s="428"/>
      <c r="L275" s="316"/>
      <c r="M275" s="316"/>
      <c r="N275" s="325"/>
      <c r="O275" s="325"/>
      <c r="P275" s="429"/>
      <c r="Q275" s="325"/>
      <c r="R275" s="325"/>
      <c r="S275" s="426"/>
      <c r="T275" s="232"/>
      <c r="U275" s="232"/>
      <c r="V275" s="232"/>
      <c r="W275" s="232"/>
      <c r="X275" s="233"/>
      <c r="Y275" s="232"/>
      <c r="Z275" s="232"/>
      <c r="AA275" s="232"/>
      <c r="AB275" s="330"/>
      <c r="AC275" s="230"/>
      <c r="AD275" s="331"/>
      <c r="AE275" s="438"/>
      <c r="AF275" s="522"/>
      <c r="AH275" s="390"/>
    </row>
    <row r="276" spans="1:34" s="141" customFormat="1">
      <c r="A276" s="251"/>
      <c r="B276" s="426"/>
      <c r="C276" s="306"/>
      <c r="D276" s="417"/>
      <c r="E276" s="273"/>
      <c r="F276" s="273"/>
      <c r="G276" s="231"/>
      <c r="H276" s="426"/>
      <c r="I276" s="426"/>
      <c r="J276" s="427"/>
      <c r="K276" s="428"/>
      <c r="L276" s="316"/>
      <c r="M276" s="316"/>
      <c r="N276" s="325"/>
      <c r="O276" s="325"/>
      <c r="P276" s="429"/>
      <c r="Q276" s="325"/>
      <c r="R276" s="325"/>
      <c r="S276" s="426"/>
      <c r="T276" s="232"/>
      <c r="U276" s="232"/>
      <c r="V276" s="232"/>
      <c r="W276" s="232"/>
      <c r="X276" s="233"/>
      <c r="Y276" s="232"/>
      <c r="Z276" s="232"/>
      <c r="AA276" s="232"/>
      <c r="AB276" s="330"/>
      <c r="AC276" s="230"/>
      <c r="AD276" s="331"/>
      <c r="AE276" s="438"/>
      <c r="AF276" s="522"/>
      <c r="AH276" s="390"/>
    </row>
    <row r="277" spans="1:34" s="141" customFormat="1">
      <c r="A277" s="251"/>
      <c r="B277" s="426"/>
      <c r="C277" s="306"/>
      <c r="D277" s="417"/>
      <c r="E277" s="273"/>
      <c r="F277" s="273"/>
      <c r="G277" s="231"/>
      <c r="H277" s="426"/>
      <c r="I277" s="426"/>
      <c r="J277" s="427"/>
      <c r="K277" s="428"/>
      <c r="L277" s="316"/>
      <c r="M277" s="316"/>
      <c r="N277" s="325"/>
      <c r="O277" s="325"/>
      <c r="P277" s="429"/>
      <c r="Q277" s="325"/>
      <c r="R277" s="325"/>
      <c r="S277" s="426"/>
      <c r="T277" s="232"/>
      <c r="U277" s="232"/>
      <c r="V277" s="232"/>
      <c r="W277" s="232"/>
      <c r="X277" s="233"/>
      <c r="Y277" s="232"/>
      <c r="Z277" s="232"/>
      <c r="AA277" s="232"/>
      <c r="AB277" s="330"/>
      <c r="AC277" s="230"/>
      <c r="AD277" s="331"/>
      <c r="AE277" s="438"/>
      <c r="AF277" s="522"/>
      <c r="AH277" s="390"/>
    </row>
    <row r="278" spans="1:34" s="141" customFormat="1">
      <c r="A278" s="251"/>
      <c r="B278" s="426"/>
      <c r="C278" s="306"/>
      <c r="D278" s="417"/>
      <c r="E278" s="273"/>
      <c r="F278" s="273"/>
      <c r="G278" s="231"/>
      <c r="H278" s="426"/>
      <c r="I278" s="426"/>
      <c r="J278" s="427"/>
      <c r="K278" s="428"/>
      <c r="L278" s="316"/>
      <c r="M278" s="316"/>
      <c r="N278" s="325"/>
      <c r="O278" s="325"/>
      <c r="P278" s="429"/>
      <c r="Q278" s="325"/>
      <c r="R278" s="325"/>
      <c r="S278" s="426"/>
      <c r="T278" s="232"/>
      <c r="U278" s="232"/>
      <c r="V278" s="232"/>
      <c r="W278" s="232"/>
      <c r="X278" s="233"/>
      <c r="Y278" s="232"/>
      <c r="Z278" s="232"/>
      <c r="AA278" s="232"/>
      <c r="AB278" s="330"/>
      <c r="AC278" s="230"/>
      <c r="AD278" s="331"/>
      <c r="AE278" s="438"/>
      <c r="AF278" s="522"/>
      <c r="AH278" s="390"/>
    </row>
    <row r="279" spans="1:34" s="141" customFormat="1">
      <c r="A279" s="251"/>
      <c r="B279" s="426"/>
      <c r="C279" s="306"/>
      <c r="D279" s="417"/>
      <c r="E279" s="273"/>
      <c r="F279" s="273"/>
      <c r="G279" s="231"/>
      <c r="H279" s="426"/>
      <c r="I279" s="426"/>
      <c r="J279" s="427"/>
      <c r="K279" s="428"/>
      <c r="L279" s="316"/>
      <c r="M279" s="316"/>
      <c r="N279" s="325"/>
      <c r="O279" s="325"/>
      <c r="P279" s="429"/>
      <c r="Q279" s="325"/>
      <c r="R279" s="325"/>
      <c r="S279" s="426"/>
      <c r="T279" s="232"/>
      <c r="U279" s="232"/>
      <c r="V279" s="232"/>
      <c r="W279" s="232"/>
      <c r="X279" s="233"/>
      <c r="Y279" s="232"/>
      <c r="Z279" s="232"/>
      <c r="AA279" s="232"/>
      <c r="AB279" s="330"/>
      <c r="AC279" s="230"/>
      <c r="AD279" s="331"/>
      <c r="AE279" s="438"/>
      <c r="AF279" s="522"/>
      <c r="AH279" s="390"/>
    </row>
    <row r="280" spans="1:34" s="141" customFormat="1">
      <c r="A280" s="251"/>
      <c r="B280" s="426"/>
      <c r="C280" s="306"/>
      <c r="D280" s="417"/>
      <c r="E280" s="273"/>
      <c r="F280" s="273"/>
      <c r="G280" s="231"/>
      <c r="H280" s="426"/>
      <c r="I280" s="426"/>
      <c r="J280" s="427"/>
      <c r="K280" s="428"/>
      <c r="L280" s="316"/>
      <c r="M280" s="316"/>
      <c r="N280" s="325"/>
      <c r="O280" s="325"/>
      <c r="P280" s="429"/>
      <c r="Q280" s="325"/>
      <c r="R280" s="325"/>
      <c r="S280" s="426"/>
      <c r="T280" s="232"/>
      <c r="U280" s="232"/>
      <c r="V280" s="232"/>
      <c r="W280" s="232"/>
      <c r="X280" s="233"/>
      <c r="Y280" s="232"/>
      <c r="Z280" s="232"/>
      <c r="AA280" s="232"/>
      <c r="AB280" s="330"/>
      <c r="AC280" s="230"/>
      <c r="AD280" s="331"/>
      <c r="AE280" s="438"/>
      <c r="AF280" s="522"/>
      <c r="AH280" s="390"/>
    </row>
    <row r="281" spans="1:34" s="141" customFormat="1">
      <c r="A281" s="251"/>
      <c r="B281" s="426"/>
      <c r="C281" s="306"/>
      <c r="D281" s="417"/>
      <c r="E281" s="273"/>
      <c r="F281" s="273"/>
      <c r="G281" s="231"/>
      <c r="H281" s="426"/>
      <c r="I281" s="426"/>
      <c r="J281" s="427"/>
      <c r="K281" s="428"/>
      <c r="L281" s="316"/>
      <c r="M281" s="316"/>
      <c r="N281" s="325"/>
      <c r="O281" s="325"/>
      <c r="P281" s="429"/>
      <c r="Q281" s="325"/>
      <c r="R281" s="325"/>
      <c r="S281" s="426"/>
      <c r="T281" s="232"/>
      <c r="U281" s="232"/>
      <c r="V281" s="232"/>
      <c r="W281" s="232"/>
      <c r="X281" s="233"/>
      <c r="Y281" s="232"/>
      <c r="Z281" s="232"/>
      <c r="AA281" s="232"/>
      <c r="AB281" s="330"/>
      <c r="AC281" s="230"/>
      <c r="AD281" s="331"/>
      <c r="AE281" s="438"/>
      <c r="AF281" s="522"/>
      <c r="AH281" s="390"/>
    </row>
    <row r="282" spans="1:34" s="141" customFormat="1">
      <c r="A282" s="251"/>
      <c r="B282" s="426"/>
      <c r="C282" s="306"/>
      <c r="D282" s="417"/>
      <c r="E282" s="273"/>
      <c r="F282" s="273"/>
      <c r="G282" s="231"/>
      <c r="H282" s="426"/>
      <c r="I282" s="426"/>
      <c r="J282" s="427"/>
      <c r="K282" s="428"/>
      <c r="L282" s="316"/>
      <c r="M282" s="316"/>
      <c r="N282" s="325"/>
      <c r="O282" s="325"/>
      <c r="P282" s="429"/>
      <c r="Q282" s="325"/>
      <c r="R282" s="325"/>
      <c r="S282" s="426"/>
      <c r="T282" s="232"/>
      <c r="U282" s="232"/>
      <c r="V282" s="232"/>
      <c r="W282" s="232"/>
      <c r="X282" s="233"/>
      <c r="Y282" s="232"/>
      <c r="Z282" s="232"/>
      <c r="AA282" s="232"/>
      <c r="AB282" s="330"/>
      <c r="AC282" s="230"/>
      <c r="AD282" s="331"/>
      <c r="AE282" s="438"/>
      <c r="AF282" s="522"/>
      <c r="AH282" s="390"/>
    </row>
    <row r="283" spans="1:34" s="141" customFormat="1">
      <c r="A283" s="251"/>
      <c r="B283" s="426"/>
      <c r="C283" s="306"/>
      <c r="D283" s="417"/>
      <c r="E283" s="273"/>
      <c r="F283" s="273"/>
      <c r="G283" s="231"/>
      <c r="H283" s="426"/>
      <c r="I283" s="426"/>
      <c r="J283" s="427"/>
      <c r="K283" s="428"/>
      <c r="L283" s="316"/>
      <c r="M283" s="316"/>
      <c r="N283" s="325"/>
      <c r="O283" s="325"/>
      <c r="P283" s="429"/>
      <c r="Q283" s="325"/>
      <c r="R283" s="325"/>
      <c r="S283" s="426"/>
      <c r="T283" s="232"/>
      <c r="U283" s="232"/>
      <c r="V283" s="232"/>
      <c r="W283" s="232"/>
      <c r="X283" s="233"/>
      <c r="Y283" s="232"/>
      <c r="Z283" s="232"/>
      <c r="AA283" s="232"/>
      <c r="AB283" s="330"/>
      <c r="AC283" s="230"/>
      <c r="AD283" s="331"/>
      <c r="AE283" s="438"/>
      <c r="AF283" s="522"/>
      <c r="AH283" s="390"/>
    </row>
    <row r="284" spans="1:34" s="141" customFormat="1">
      <c r="A284" s="251"/>
      <c r="B284" s="426"/>
      <c r="C284" s="306"/>
      <c r="D284" s="417"/>
      <c r="E284" s="273"/>
      <c r="F284" s="273"/>
      <c r="G284" s="231"/>
      <c r="H284" s="426"/>
      <c r="I284" s="426"/>
      <c r="J284" s="427"/>
      <c r="K284" s="428"/>
      <c r="L284" s="316"/>
      <c r="M284" s="316"/>
      <c r="N284" s="325"/>
      <c r="O284" s="325"/>
      <c r="P284" s="429"/>
      <c r="Q284" s="325"/>
      <c r="R284" s="325"/>
      <c r="S284" s="426"/>
      <c r="T284" s="232"/>
      <c r="U284" s="232"/>
      <c r="V284" s="232"/>
      <c r="W284" s="232"/>
      <c r="X284" s="233"/>
      <c r="Y284" s="232"/>
      <c r="Z284" s="232"/>
      <c r="AA284" s="232"/>
      <c r="AB284" s="330"/>
      <c r="AC284" s="230"/>
      <c r="AD284" s="331"/>
      <c r="AE284" s="438"/>
      <c r="AF284" s="522"/>
      <c r="AH284" s="390"/>
    </row>
    <row r="285" spans="1:34" s="141" customFormat="1">
      <c r="A285" s="251"/>
      <c r="B285" s="426"/>
      <c r="C285" s="306"/>
      <c r="D285" s="417"/>
      <c r="E285" s="273"/>
      <c r="F285" s="273"/>
      <c r="G285" s="231"/>
      <c r="H285" s="426"/>
      <c r="I285" s="426"/>
      <c r="J285" s="427"/>
      <c r="K285" s="428"/>
      <c r="L285" s="316"/>
      <c r="M285" s="316"/>
      <c r="N285" s="325"/>
      <c r="O285" s="325"/>
      <c r="P285" s="429"/>
      <c r="Q285" s="325"/>
      <c r="R285" s="325"/>
      <c r="S285" s="426"/>
      <c r="T285" s="232"/>
      <c r="U285" s="232"/>
      <c r="V285" s="232"/>
      <c r="W285" s="232"/>
      <c r="X285" s="233"/>
      <c r="Y285" s="232"/>
      <c r="Z285" s="232"/>
      <c r="AA285" s="232"/>
      <c r="AB285" s="330"/>
      <c r="AC285" s="230"/>
      <c r="AD285" s="331"/>
      <c r="AE285" s="438"/>
      <c r="AF285" s="522"/>
      <c r="AH285" s="390"/>
    </row>
    <row r="286" spans="1:34" s="141" customFormat="1">
      <c r="A286" s="251"/>
      <c r="B286" s="426"/>
      <c r="C286" s="306"/>
      <c r="D286" s="417"/>
      <c r="E286" s="273"/>
      <c r="F286" s="273"/>
      <c r="G286" s="231"/>
      <c r="H286" s="426"/>
      <c r="I286" s="426"/>
      <c r="J286" s="427"/>
      <c r="K286" s="428"/>
      <c r="L286" s="316"/>
      <c r="M286" s="316"/>
      <c r="N286" s="325"/>
      <c r="O286" s="325"/>
      <c r="P286" s="429"/>
      <c r="Q286" s="325"/>
      <c r="R286" s="325"/>
      <c r="S286" s="426"/>
      <c r="T286" s="232"/>
      <c r="U286" s="232"/>
      <c r="V286" s="232"/>
      <c r="W286" s="232"/>
      <c r="X286" s="233"/>
      <c r="Y286" s="232"/>
      <c r="Z286" s="232"/>
      <c r="AA286" s="232"/>
      <c r="AB286" s="330"/>
      <c r="AC286" s="230"/>
      <c r="AD286" s="331"/>
      <c r="AE286" s="438"/>
      <c r="AF286" s="522"/>
      <c r="AH286" s="390"/>
    </row>
    <row r="287" spans="1:34" s="141" customFormat="1">
      <c r="A287" s="251"/>
      <c r="B287" s="426"/>
      <c r="C287" s="306"/>
      <c r="D287" s="417"/>
      <c r="E287" s="273"/>
      <c r="F287" s="273"/>
      <c r="G287" s="231"/>
      <c r="H287" s="426"/>
      <c r="I287" s="426"/>
      <c r="J287" s="427"/>
      <c r="K287" s="428"/>
      <c r="L287" s="316"/>
      <c r="M287" s="316"/>
      <c r="N287" s="325"/>
      <c r="O287" s="325"/>
      <c r="P287" s="429"/>
      <c r="Q287" s="325"/>
      <c r="R287" s="325"/>
      <c r="S287" s="426"/>
      <c r="T287" s="232"/>
      <c r="U287" s="232"/>
      <c r="V287" s="232"/>
      <c r="W287" s="232"/>
      <c r="X287" s="233"/>
      <c r="Y287" s="232"/>
      <c r="Z287" s="232"/>
      <c r="AA287" s="232"/>
      <c r="AB287" s="330"/>
      <c r="AC287" s="230"/>
      <c r="AD287" s="331"/>
      <c r="AE287" s="438"/>
      <c r="AF287" s="522"/>
      <c r="AH287" s="390"/>
    </row>
    <row r="288" spans="1:34" s="141" customFormat="1">
      <c r="A288" s="251"/>
      <c r="B288" s="426"/>
      <c r="C288" s="306"/>
      <c r="D288" s="417"/>
      <c r="E288" s="273"/>
      <c r="F288" s="273"/>
      <c r="G288" s="231"/>
      <c r="H288" s="426"/>
      <c r="I288" s="426"/>
      <c r="J288" s="427"/>
      <c r="K288" s="428"/>
      <c r="L288" s="316"/>
      <c r="M288" s="316"/>
      <c r="N288" s="325"/>
      <c r="O288" s="325"/>
      <c r="P288" s="429"/>
      <c r="Q288" s="325"/>
      <c r="R288" s="325"/>
      <c r="S288" s="426"/>
      <c r="T288" s="232"/>
      <c r="U288" s="232"/>
      <c r="V288" s="232"/>
      <c r="W288" s="232"/>
      <c r="X288" s="233"/>
      <c r="Y288" s="232"/>
      <c r="Z288" s="232"/>
      <c r="AA288" s="232"/>
      <c r="AB288" s="330"/>
      <c r="AC288" s="230"/>
      <c r="AD288" s="331"/>
      <c r="AE288" s="438"/>
      <c r="AF288" s="522"/>
      <c r="AH288" s="390"/>
    </row>
    <row r="289" spans="1:34" s="141" customFormat="1">
      <c r="A289" s="251"/>
      <c r="B289" s="426"/>
      <c r="C289" s="306"/>
      <c r="D289" s="417"/>
      <c r="E289" s="273"/>
      <c r="F289" s="273"/>
      <c r="G289" s="231"/>
      <c r="H289" s="426"/>
      <c r="I289" s="426"/>
      <c r="J289" s="427"/>
      <c r="K289" s="428"/>
      <c r="L289" s="316"/>
      <c r="M289" s="316"/>
      <c r="N289" s="325"/>
      <c r="O289" s="325"/>
      <c r="P289" s="429"/>
      <c r="Q289" s="325"/>
      <c r="R289" s="325"/>
      <c r="S289" s="426"/>
      <c r="T289" s="232"/>
      <c r="U289" s="232"/>
      <c r="V289" s="232"/>
      <c r="W289" s="232"/>
      <c r="X289" s="233"/>
      <c r="Y289" s="232"/>
      <c r="Z289" s="232"/>
      <c r="AA289" s="232"/>
      <c r="AB289" s="330"/>
      <c r="AC289" s="230"/>
      <c r="AD289" s="331"/>
      <c r="AE289" s="438"/>
      <c r="AF289" s="522"/>
      <c r="AH289" s="390"/>
    </row>
    <row r="290" spans="1:34" s="141" customFormat="1">
      <c r="A290" s="251"/>
      <c r="B290" s="426"/>
      <c r="C290" s="306"/>
      <c r="D290" s="417"/>
      <c r="E290" s="273"/>
      <c r="F290" s="273"/>
      <c r="G290" s="231"/>
      <c r="H290" s="426"/>
      <c r="I290" s="426"/>
      <c r="J290" s="427"/>
      <c r="K290" s="428"/>
      <c r="L290" s="316"/>
      <c r="M290" s="316"/>
      <c r="N290" s="325"/>
      <c r="O290" s="325"/>
      <c r="P290" s="429"/>
      <c r="Q290" s="325"/>
      <c r="R290" s="325"/>
      <c r="S290" s="426"/>
      <c r="T290" s="232"/>
      <c r="U290" s="232"/>
      <c r="V290" s="232"/>
      <c r="W290" s="232"/>
      <c r="X290" s="233"/>
      <c r="Y290" s="232"/>
      <c r="Z290" s="232"/>
      <c r="AA290" s="232"/>
      <c r="AB290" s="330"/>
      <c r="AC290" s="230"/>
      <c r="AD290" s="331"/>
      <c r="AE290" s="438"/>
      <c r="AF290" s="522"/>
      <c r="AH290" s="390"/>
    </row>
    <row r="291" spans="1:34" s="141" customFormat="1">
      <c r="A291" s="251"/>
      <c r="B291" s="426"/>
      <c r="C291" s="306"/>
      <c r="D291" s="417"/>
      <c r="E291" s="273"/>
      <c r="F291" s="273"/>
      <c r="G291" s="231"/>
      <c r="H291" s="426"/>
      <c r="I291" s="426"/>
      <c r="J291" s="427"/>
      <c r="K291" s="428"/>
      <c r="L291" s="316"/>
      <c r="M291" s="316"/>
      <c r="N291" s="325"/>
      <c r="O291" s="325"/>
      <c r="P291" s="429"/>
      <c r="Q291" s="325"/>
      <c r="R291" s="325"/>
      <c r="S291" s="426"/>
      <c r="T291" s="232"/>
      <c r="U291" s="232"/>
      <c r="V291" s="232"/>
      <c r="W291" s="232"/>
      <c r="X291" s="233"/>
      <c r="Y291" s="232"/>
      <c r="Z291" s="232"/>
      <c r="AA291" s="232"/>
      <c r="AB291" s="330"/>
      <c r="AC291" s="230"/>
      <c r="AD291" s="331"/>
      <c r="AE291" s="438"/>
      <c r="AF291" s="522"/>
      <c r="AH291" s="390"/>
    </row>
  </sheetData>
  <autoFilter ref="A2:AF100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A5:Q5"/>
    <mergeCell ref="E13:E15"/>
    <mergeCell ref="K9:K10"/>
    <mergeCell ref="N6:O6"/>
    <mergeCell ref="B13:B15"/>
    <mergeCell ref="P13:P15"/>
    <mergeCell ref="Q9:Q10"/>
    <mergeCell ref="Q13:Q15"/>
    <mergeCell ref="E11:E12"/>
    <mergeCell ref="K11:K12"/>
    <mergeCell ref="P16:P19"/>
    <mergeCell ref="B9:B10"/>
    <mergeCell ref="F9:F10"/>
    <mergeCell ref="Q11:Q12"/>
    <mergeCell ref="E16:E19"/>
    <mergeCell ref="F11:F12"/>
    <mergeCell ref="Q16:Q19"/>
    <mergeCell ref="K16:K19"/>
    <mergeCell ref="B16:B19"/>
    <mergeCell ref="F13:F15"/>
    <mergeCell ref="P9:P10"/>
    <mergeCell ref="F16:F19"/>
    <mergeCell ref="B11:B12"/>
    <mergeCell ref="K13:K15"/>
    <mergeCell ref="P11:P12"/>
    <mergeCell ref="E9:E10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5"/>
  <sheetViews>
    <sheetView workbookViewId="0">
      <selection activeCell="M11" sqref="M11"/>
    </sheetView>
  </sheetViews>
  <sheetFormatPr defaultColWidth="10.33203125" defaultRowHeight="13.2"/>
  <cols>
    <col min="1" max="1" width="5.33203125" style="42" customWidth="1"/>
    <col min="2" max="2" width="12.33203125" style="41" customWidth="1"/>
    <col min="3" max="3" width="16.109375" style="276" customWidth="1"/>
    <col min="4" max="4" width="11.109375" style="277" customWidth="1"/>
    <col min="5" max="5" width="22.33203125" style="276" customWidth="1"/>
    <col min="6" max="6" width="16.44140625" style="276" customWidth="1"/>
    <col min="7" max="7" width="5.109375" style="278" customWidth="1"/>
    <col min="8" max="9" width="5.109375" style="41" customWidth="1"/>
    <col min="10" max="10" width="7.44140625" style="279" customWidth="1"/>
    <col min="11" max="11" width="11.33203125" style="279" customWidth="1"/>
    <col min="12" max="12" width="19.109375" style="279" customWidth="1"/>
    <col min="13" max="13" width="21.109375" style="140" customWidth="1"/>
    <col min="14" max="14" width="23.5546875" style="141" customWidth="1"/>
    <col min="15" max="16" width="16.6640625" style="142" customWidth="1"/>
    <col min="17" max="18" width="10.33203125" style="41" customWidth="1"/>
    <col min="19" max="19" width="13" style="41" customWidth="1"/>
    <col min="20" max="20" width="12.6640625" style="148" customWidth="1"/>
    <col min="21" max="21" width="13.109375" style="148" customWidth="1"/>
    <col min="22" max="22" width="13" style="148" customWidth="1"/>
    <col min="23" max="23" width="11.88671875" style="148" customWidth="1"/>
    <col min="24" max="24" width="15.33203125" style="149" customWidth="1"/>
    <col min="25" max="26" width="14.6640625" style="148" customWidth="1"/>
    <col min="27" max="27" width="11.88671875" style="148" customWidth="1"/>
    <col min="28" max="28" width="16.33203125" style="148" customWidth="1"/>
    <col min="29" max="29" width="19.44140625" style="148" customWidth="1"/>
    <col min="30" max="30" width="20" style="150" customWidth="1"/>
    <col min="31" max="31" width="34.33203125" style="151" customWidth="1"/>
    <col min="32" max="32" width="18.6640625" style="152" customWidth="1"/>
    <col min="33" max="33" width="16.6640625" style="153" customWidth="1"/>
    <col min="34" max="34" width="18.5546875" style="154" customWidth="1"/>
    <col min="35" max="35" width="37.109375" style="141" customWidth="1"/>
    <col min="36" max="199" width="10.33203125" style="390" customWidth="1"/>
    <col min="200" max="200" width="7" style="390" customWidth="1"/>
    <col min="201" max="201" width="13" style="390" customWidth="1"/>
    <col min="202" max="202" width="14.109375" style="390" customWidth="1"/>
    <col min="203" max="203" width="17.33203125" style="390" customWidth="1"/>
    <col min="204" max="204" width="18.88671875" style="390" customWidth="1"/>
    <col min="205" max="205" width="14.109375" style="390" customWidth="1"/>
    <col min="206" max="206" width="21.5546875" style="390" customWidth="1"/>
    <col min="207" max="208" width="14.109375" style="390" customWidth="1"/>
    <col min="209" max="209" width="15" style="390" customWidth="1"/>
    <col min="210" max="210" width="13.33203125" style="390" customWidth="1"/>
    <col min="211" max="211" width="17" style="390" customWidth="1"/>
    <col min="212" max="212" width="24.88671875" style="390" customWidth="1"/>
    <col min="213" max="213" width="14.44140625" style="390" customWidth="1"/>
    <col min="214" max="214" width="23.109375" style="390" customWidth="1"/>
    <col min="215" max="215" width="13.109375" style="390" customWidth="1"/>
    <col min="216" max="219" width="0" style="390" hidden="1"/>
    <col min="220" max="455" width="10.33203125" style="390" customWidth="1"/>
    <col min="456" max="456" width="7" style="390" customWidth="1"/>
    <col min="457" max="457" width="13" style="390" customWidth="1"/>
    <col min="458" max="458" width="14.109375" style="390" customWidth="1"/>
    <col min="459" max="459" width="17.33203125" style="390" customWidth="1"/>
    <col min="460" max="460" width="18.88671875" style="390" customWidth="1"/>
    <col min="461" max="461" width="14.109375" style="390" customWidth="1"/>
    <col min="462" max="462" width="21.5546875" style="390" customWidth="1"/>
    <col min="463" max="464" width="14.109375" style="390" customWidth="1"/>
    <col min="465" max="465" width="15" style="390" customWidth="1"/>
    <col min="466" max="466" width="13.33203125" style="390" customWidth="1"/>
    <col min="467" max="467" width="17" style="390" customWidth="1"/>
    <col min="468" max="468" width="24.88671875" style="390" customWidth="1"/>
    <col min="469" max="469" width="14.44140625" style="390" customWidth="1"/>
    <col min="470" max="470" width="23.109375" style="390" customWidth="1"/>
    <col min="471" max="471" width="13.109375" style="390" customWidth="1"/>
    <col min="472" max="475" width="0" style="390" hidden="1"/>
    <col min="476" max="711" width="10.33203125" style="390" customWidth="1"/>
    <col min="712" max="712" width="7" style="390" customWidth="1"/>
    <col min="713" max="713" width="13" style="390" customWidth="1"/>
    <col min="714" max="714" width="14.109375" style="390" customWidth="1"/>
    <col min="715" max="715" width="17.33203125" style="390" customWidth="1"/>
    <col min="716" max="716" width="18.88671875" style="390" customWidth="1"/>
    <col min="717" max="717" width="14.109375" style="390" customWidth="1"/>
    <col min="718" max="718" width="21.5546875" style="390" customWidth="1"/>
    <col min="719" max="720" width="14.109375" style="390" customWidth="1"/>
    <col min="721" max="721" width="15" style="390" customWidth="1"/>
    <col min="722" max="722" width="13.33203125" style="390" customWidth="1"/>
    <col min="723" max="723" width="17" style="390" customWidth="1"/>
    <col min="724" max="724" width="24.88671875" style="390" customWidth="1"/>
    <col min="725" max="725" width="14.44140625" style="390" customWidth="1"/>
    <col min="726" max="726" width="23.109375" style="390" customWidth="1"/>
    <col min="727" max="727" width="13.109375" style="390" customWidth="1"/>
    <col min="728" max="731" width="0" style="390" hidden="1"/>
    <col min="732" max="967" width="10.33203125" style="390" customWidth="1"/>
    <col min="968" max="968" width="7" style="390" customWidth="1"/>
    <col min="969" max="969" width="13" style="390" customWidth="1"/>
    <col min="970" max="970" width="14.109375" style="390" customWidth="1"/>
    <col min="971" max="971" width="17.33203125" style="390" customWidth="1"/>
    <col min="972" max="972" width="18.88671875" style="390" customWidth="1"/>
    <col min="973" max="973" width="14.109375" style="390" customWidth="1"/>
    <col min="974" max="974" width="21.5546875" style="390" customWidth="1"/>
    <col min="975" max="976" width="14.109375" style="390" customWidth="1"/>
    <col min="977" max="977" width="15" style="390" customWidth="1"/>
    <col min="978" max="978" width="13.33203125" style="390" customWidth="1"/>
    <col min="979" max="979" width="17" style="390" customWidth="1"/>
    <col min="980" max="980" width="24.88671875" style="390" customWidth="1"/>
    <col min="981" max="981" width="14.44140625" style="390" customWidth="1"/>
    <col min="982" max="982" width="23.109375" style="390" customWidth="1"/>
    <col min="983" max="983" width="13.109375" style="390" customWidth="1"/>
    <col min="984" max="987" width="0" style="390" hidden="1"/>
    <col min="988" max="1223" width="10.33203125" style="390" customWidth="1"/>
    <col min="1224" max="1224" width="7" style="390" customWidth="1"/>
    <col min="1225" max="1225" width="13" style="390" customWidth="1"/>
    <col min="1226" max="1226" width="14.109375" style="390" customWidth="1"/>
    <col min="1227" max="1227" width="17.33203125" style="390" customWidth="1"/>
    <col min="1228" max="1228" width="18.88671875" style="390" customWidth="1"/>
    <col min="1229" max="1229" width="14.109375" style="390" customWidth="1"/>
    <col min="1230" max="1230" width="21.5546875" style="390" customWidth="1"/>
    <col min="1231" max="1232" width="14.109375" style="390" customWidth="1"/>
    <col min="1233" max="1233" width="15" style="390" customWidth="1"/>
    <col min="1234" max="1234" width="13.33203125" style="390" customWidth="1"/>
    <col min="1235" max="1235" width="17" style="390" customWidth="1"/>
    <col min="1236" max="1236" width="24.88671875" style="390" customWidth="1"/>
    <col min="1237" max="1237" width="14.44140625" style="390" customWidth="1"/>
    <col min="1238" max="1238" width="23.109375" style="390" customWidth="1"/>
    <col min="1239" max="1239" width="13.109375" style="390" customWidth="1"/>
    <col min="1240" max="1243" width="0" style="390" hidden="1"/>
    <col min="1244" max="1479" width="10.33203125" style="390" customWidth="1"/>
    <col min="1480" max="1480" width="7" style="390" customWidth="1"/>
    <col min="1481" max="1481" width="13" style="390" customWidth="1"/>
    <col min="1482" max="1482" width="14.109375" style="390" customWidth="1"/>
    <col min="1483" max="1483" width="17.33203125" style="390" customWidth="1"/>
    <col min="1484" max="1484" width="18.88671875" style="390" customWidth="1"/>
    <col min="1485" max="1485" width="14.109375" style="390" customWidth="1"/>
    <col min="1486" max="1486" width="21.5546875" style="390" customWidth="1"/>
    <col min="1487" max="1488" width="14.109375" style="390" customWidth="1"/>
    <col min="1489" max="1489" width="15" style="390" customWidth="1"/>
    <col min="1490" max="1490" width="13.33203125" style="390" customWidth="1"/>
    <col min="1491" max="1491" width="17" style="390" customWidth="1"/>
    <col min="1492" max="1492" width="24.88671875" style="390" customWidth="1"/>
    <col min="1493" max="1493" width="14.44140625" style="390" customWidth="1"/>
    <col min="1494" max="1494" width="23.109375" style="390" customWidth="1"/>
    <col min="1495" max="1495" width="13.109375" style="390" customWidth="1"/>
    <col min="1496" max="1499" width="0" style="390" hidden="1"/>
    <col min="1500" max="1735" width="10.33203125" style="390" customWidth="1"/>
    <col min="1736" max="1736" width="7" style="390" customWidth="1"/>
    <col min="1737" max="1737" width="13" style="390" customWidth="1"/>
    <col min="1738" max="1738" width="14.109375" style="390" customWidth="1"/>
    <col min="1739" max="1739" width="17.33203125" style="390" customWidth="1"/>
    <col min="1740" max="1740" width="18.88671875" style="390" customWidth="1"/>
    <col min="1741" max="1741" width="14.109375" style="390" customWidth="1"/>
    <col min="1742" max="1742" width="21.5546875" style="390" customWidth="1"/>
    <col min="1743" max="1744" width="14.109375" style="390" customWidth="1"/>
    <col min="1745" max="1745" width="15" style="390" customWidth="1"/>
    <col min="1746" max="1746" width="13.33203125" style="390" customWidth="1"/>
    <col min="1747" max="1747" width="17" style="390" customWidth="1"/>
    <col min="1748" max="1748" width="24.88671875" style="390" customWidth="1"/>
    <col min="1749" max="1749" width="14.44140625" style="390" customWidth="1"/>
    <col min="1750" max="1750" width="23.109375" style="390" customWidth="1"/>
    <col min="1751" max="1751" width="13.109375" style="390" customWidth="1"/>
    <col min="1752" max="1755" width="0" style="390" hidden="1"/>
    <col min="1756" max="1991" width="10.33203125" style="390" customWidth="1"/>
    <col min="1992" max="1992" width="7" style="390" customWidth="1"/>
    <col min="1993" max="1993" width="13" style="390" customWidth="1"/>
    <col min="1994" max="1994" width="14.109375" style="390" customWidth="1"/>
    <col min="1995" max="1995" width="17.33203125" style="390" customWidth="1"/>
    <col min="1996" max="1996" width="18.88671875" style="390" customWidth="1"/>
    <col min="1997" max="1997" width="14.109375" style="390" customWidth="1"/>
    <col min="1998" max="1998" width="21.5546875" style="390" customWidth="1"/>
    <col min="1999" max="2000" width="14.109375" style="390" customWidth="1"/>
    <col min="2001" max="2001" width="15" style="390" customWidth="1"/>
    <col min="2002" max="2002" width="13.33203125" style="390" customWidth="1"/>
    <col min="2003" max="2003" width="17" style="390" customWidth="1"/>
    <col min="2004" max="2004" width="24.88671875" style="390" customWidth="1"/>
    <col min="2005" max="2005" width="14.44140625" style="390" customWidth="1"/>
    <col min="2006" max="2006" width="23.109375" style="390" customWidth="1"/>
    <col min="2007" max="2007" width="13.109375" style="390" customWidth="1"/>
    <col min="2008" max="2011" width="0" style="390" hidden="1"/>
    <col min="2012" max="2247" width="10.33203125" style="390" customWidth="1"/>
    <col min="2248" max="2248" width="7" style="390" customWidth="1"/>
    <col min="2249" max="2249" width="13" style="390" customWidth="1"/>
    <col min="2250" max="2250" width="14.109375" style="390" customWidth="1"/>
    <col min="2251" max="2251" width="17.33203125" style="390" customWidth="1"/>
    <col min="2252" max="2252" width="18.88671875" style="390" customWidth="1"/>
    <col min="2253" max="2253" width="14.109375" style="390" customWidth="1"/>
    <col min="2254" max="2254" width="21.5546875" style="390" customWidth="1"/>
    <col min="2255" max="2256" width="14.109375" style="390" customWidth="1"/>
    <col min="2257" max="2257" width="15" style="390" customWidth="1"/>
    <col min="2258" max="2258" width="13.33203125" style="390" customWidth="1"/>
    <col min="2259" max="2259" width="17" style="390" customWidth="1"/>
    <col min="2260" max="2260" width="24.88671875" style="390" customWidth="1"/>
    <col min="2261" max="2261" width="14.44140625" style="390" customWidth="1"/>
    <col min="2262" max="2262" width="23.109375" style="390" customWidth="1"/>
    <col min="2263" max="2263" width="13.109375" style="390" customWidth="1"/>
    <col min="2264" max="2267" width="0" style="390" hidden="1"/>
    <col min="2268" max="2503" width="10.33203125" style="390" customWidth="1"/>
    <col min="2504" max="2504" width="7" style="390" customWidth="1"/>
    <col min="2505" max="2505" width="13" style="390" customWidth="1"/>
    <col min="2506" max="2506" width="14.109375" style="390" customWidth="1"/>
    <col min="2507" max="2507" width="17.33203125" style="390" customWidth="1"/>
    <col min="2508" max="2508" width="18.88671875" style="390" customWidth="1"/>
    <col min="2509" max="2509" width="14.109375" style="390" customWidth="1"/>
    <col min="2510" max="2510" width="21.5546875" style="390" customWidth="1"/>
    <col min="2511" max="2512" width="14.109375" style="390" customWidth="1"/>
    <col min="2513" max="2513" width="15" style="390" customWidth="1"/>
    <col min="2514" max="2514" width="13.33203125" style="390" customWidth="1"/>
    <col min="2515" max="2515" width="17" style="390" customWidth="1"/>
    <col min="2516" max="2516" width="24.88671875" style="390" customWidth="1"/>
    <col min="2517" max="2517" width="14.44140625" style="390" customWidth="1"/>
    <col min="2518" max="2518" width="23.109375" style="390" customWidth="1"/>
    <col min="2519" max="2519" width="13.109375" style="390" customWidth="1"/>
    <col min="2520" max="2523" width="0" style="390" hidden="1"/>
    <col min="2524" max="2759" width="10.33203125" style="390" customWidth="1"/>
    <col min="2760" max="2760" width="7" style="390" customWidth="1"/>
    <col min="2761" max="2761" width="13" style="390" customWidth="1"/>
    <col min="2762" max="2762" width="14.109375" style="390" customWidth="1"/>
    <col min="2763" max="2763" width="17.33203125" style="390" customWidth="1"/>
    <col min="2764" max="2764" width="18.88671875" style="390" customWidth="1"/>
    <col min="2765" max="2765" width="14.109375" style="390" customWidth="1"/>
    <col min="2766" max="2766" width="21.5546875" style="390" customWidth="1"/>
    <col min="2767" max="2768" width="14.109375" style="390" customWidth="1"/>
    <col min="2769" max="2769" width="15" style="390" customWidth="1"/>
    <col min="2770" max="2770" width="13.33203125" style="390" customWidth="1"/>
    <col min="2771" max="2771" width="17" style="390" customWidth="1"/>
    <col min="2772" max="2772" width="24.88671875" style="390" customWidth="1"/>
    <col min="2773" max="2773" width="14.44140625" style="390" customWidth="1"/>
    <col min="2774" max="2774" width="23.109375" style="390" customWidth="1"/>
    <col min="2775" max="2775" width="13.109375" style="390" customWidth="1"/>
    <col min="2776" max="2779" width="0" style="390" hidden="1"/>
    <col min="2780" max="3015" width="10.33203125" style="390" customWidth="1"/>
    <col min="3016" max="3016" width="7" style="390" customWidth="1"/>
    <col min="3017" max="3017" width="13" style="390" customWidth="1"/>
    <col min="3018" max="3018" width="14.109375" style="390" customWidth="1"/>
    <col min="3019" max="3019" width="17.33203125" style="390" customWidth="1"/>
    <col min="3020" max="3020" width="18.88671875" style="390" customWidth="1"/>
    <col min="3021" max="3021" width="14.109375" style="390" customWidth="1"/>
    <col min="3022" max="3022" width="21.5546875" style="390" customWidth="1"/>
    <col min="3023" max="3024" width="14.109375" style="390" customWidth="1"/>
    <col min="3025" max="3025" width="15" style="390" customWidth="1"/>
    <col min="3026" max="3026" width="13.33203125" style="390" customWidth="1"/>
    <col min="3027" max="3027" width="17" style="390" customWidth="1"/>
    <col min="3028" max="3028" width="24.88671875" style="390" customWidth="1"/>
    <col min="3029" max="3029" width="14.44140625" style="390" customWidth="1"/>
    <col min="3030" max="3030" width="23.109375" style="390" customWidth="1"/>
    <col min="3031" max="3031" width="13.109375" style="390" customWidth="1"/>
    <col min="3032" max="3035" width="0" style="390" hidden="1"/>
    <col min="3036" max="3271" width="10.33203125" style="390" customWidth="1"/>
    <col min="3272" max="3272" width="7" style="390" customWidth="1"/>
    <col min="3273" max="3273" width="13" style="390" customWidth="1"/>
    <col min="3274" max="3274" width="14.109375" style="390" customWidth="1"/>
    <col min="3275" max="3275" width="17.33203125" style="390" customWidth="1"/>
    <col min="3276" max="3276" width="18.88671875" style="390" customWidth="1"/>
    <col min="3277" max="3277" width="14.109375" style="390" customWidth="1"/>
    <col min="3278" max="3278" width="21.5546875" style="390" customWidth="1"/>
    <col min="3279" max="3280" width="14.109375" style="390" customWidth="1"/>
    <col min="3281" max="3281" width="15" style="390" customWidth="1"/>
    <col min="3282" max="3282" width="13.33203125" style="390" customWidth="1"/>
    <col min="3283" max="3283" width="17" style="390" customWidth="1"/>
    <col min="3284" max="3284" width="24.88671875" style="390" customWidth="1"/>
    <col min="3285" max="3285" width="14.44140625" style="390" customWidth="1"/>
    <col min="3286" max="3286" width="23.109375" style="390" customWidth="1"/>
    <col min="3287" max="3287" width="13.109375" style="390" customWidth="1"/>
    <col min="3288" max="3291" width="0" style="390" hidden="1"/>
    <col min="3292" max="3527" width="10.33203125" style="390" customWidth="1"/>
    <col min="3528" max="3528" width="7" style="390" customWidth="1"/>
    <col min="3529" max="3529" width="13" style="390" customWidth="1"/>
    <col min="3530" max="3530" width="14.109375" style="390" customWidth="1"/>
    <col min="3531" max="3531" width="17.33203125" style="390" customWidth="1"/>
    <col min="3532" max="3532" width="18.88671875" style="390" customWidth="1"/>
    <col min="3533" max="3533" width="14.109375" style="390" customWidth="1"/>
    <col min="3534" max="3534" width="21.5546875" style="390" customWidth="1"/>
    <col min="3535" max="3536" width="14.109375" style="390" customWidth="1"/>
    <col min="3537" max="3537" width="15" style="390" customWidth="1"/>
    <col min="3538" max="3538" width="13.33203125" style="390" customWidth="1"/>
    <col min="3539" max="3539" width="17" style="390" customWidth="1"/>
    <col min="3540" max="3540" width="24.88671875" style="390" customWidth="1"/>
    <col min="3541" max="3541" width="14.44140625" style="390" customWidth="1"/>
    <col min="3542" max="3542" width="23.109375" style="390" customWidth="1"/>
    <col min="3543" max="3543" width="13.109375" style="390" customWidth="1"/>
    <col min="3544" max="3547" width="0" style="390" hidden="1"/>
    <col min="3548" max="3783" width="10.33203125" style="390" customWidth="1"/>
    <col min="3784" max="3784" width="7" style="390" customWidth="1"/>
    <col min="3785" max="3785" width="13" style="390" customWidth="1"/>
    <col min="3786" max="3786" width="14.109375" style="390" customWidth="1"/>
    <col min="3787" max="3787" width="17.33203125" style="390" customWidth="1"/>
    <col min="3788" max="3788" width="18.88671875" style="390" customWidth="1"/>
    <col min="3789" max="3789" width="14.109375" style="390" customWidth="1"/>
    <col min="3790" max="3790" width="21.5546875" style="390" customWidth="1"/>
    <col min="3791" max="3792" width="14.109375" style="390" customWidth="1"/>
    <col min="3793" max="3793" width="15" style="390" customWidth="1"/>
    <col min="3794" max="3794" width="13.33203125" style="390" customWidth="1"/>
    <col min="3795" max="3795" width="17" style="390" customWidth="1"/>
    <col min="3796" max="3796" width="24.88671875" style="390" customWidth="1"/>
    <col min="3797" max="3797" width="14.44140625" style="390" customWidth="1"/>
    <col min="3798" max="3798" width="23.109375" style="390" customWidth="1"/>
    <col min="3799" max="3799" width="13.109375" style="390" customWidth="1"/>
    <col min="3800" max="3803" width="0" style="390" hidden="1"/>
    <col min="3804" max="4039" width="10.33203125" style="390" customWidth="1"/>
    <col min="4040" max="4040" width="7" style="390" customWidth="1"/>
    <col min="4041" max="4041" width="13" style="390" customWidth="1"/>
    <col min="4042" max="4042" width="14.109375" style="390" customWidth="1"/>
    <col min="4043" max="4043" width="17.33203125" style="390" customWidth="1"/>
    <col min="4044" max="4044" width="18.88671875" style="390" customWidth="1"/>
    <col min="4045" max="4045" width="14.109375" style="390" customWidth="1"/>
    <col min="4046" max="4046" width="21.5546875" style="390" customWidth="1"/>
    <col min="4047" max="4048" width="14.109375" style="390" customWidth="1"/>
    <col min="4049" max="4049" width="15" style="390" customWidth="1"/>
    <col min="4050" max="4050" width="13.33203125" style="390" customWidth="1"/>
    <col min="4051" max="4051" width="17" style="390" customWidth="1"/>
    <col min="4052" max="4052" width="24.88671875" style="390" customWidth="1"/>
    <col min="4053" max="4053" width="14.44140625" style="390" customWidth="1"/>
    <col min="4054" max="4054" width="23.109375" style="390" customWidth="1"/>
    <col min="4055" max="4055" width="13.109375" style="390" customWidth="1"/>
    <col min="4056" max="4059" width="0" style="390" hidden="1"/>
    <col min="4060" max="4295" width="10.33203125" style="390" customWidth="1"/>
    <col min="4296" max="4296" width="7" style="390" customWidth="1"/>
    <col min="4297" max="4297" width="13" style="390" customWidth="1"/>
    <col min="4298" max="4298" width="14.109375" style="390" customWidth="1"/>
    <col min="4299" max="4299" width="17.33203125" style="390" customWidth="1"/>
    <col min="4300" max="4300" width="18.88671875" style="390" customWidth="1"/>
    <col min="4301" max="4301" width="14.109375" style="390" customWidth="1"/>
    <col min="4302" max="4302" width="21.5546875" style="390" customWidth="1"/>
    <col min="4303" max="4304" width="14.109375" style="390" customWidth="1"/>
    <col min="4305" max="4305" width="15" style="390" customWidth="1"/>
    <col min="4306" max="4306" width="13.33203125" style="390" customWidth="1"/>
    <col min="4307" max="4307" width="17" style="390" customWidth="1"/>
    <col min="4308" max="4308" width="24.88671875" style="390" customWidth="1"/>
    <col min="4309" max="4309" width="14.44140625" style="390" customWidth="1"/>
    <col min="4310" max="4310" width="23.109375" style="390" customWidth="1"/>
    <col min="4311" max="4311" width="13.109375" style="390" customWidth="1"/>
    <col min="4312" max="4315" width="0" style="390" hidden="1"/>
    <col min="4316" max="4551" width="10.33203125" style="390" customWidth="1"/>
    <col min="4552" max="4552" width="7" style="390" customWidth="1"/>
    <col min="4553" max="4553" width="13" style="390" customWidth="1"/>
    <col min="4554" max="4554" width="14.109375" style="390" customWidth="1"/>
    <col min="4555" max="4555" width="17.33203125" style="390" customWidth="1"/>
    <col min="4556" max="4556" width="18.88671875" style="390" customWidth="1"/>
    <col min="4557" max="4557" width="14.109375" style="390" customWidth="1"/>
    <col min="4558" max="4558" width="21.5546875" style="390" customWidth="1"/>
    <col min="4559" max="4560" width="14.109375" style="390" customWidth="1"/>
    <col min="4561" max="4561" width="15" style="390" customWidth="1"/>
    <col min="4562" max="4562" width="13.33203125" style="390" customWidth="1"/>
    <col min="4563" max="4563" width="17" style="390" customWidth="1"/>
    <col min="4564" max="4564" width="24.88671875" style="390" customWidth="1"/>
    <col min="4565" max="4565" width="14.44140625" style="390" customWidth="1"/>
    <col min="4566" max="4566" width="23.109375" style="390" customWidth="1"/>
    <col min="4567" max="4567" width="13.109375" style="390" customWidth="1"/>
    <col min="4568" max="4571" width="0" style="390" hidden="1"/>
    <col min="4572" max="4807" width="10.33203125" style="390" customWidth="1"/>
    <col min="4808" max="4808" width="7" style="390" customWidth="1"/>
    <col min="4809" max="4809" width="13" style="390" customWidth="1"/>
    <col min="4810" max="4810" width="14.109375" style="390" customWidth="1"/>
    <col min="4811" max="4811" width="17.33203125" style="390" customWidth="1"/>
    <col min="4812" max="4812" width="18.88671875" style="390" customWidth="1"/>
    <col min="4813" max="4813" width="14.109375" style="390" customWidth="1"/>
    <col min="4814" max="4814" width="21.5546875" style="390" customWidth="1"/>
    <col min="4815" max="4816" width="14.109375" style="390" customWidth="1"/>
    <col min="4817" max="4817" width="15" style="390" customWidth="1"/>
    <col min="4818" max="4818" width="13.33203125" style="390" customWidth="1"/>
    <col min="4819" max="4819" width="17" style="390" customWidth="1"/>
    <col min="4820" max="4820" width="24.88671875" style="390" customWidth="1"/>
    <col min="4821" max="4821" width="14.44140625" style="390" customWidth="1"/>
    <col min="4822" max="4822" width="23.109375" style="390" customWidth="1"/>
    <col min="4823" max="4823" width="13.109375" style="390" customWidth="1"/>
    <col min="4824" max="4827" width="0" style="390" hidden="1"/>
    <col min="4828" max="5063" width="10.33203125" style="390" customWidth="1"/>
    <col min="5064" max="5064" width="7" style="390" customWidth="1"/>
    <col min="5065" max="5065" width="13" style="390" customWidth="1"/>
    <col min="5066" max="5066" width="14.109375" style="390" customWidth="1"/>
    <col min="5067" max="5067" width="17.33203125" style="390" customWidth="1"/>
    <col min="5068" max="5068" width="18.88671875" style="390" customWidth="1"/>
    <col min="5069" max="5069" width="14.109375" style="390" customWidth="1"/>
    <col min="5070" max="5070" width="21.5546875" style="390" customWidth="1"/>
    <col min="5071" max="5072" width="14.109375" style="390" customWidth="1"/>
    <col min="5073" max="5073" width="15" style="390" customWidth="1"/>
    <col min="5074" max="5074" width="13.33203125" style="390" customWidth="1"/>
    <col min="5075" max="5075" width="17" style="390" customWidth="1"/>
    <col min="5076" max="5076" width="24.88671875" style="390" customWidth="1"/>
    <col min="5077" max="5077" width="14.44140625" style="390" customWidth="1"/>
    <col min="5078" max="5078" width="23.109375" style="390" customWidth="1"/>
    <col min="5079" max="5079" width="13.109375" style="390" customWidth="1"/>
    <col min="5080" max="5083" width="0" style="390" hidden="1"/>
    <col min="5084" max="5319" width="10.33203125" style="390" customWidth="1"/>
    <col min="5320" max="5320" width="7" style="390" customWidth="1"/>
    <col min="5321" max="5321" width="13" style="390" customWidth="1"/>
    <col min="5322" max="5322" width="14.109375" style="390" customWidth="1"/>
    <col min="5323" max="5323" width="17.33203125" style="390" customWidth="1"/>
    <col min="5324" max="5324" width="18.88671875" style="390" customWidth="1"/>
    <col min="5325" max="5325" width="14.109375" style="390" customWidth="1"/>
    <col min="5326" max="5326" width="21.5546875" style="390" customWidth="1"/>
    <col min="5327" max="5328" width="14.109375" style="390" customWidth="1"/>
    <col min="5329" max="5329" width="15" style="390" customWidth="1"/>
    <col min="5330" max="5330" width="13.33203125" style="390" customWidth="1"/>
    <col min="5331" max="5331" width="17" style="390" customWidth="1"/>
    <col min="5332" max="5332" width="24.88671875" style="390" customWidth="1"/>
    <col min="5333" max="5333" width="14.44140625" style="390" customWidth="1"/>
    <col min="5334" max="5334" width="23.109375" style="390" customWidth="1"/>
    <col min="5335" max="5335" width="13.109375" style="390" customWidth="1"/>
    <col min="5336" max="5339" width="0" style="390" hidden="1"/>
    <col min="5340" max="5575" width="10.33203125" style="390" customWidth="1"/>
    <col min="5576" max="5576" width="7" style="390" customWidth="1"/>
    <col min="5577" max="5577" width="13" style="390" customWidth="1"/>
    <col min="5578" max="5578" width="14.109375" style="390" customWidth="1"/>
    <col min="5579" max="5579" width="17.33203125" style="390" customWidth="1"/>
    <col min="5580" max="5580" width="18.88671875" style="390" customWidth="1"/>
    <col min="5581" max="5581" width="14.109375" style="390" customWidth="1"/>
    <col min="5582" max="5582" width="21.5546875" style="390" customWidth="1"/>
    <col min="5583" max="5584" width="14.109375" style="390" customWidth="1"/>
    <col min="5585" max="5585" width="15" style="390" customWidth="1"/>
    <col min="5586" max="5586" width="13.33203125" style="390" customWidth="1"/>
    <col min="5587" max="5587" width="17" style="390" customWidth="1"/>
    <col min="5588" max="5588" width="24.88671875" style="390" customWidth="1"/>
    <col min="5589" max="5589" width="14.44140625" style="390" customWidth="1"/>
    <col min="5590" max="5590" width="23.109375" style="390" customWidth="1"/>
    <col min="5591" max="5591" width="13.109375" style="390" customWidth="1"/>
    <col min="5592" max="5595" width="0" style="390" hidden="1"/>
    <col min="5596" max="5831" width="10.33203125" style="390" customWidth="1"/>
    <col min="5832" max="5832" width="7" style="390" customWidth="1"/>
    <col min="5833" max="5833" width="13" style="390" customWidth="1"/>
    <col min="5834" max="5834" width="14.109375" style="390" customWidth="1"/>
    <col min="5835" max="5835" width="17.33203125" style="390" customWidth="1"/>
    <col min="5836" max="5836" width="18.88671875" style="390" customWidth="1"/>
    <col min="5837" max="5837" width="14.109375" style="390" customWidth="1"/>
    <col min="5838" max="5838" width="21.5546875" style="390" customWidth="1"/>
    <col min="5839" max="5840" width="14.109375" style="390" customWidth="1"/>
    <col min="5841" max="5841" width="15" style="390" customWidth="1"/>
    <col min="5842" max="5842" width="13.33203125" style="390" customWidth="1"/>
    <col min="5843" max="5843" width="17" style="390" customWidth="1"/>
    <col min="5844" max="5844" width="24.88671875" style="390" customWidth="1"/>
    <col min="5845" max="5845" width="14.44140625" style="390" customWidth="1"/>
    <col min="5846" max="5846" width="23.109375" style="390" customWidth="1"/>
    <col min="5847" max="5847" width="13.109375" style="390" customWidth="1"/>
    <col min="5848" max="5851" width="0" style="390" hidden="1"/>
    <col min="5852" max="6087" width="10.33203125" style="390" customWidth="1"/>
    <col min="6088" max="6088" width="7" style="390" customWidth="1"/>
    <col min="6089" max="6089" width="13" style="390" customWidth="1"/>
    <col min="6090" max="6090" width="14.109375" style="390" customWidth="1"/>
    <col min="6091" max="6091" width="17.33203125" style="390" customWidth="1"/>
    <col min="6092" max="6092" width="18.88671875" style="390" customWidth="1"/>
    <col min="6093" max="6093" width="14.109375" style="390" customWidth="1"/>
    <col min="6094" max="6094" width="21.5546875" style="390" customWidth="1"/>
    <col min="6095" max="6096" width="14.109375" style="390" customWidth="1"/>
    <col min="6097" max="6097" width="15" style="390" customWidth="1"/>
    <col min="6098" max="6098" width="13.33203125" style="390" customWidth="1"/>
    <col min="6099" max="6099" width="17" style="390" customWidth="1"/>
    <col min="6100" max="6100" width="24.88671875" style="390" customWidth="1"/>
    <col min="6101" max="6101" width="14.44140625" style="390" customWidth="1"/>
    <col min="6102" max="6102" width="23.109375" style="390" customWidth="1"/>
    <col min="6103" max="6103" width="13.109375" style="390" customWidth="1"/>
    <col min="6104" max="6107" width="0" style="390" hidden="1"/>
    <col min="6108" max="6343" width="10.33203125" style="390" customWidth="1"/>
    <col min="6344" max="6344" width="7" style="390" customWidth="1"/>
    <col min="6345" max="6345" width="13" style="390" customWidth="1"/>
    <col min="6346" max="6346" width="14.109375" style="390" customWidth="1"/>
    <col min="6347" max="6347" width="17.33203125" style="390" customWidth="1"/>
    <col min="6348" max="6348" width="18.88671875" style="390" customWidth="1"/>
    <col min="6349" max="6349" width="14.109375" style="390" customWidth="1"/>
    <col min="6350" max="6350" width="21.5546875" style="390" customWidth="1"/>
    <col min="6351" max="6352" width="14.109375" style="390" customWidth="1"/>
    <col min="6353" max="6353" width="15" style="390" customWidth="1"/>
    <col min="6354" max="6354" width="13.33203125" style="390" customWidth="1"/>
    <col min="6355" max="6355" width="17" style="390" customWidth="1"/>
    <col min="6356" max="6356" width="24.88671875" style="390" customWidth="1"/>
    <col min="6357" max="6357" width="14.44140625" style="390" customWidth="1"/>
    <col min="6358" max="6358" width="23.109375" style="390" customWidth="1"/>
    <col min="6359" max="6359" width="13.109375" style="390" customWidth="1"/>
    <col min="6360" max="6363" width="0" style="390" hidden="1"/>
    <col min="6364" max="6599" width="10.33203125" style="390" customWidth="1"/>
    <col min="6600" max="6600" width="7" style="390" customWidth="1"/>
    <col min="6601" max="6601" width="13" style="390" customWidth="1"/>
    <col min="6602" max="6602" width="14.109375" style="390" customWidth="1"/>
    <col min="6603" max="6603" width="17.33203125" style="390" customWidth="1"/>
    <col min="6604" max="6604" width="18.88671875" style="390" customWidth="1"/>
    <col min="6605" max="6605" width="14.109375" style="390" customWidth="1"/>
    <col min="6606" max="6606" width="21.5546875" style="390" customWidth="1"/>
    <col min="6607" max="6608" width="14.109375" style="390" customWidth="1"/>
    <col min="6609" max="6609" width="15" style="390" customWidth="1"/>
    <col min="6610" max="6610" width="13.33203125" style="390" customWidth="1"/>
    <col min="6611" max="6611" width="17" style="390" customWidth="1"/>
    <col min="6612" max="6612" width="24.88671875" style="390" customWidth="1"/>
    <col min="6613" max="6613" width="14.44140625" style="390" customWidth="1"/>
    <col min="6614" max="6614" width="23.109375" style="390" customWidth="1"/>
    <col min="6615" max="6615" width="13.109375" style="390" customWidth="1"/>
    <col min="6616" max="6619" width="0" style="390" hidden="1"/>
    <col min="6620" max="6855" width="10.33203125" style="390" customWidth="1"/>
    <col min="6856" max="6856" width="7" style="390" customWidth="1"/>
    <col min="6857" max="6857" width="13" style="390" customWidth="1"/>
    <col min="6858" max="6858" width="14.109375" style="390" customWidth="1"/>
    <col min="6859" max="6859" width="17.33203125" style="390" customWidth="1"/>
    <col min="6860" max="6860" width="18.88671875" style="390" customWidth="1"/>
    <col min="6861" max="6861" width="14.109375" style="390" customWidth="1"/>
    <col min="6862" max="6862" width="21.5546875" style="390" customWidth="1"/>
    <col min="6863" max="6864" width="14.109375" style="390" customWidth="1"/>
    <col min="6865" max="6865" width="15" style="390" customWidth="1"/>
    <col min="6866" max="6866" width="13.33203125" style="390" customWidth="1"/>
    <col min="6867" max="6867" width="17" style="390" customWidth="1"/>
    <col min="6868" max="6868" width="24.88671875" style="390" customWidth="1"/>
    <col min="6869" max="6869" width="14.44140625" style="390" customWidth="1"/>
    <col min="6870" max="6870" width="23.109375" style="390" customWidth="1"/>
    <col min="6871" max="6871" width="13.109375" style="390" customWidth="1"/>
    <col min="6872" max="6875" width="0" style="390" hidden="1"/>
    <col min="6876" max="7111" width="10.33203125" style="390" customWidth="1"/>
    <col min="7112" max="7112" width="7" style="390" customWidth="1"/>
    <col min="7113" max="7113" width="13" style="390" customWidth="1"/>
    <col min="7114" max="7114" width="14.109375" style="390" customWidth="1"/>
    <col min="7115" max="7115" width="17.33203125" style="390" customWidth="1"/>
    <col min="7116" max="7116" width="18.88671875" style="390" customWidth="1"/>
    <col min="7117" max="7117" width="14.109375" style="390" customWidth="1"/>
    <col min="7118" max="7118" width="21.5546875" style="390" customWidth="1"/>
    <col min="7119" max="7120" width="14.109375" style="390" customWidth="1"/>
    <col min="7121" max="7121" width="15" style="390" customWidth="1"/>
    <col min="7122" max="7122" width="13.33203125" style="390" customWidth="1"/>
    <col min="7123" max="7123" width="17" style="390" customWidth="1"/>
    <col min="7124" max="7124" width="24.88671875" style="390" customWidth="1"/>
    <col min="7125" max="7125" width="14.44140625" style="390" customWidth="1"/>
    <col min="7126" max="7126" width="23.109375" style="390" customWidth="1"/>
    <col min="7127" max="7127" width="13.109375" style="390" customWidth="1"/>
    <col min="7128" max="7131" width="0" style="390" hidden="1"/>
    <col min="7132" max="7367" width="10.33203125" style="390" customWidth="1"/>
    <col min="7368" max="7368" width="7" style="390" customWidth="1"/>
    <col min="7369" max="7369" width="13" style="390" customWidth="1"/>
    <col min="7370" max="7370" width="14.109375" style="390" customWidth="1"/>
    <col min="7371" max="7371" width="17.33203125" style="390" customWidth="1"/>
    <col min="7372" max="7372" width="18.88671875" style="390" customWidth="1"/>
    <col min="7373" max="7373" width="14.109375" style="390" customWidth="1"/>
    <col min="7374" max="7374" width="21.5546875" style="390" customWidth="1"/>
    <col min="7375" max="7376" width="14.109375" style="390" customWidth="1"/>
    <col min="7377" max="7377" width="15" style="390" customWidth="1"/>
    <col min="7378" max="7378" width="13.33203125" style="390" customWidth="1"/>
    <col min="7379" max="7379" width="17" style="390" customWidth="1"/>
    <col min="7380" max="7380" width="24.88671875" style="390" customWidth="1"/>
    <col min="7381" max="7381" width="14.44140625" style="390" customWidth="1"/>
    <col min="7382" max="7382" width="23.109375" style="390" customWidth="1"/>
    <col min="7383" max="7383" width="13.109375" style="390" customWidth="1"/>
    <col min="7384" max="7387" width="0" style="390" hidden="1"/>
    <col min="7388" max="7623" width="10.33203125" style="390" customWidth="1"/>
    <col min="7624" max="7624" width="7" style="390" customWidth="1"/>
    <col min="7625" max="7625" width="13" style="390" customWidth="1"/>
    <col min="7626" max="7626" width="14.109375" style="390" customWidth="1"/>
    <col min="7627" max="7627" width="17.33203125" style="390" customWidth="1"/>
    <col min="7628" max="7628" width="18.88671875" style="390" customWidth="1"/>
    <col min="7629" max="7629" width="14.109375" style="390" customWidth="1"/>
    <col min="7630" max="7630" width="21.5546875" style="390" customWidth="1"/>
    <col min="7631" max="7632" width="14.109375" style="390" customWidth="1"/>
    <col min="7633" max="7633" width="15" style="390" customWidth="1"/>
    <col min="7634" max="7634" width="13.33203125" style="390" customWidth="1"/>
    <col min="7635" max="7635" width="17" style="390" customWidth="1"/>
    <col min="7636" max="7636" width="24.88671875" style="390" customWidth="1"/>
    <col min="7637" max="7637" width="14.44140625" style="390" customWidth="1"/>
    <col min="7638" max="7638" width="23.109375" style="390" customWidth="1"/>
    <col min="7639" max="7639" width="13.109375" style="390" customWidth="1"/>
    <col min="7640" max="7643" width="0" style="390" hidden="1"/>
    <col min="7644" max="7879" width="10.33203125" style="390" customWidth="1"/>
    <col min="7880" max="7880" width="7" style="390" customWidth="1"/>
    <col min="7881" max="7881" width="13" style="390" customWidth="1"/>
    <col min="7882" max="7882" width="14.109375" style="390" customWidth="1"/>
    <col min="7883" max="7883" width="17.33203125" style="390" customWidth="1"/>
    <col min="7884" max="7884" width="18.88671875" style="390" customWidth="1"/>
    <col min="7885" max="7885" width="14.109375" style="390" customWidth="1"/>
    <col min="7886" max="7886" width="21.5546875" style="390" customWidth="1"/>
    <col min="7887" max="7888" width="14.109375" style="390" customWidth="1"/>
    <col min="7889" max="7889" width="15" style="390" customWidth="1"/>
    <col min="7890" max="7890" width="13.33203125" style="390" customWidth="1"/>
    <col min="7891" max="7891" width="17" style="390" customWidth="1"/>
    <col min="7892" max="7892" width="24.88671875" style="390" customWidth="1"/>
    <col min="7893" max="7893" width="14.44140625" style="390" customWidth="1"/>
    <col min="7894" max="7894" width="23.109375" style="390" customWidth="1"/>
    <col min="7895" max="7895" width="13.109375" style="390" customWidth="1"/>
    <col min="7896" max="7899" width="0" style="390" hidden="1"/>
    <col min="7900" max="8135" width="10.33203125" style="390" customWidth="1"/>
    <col min="8136" max="8136" width="7" style="390" customWidth="1"/>
    <col min="8137" max="8137" width="13" style="390" customWidth="1"/>
    <col min="8138" max="8138" width="14.109375" style="390" customWidth="1"/>
    <col min="8139" max="8139" width="17.33203125" style="390" customWidth="1"/>
    <col min="8140" max="8140" width="18.88671875" style="390" customWidth="1"/>
    <col min="8141" max="8141" width="14.109375" style="390" customWidth="1"/>
    <col min="8142" max="8142" width="21.5546875" style="390" customWidth="1"/>
    <col min="8143" max="8144" width="14.109375" style="390" customWidth="1"/>
    <col min="8145" max="8145" width="15" style="390" customWidth="1"/>
    <col min="8146" max="8146" width="13.33203125" style="390" customWidth="1"/>
    <col min="8147" max="8147" width="17" style="390" customWidth="1"/>
    <col min="8148" max="8148" width="24.88671875" style="390" customWidth="1"/>
    <col min="8149" max="8149" width="14.44140625" style="390" customWidth="1"/>
    <col min="8150" max="8150" width="23.109375" style="390" customWidth="1"/>
    <col min="8151" max="8151" width="13.109375" style="390" customWidth="1"/>
    <col min="8152" max="8155" width="0" style="390" hidden="1"/>
    <col min="8156" max="8391" width="10.33203125" style="390" customWidth="1"/>
    <col min="8392" max="8392" width="7" style="390" customWidth="1"/>
    <col min="8393" max="8393" width="13" style="390" customWidth="1"/>
    <col min="8394" max="8394" width="14.109375" style="390" customWidth="1"/>
    <col min="8395" max="8395" width="17.33203125" style="390" customWidth="1"/>
    <col min="8396" max="8396" width="18.88671875" style="390" customWidth="1"/>
    <col min="8397" max="8397" width="14.109375" style="390" customWidth="1"/>
    <col min="8398" max="8398" width="21.5546875" style="390" customWidth="1"/>
    <col min="8399" max="8400" width="14.109375" style="390" customWidth="1"/>
    <col min="8401" max="8401" width="15" style="390" customWidth="1"/>
    <col min="8402" max="8402" width="13.33203125" style="390" customWidth="1"/>
    <col min="8403" max="8403" width="17" style="390" customWidth="1"/>
    <col min="8404" max="8404" width="24.88671875" style="390" customWidth="1"/>
    <col min="8405" max="8405" width="14.44140625" style="390" customWidth="1"/>
    <col min="8406" max="8406" width="23.109375" style="390" customWidth="1"/>
    <col min="8407" max="8407" width="13.109375" style="390" customWidth="1"/>
    <col min="8408" max="8411" width="0" style="390" hidden="1"/>
    <col min="8412" max="8647" width="10.33203125" style="390" customWidth="1"/>
    <col min="8648" max="8648" width="7" style="390" customWidth="1"/>
    <col min="8649" max="8649" width="13" style="390" customWidth="1"/>
    <col min="8650" max="8650" width="14.109375" style="390" customWidth="1"/>
    <col min="8651" max="8651" width="17.33203125" style="390" customWidth="1"/>
    <col min="8652" max="8652" width="18.88671875" style="390" customWidth="1"/>
    <col min="8653" max="8653" width="14.109375" style="390" customWidth="1"/>
    <col min="8654" max="8654" width="21.5546875" style="390" customWidth="1"/>
    <col min="8655" max="8656" width="14.109375" style="390" customWidth="1"/>
    <col min="8657" max="8657" width="15" style="390" customWidth="1"/>
    <col min="8658" max="8658" width="13.33203125" style="390" customWidth="1"/>
    <col min="8659" max="8659" width="17" style="390" customWidth="1"/>
    <col min="8660" max="8660" width="24.88671875" style="390" customWidth="1"/>
    <col min="8661" max="8661" width="14.44140625" style="390" customWidth="1"/>
    <col min="8662" max="8662" width="23.109375" style="390" customWidth="1"/>
    <col min="8663" max="8663" width="13.109375" style="390" customWidth="1"/>
    <col min="8664" max="8667" width="0" style="390" hidden="1"/>
    <col min="8668" max="8903" width="10.33203125" style="390" customWidth="1"/>
    <col min="8904" max="8904" width="7" style="390" customWidth="1"/>
    <col min="8905" max="8905" width="13" style="390" customWidth="1"/>
    <col min="8906" max="8906" width="14.109375" style="390" customWidth="1"/>
    <col min="8907" max="8907" width="17.33203125" style="390" customWidth="1"/>
    <col min="8908" max="8908" width="18.88671875" style="390" customWidth="1"/>
    <col min="8909" max="8909" width="14.109375" style="390" customWidth="1"/>
    <col min="8910" max="8910" width="21.5546875" style="390" customWidth="1"/>
    <col min="8911" max="8912" width="14.109375" style="390" customWidth="1"/>
    <col min="8913" max="8913" width="15" style="390" customWidth="1"/>
    <col min="8914" max="8914" width="13.33203125" style="390" customWidth="1"/>
    <col min="8915" max="8915" width="17" style="390" customWidth="1"/>
    <col min="8916" max="8916" width="24.88671875" style="390" customWidth="1"/>
    <col min="8917" max="8917" width="14.44140625" style="390" customWidth="1"/>
    <col min="8918" max="8918" width="23.109375" style="390" customWidth="1"/>
    <col min="8919" max="8919" width="13.109375" style="390" customWidth="1"/>
    <col min="8920" max="8923" width="0" style="390" hidden="1"/>
    <col min="8924" max="9159" width="10.33203125" style="390" customWidth="1"/>
    <col min="9160" max="9160" width="7" style="390" customWidth="1"/>
    <col min="9161" max="9161" width="13" style="390" customWidth="1"/>
    <col min="9162" max="9162" width="14.109375" style="390" customWidth="1"/>
    <col min="9163" max="9163" width="17.33203125" style="390" customWidth="1"/>
    <col min="9164" max="9164" width="18.88671875" style="390" customWidth="1"/>
    <col min="9165" max="9165" width="14.109375" style="390" customWidth="1"/>
    <col min="9166" max="9166" width="21.5546875" style="390" customWidth="1"/>
    <col min="9167" max="9168" width="14.109375" style="390" customWidth="1"/>
    <col min="9169" max="9169" width="15" style="390" customWidth="1"/>
    <col min="9170" max="9170" width="13.33203125" style="390" customWidth="1"/>
    <col min="9171" max="9171" width="17" style="390" customWidth="1"/>
    <col min="9172" max="9172" width="24.88671875" style="390" customWidth="1"/>
    <col min="9173" max="9173" width="14.44140625" style="390" customWidth="1"/>
    <col min="9174" max="9174" width="23.109375" style="390" customWidth="1"/>
    <col min="9175" max="9175" width="13.109375" style="390" customWidth="1"/>
    <col min="9176" max="9179" width="0" style="390" hidden="1"/>
    <col min="9180" max="9415" width="10.33203125" style="390" customWidth="1"/>
    <col min="9416" max="9416" width="7" style="390" customWidth="1"/>
    <col min="9417" max="9417" width="13" style="390" customWidth="1"/>
    <col min="9418" max="9418" width="14.109375" style="390" customWidth="1"/>
    <col min="9419" max="9419" width="17.33203125" style="390" customWidth="1"/>
    <col min="9420" max="9420" width="18.88671875" style="390" customWidth="1"/>
    <col min="9421" max="9421" width="14.109375" style="390" customWidth="1"/>
    <col min="9422" max="9422" width="21.5546875" style="390" customWidth="1"/>
    <col min="9423" max="9424" width="14.109375" style="390" customWidth="1"/>
    <col min="9425" max="9425" width="15" style="390" customWidth="1"/>
    <col min="9426" max="9426" width="13.33203125" style="390" customWidth="1"/>
    <col min="9427" max="9427" width="17" style="390" customWidth="1"/>
    <col min="9428" max="9428" width="24.88671875" style="390" customWidth="1"/>
    <col min="9429" max="9429" width="14.44140625" style="390" customWidth="1"/>
    <col min="9430" max="9430" width="23.109375" style="390" customWidth="1"/>
    <col min="9431" max="9431" width="13.109375" style="390" customWidth="1"/>
    <col min="9432" max="9435" width="0" style="390" hidden="1"/>
    <col min="9436" max="9671" width="10.33203125" style="390" customWidth="1"/>
    <col min="9672" max="9672" width="7" style="390" customWidth="1"/>
    <col min="9673" max="9673" width="13" style="390" customWidth="1"/>
    <col min="9674" max="9674" width="14.109375" style="390" customWidth="1"/>
    <col min="9675" max="9675" width="17.33203125" style="390" customWidth="1"/>
    <col min="9676" max="9676" width="18.88671875" style="390" customWidth="1"/>
    <col min="9677" max="9677" width="14.109375" style="390" customWidth="1"/>
    <col min="9678" max="9678" width="21.5546875" style="390" customWidth="1"/>
    <col min="9679" max="9680" width="14.109375" style="390" customWidth="1"/>
    <col min="9681" max="9681" width="15" style="390" customWidth="1"/>
    <col min="9682" max="9682" width="13.33203125" style="390" customWidth="1"/>
    <col min="9683" max="9683" width="17" style="390" customWidth="1"/>
    <col min="9684" max="9684" width="24.88671875" style="390" customWidth="1"/>
    <col min="9685" max="9685" width="14.44140625" style="390" customWidth="1"/>
    <col min="9686" max="9686" width="23.109375" style="390" customWidth="1"/>
    <col min="9687" max="9687" width="13.109375" style="390" customWidth="1"/>
    <col min="9688" max="9691" width="0" style="390" hidden="1"/>
    <col min="9692" max="9927" width="10.33203125" style="390" customWidth="1"/>
    <col min="9928" max="9928" width="7" style="390" customWidth="1"/>
    <col min="9929" max="9929" width="13" style="390" customWidth="1"/>
    <col min="9930" max="9930" width="14.109375" style="390" customWidth="1"/>
    <col min="9931" max="9931" width="17.33203125" style="390" customWidth="1"/>
    <col min="9932" max="9932" width="18.88671875" style="390" customWidth="1"/>
    <col min="9933" max="9933" width="14.109375" style="390" customWidth="1"/>
    <col min="9934" max="9934" width="21.5546875" style="390" customWidth="1"/>
    <col min="9935" max="9936" width="14.109375" style="390" customWidth="1"/>
    <col min="9937" max="9937" width="15" style="390" customWidth="1"/>
    <col min="9938" max="9938" width="13.33203125" style="390" customWidth="1"/>
    <col min="9939" max="9939" width="17" style="390" customWidth="1"/>
    <col min="9940" max="9940" width="24.88671875" style="390" customWidth="1"/>
    <col min="9941" max="9941" width="14.44140625" style="390" customWidth="1"/>
    <col min="9942" max="9942" width="23.109375" style="390" customWidth="1"/>
    <col min="9943" max="9943" width="13.109375" style="390" customWidth="1"/>
    <col min="9944" max="9947" width="0" style="390" hidden="1"/>
    <col min="9948" max="10183" width="10.33203125" style="390" customWidth="1"/>
    <col min="10184" max="10184" width="7" style="390" customWidth="1"/>
    <col min="10185" max="10185" width="13" style="390" customWidth="1"/>
    <col min="10186" max="10186" width="14.109375" style="390" customWidth="1"/>
    <col min="10187" max="10187" width="17.33203125" style="390" customWidth="1"/>
    <col min="10188" max="10188" width="18.88671875" style="390" customWidth="1"/>
    <col min="10189" max="10189" width="14.109375" style="390" customWidth="1"/>
    <col min="10190" max="10190" width="21.5546875" style="390" customWidth="1"/>
    <col min="10191" max="10192" width="14.109375" style="390" customWidth="1"/>
    <col min="10193" max="10193" width="15" style="390" customWidth="1"/>
    <col min="10194" max="10194" width="13.33203125" style="390" customWidth="1"/>
    <col min="10195" max="10195" width="17" style="390" customWidth="1"/>
    <col min="10196" max="10196" width="24.88671875" style="390" customWidth="1"/>
    <col min="10197" max="10197" width="14.44140625" style="390" customWidth="1"/>
    <col min="10198" max="10198" width="23.109375" style="390" customWidth="1"/>
    <col min="10199" max="10199" width="13.109375" style="390" customWidth="1"/>
    <col min="10200" max="10203" width="0" style="390" hidden="1"/>
    <col min="10204" max="10439" width="10.33203125" style="390" customWidth="1"/>
    <col min="10440" max="10440" width="7" style="390" customWidth="1"/>
    <col min="10441" max="10441" width="13" style="390" customWidth="1"/>
    <col min="10442" max="10442" width="14.109375" style="390" customWidth="1"/>
    <col min="10443" max="10443" width="17.33203125" style="390" customWidth="1"/>
    <col min="10444" max="10444" width="18.88671875" style="390" customWidth="1"/>
    <col min="10445" max="10445" width="14.109375" style="390" customWidth="1"/>
    <col min="10446" max="10446" width="21.5546875" style="390" customWidth="1"/>
    <col min="10447" max="10448" width="14.109375" style="390" customWidth="1"/>
    <col min="10449" max="10449" width="15" style="390" customWidth="1"/>
    <col min="10450" max="10450" width="13.33203125" style="390" customWidth="1"/>
    <col min="10451" max="10451" width="17" style="390" customWidth="1"/>
    <col min="10452" max="10452" width="24.88671875" style="390" customWidth="1"/>
    <col min="10453" max="10453" width="14.44140625" style="390" customWidth="1"/>
    <col min="10454" max="10454" width="23.109375" style="390" customWidth="1"/>
    <col min="10455" max="10455" width="13.109375" style="390" customWidth="1"/>
    <col min="10456" max="10459" width="0" style="390" hidden="1"/>
    <col min="10460" max="10695" width="10.33203125" style="390" customWidth="1"/>
    <col min="10696" max="10696" width="7" style="390" customWidth="1"/>
    <col min="10697" max="10697" width="13" style="390" customWidth="1"/>
    <col min="10698" max="10698" width="14.109375" style="390" customWidth="1"/>
    <col min="10699" max="10699" width="17.33203125" style="390" customWidth="1"/>
    <col min="10700" max="10700" width="18.88671875" style="390" customWidth="1"/>
    <col min="10701" max="10701" width="14.109375" style="390" customWidth="1"/>
    <col min="10702" max="10702" width="21.5546875" style="390" customWidth="1"/>
    <col min="10703" max="10704" width="14.109375" style="390" customWidth="1"/>
    <col min="10705" max="10705" width="15" style="390" customWidth="1"/>
    <col min="10706" max="10706" width="13.33203125" style="390" customWidth="1"/>
    <col min="10707" max="10707" width="17" style="390" customWidth="1"/>
    <col min="10708" max="10708" width="24.88671875" style="390" customWidth="1"/>
    <col min="10709" max="10709" width="14.44140625" style="390" customWidth="1"/>
    <col min="10710" max="10710" width="23.109375" style="390" customWidth="1"/>
    <col min="10711" max="10711" width="13.109375" style="390" customWidth="1"/>
    <col min="10712" max="10715" width="0" style="390" hidden="1"/>
    <col min="10716" max="10951" width="10.33203125" style="390" customWidth="1"/>
    <col min="10952" max="10952" width="7" style="390" customWidth="1"/>
    <col min="10953" max="10953" width="13" style="390" customWidth="1"/>
    <col min="10954" max="10954" width="14.109375" style="390" customWidth="1"/>
    <col min="10955" max="10955" width="17.33203125" style="390" customWidth="1"/>
    <col min="10956" max="10956" width="18.88671875" style="390" customWidth="1"/>
    <col min="10957" max="10957" width="14.109375" style="390" customWidth="1"/>
    <col min="10958" max="10958" width="21.5546875" style="390" customWidth="1"/>
    <col min="10959" max="10960" width="14.109375" style="390" customWidth="1"/>
    <col min="10961" max="10961" width="15" style="390" customWidth="1"/>
    <col min="10962" max="10962" width="13.33203125" style="390" customWidth="1"/>
    <col min="10963" max="10963" width="17" style="390" customWidth="1"/>
    <col min="10964" max="10964" width="24.88671875" style="390" customWidth="1"/>
    <col min="10965" max="10965" width="14.44140625" style="390" customWidth="1"/>
    <col min="10966" max="10966" width="23.109375" style="390" customWidth="1"/>
    <col min="10967" max="10967" width="13.109375" style="390" customWidth="1"/>
    <col min="10968" max="10971" width="0" style="390" hidden="1"/>
    <col min="10972" max="11207" width="10.33203125" style="390" customWidth="1"/>
    <col min="11208" max="11208" width="7" style="390" customWidth="1"/>
    <col min="11209" max="11209" width="13" style="390" customWidth="1"/>
    <col min="11210" max="11210" width="14.109375" style="390" customWidth="1"/>
    <col min="11211" max="11211" width="17.33203125" style="390" customWidth="1"/>
    <col min="11212" max="11212" width="18.88671875" style="390" customWidth="1"/>
    <col min="11213" max="11213" width="14.109375" style="390" customWidth="1"/>
    <col min="11214" max="11214" width="21.5546875" style="390" customWidth="1"/>
    <col min="11215" max="11216" width="14.109375" style="390" customWidth="1"/>
    <col min="11217" max="11217" width="15" style="390" customWidth="1"/>
    <col min="11218" max="11218" width="13.33203125" style="390" customWidth="1"/>
    <col min="11219" max="11219" width="17" style="390" customWidth="1"/>
    <col min="11220" max="11220" width="24.88671875" style="390" customWidth="1"/>
    <col min="11221" max="11221" width="14.44140625" style="390" customWidth="1"/>
    <col min="11222" max="11222" width="23.109375" style="390" customWidth="1"/>
    <col min="11223" max="11223" width="13.109375" style="390" customWidth="1"/>
    <col min="11224" max="11227" width="0" style="390" hidden="1"/>
    <col min="11228" max="11463" width="10.33203125" style="390" customWidth="1"/>
    <col min="11464" max="11464" width="7" style="390" customWidth="1"/>
    <col min="11465" max="11465" width="13" style="390" customWidth="1"/>
    <col min="11466" max="11466" width="14.109375" style="390" customWidth="1"/>
    <col min="11467" max="11467" width="17.33203125" style="390" customWidth="1"/>
    <col min="11468" max="11468" width="18.88671875" style="390" customWidth="1"/>
    <col min="11469" max="11469" width="14.109375" style="390" customWidth="1"/>
    <col min="11470" max="11470" width="21.5546875" style="390" customWidth="1"/>
    <col min="11471" max="11472" width="14.109375" style="390" customWidth="1"/>
    <col min="11473" max="11473" width="15" style="390" customWidth="1"/>
    <col min="11474" max="11474" width="13.33203125" style="390" customWidth="1"/>
    <col min="11475" max="11475" width="17" style="390" customWidth="1"/>
    <col min="11476" max="11476" width="24.88671875" style="390" customWidth="1"/>
    <col min="11477" max="11477" width="14.44140625" style="390" customWidth="1"/>
    <col min="11478" max="11478" width="23.109375" style="390" customWidth="1"/>
    <col min="11479" max="11479" width="13.109375" style="390" customWidth="1"/>
    <col min="11480" max="11483" width="0" style="390" hidden="1"/>
    <col min="11484" max="11719" width="10.33203125" style="390" customWidth="1"/>
    <col min="11720" max="11720" width="7" style="390" customWidth="1"/>
    <col min="11721" max="11721" width="13" style="390" customWidth="1"/>
    <col min="11722" max="11722" width="14.109375" style="390" customWidth="1"/>
    <col min="11723" max="11723" width="17.33203125" style="390" customWidth="1"/>
    <col min="11724" max="11724" width="18.88671875" style="390" customWidth="1"/>
    <col min="11725" max="11725" width="14.109375" style="390" customWidth="1"/>
    <col min="11726" max="11726" width="21.5546875" style="390" customWidth="1"/>
    <col min="11727" max="11728" width="14.109375" style="390" customWidth="1"/>
    <col min="11729" max="11729" width="15" style="390" customWidth="1"/>
    <col min="11730" max="11730" width="13.33203125" style="390" customWidth="1"/>
    <col min="11731" max="11731" width="17" style="390" customWidth="1"/>
    <col min="11732" max="11732" width="24.88671875" style="390" customWidth="1"/>
    <col min="11733" max="11733" width="14.44140625" style="390" customWidth="1"/>
    <col min="11734" max="11734" width="23.109375" style="390" customWidth="1"/>
    <col min="11735" max="11735" width="13.109375" style="390" customWidth="1"/>
    <col min="11736" max="11739" width="0" style="390" hidden="1"/>
    <col min="11740" max="11975" width="10.33203125" style="390" customWidth="1"/>
    <col min="11976" max="11976" width="7" style="390" customWidth="1"/>
    <col min="11977" max="11977" width="13" style="390" customWidth="1"/>
    <col min="11978" max="11978" width="14.109375" style="390" customWidth="1"/>
    <col min="11979" max="11979" width="17.33203125" style="390" customWidth="1"/>
    <col min="11980" max="11980" width="18.88671875" style="390" customWidth="1"/>
    <col min="11981" max="11981" width="14.109375" style="390" customWidth="1"/>
    <col min="11982" max="11982" width="21.5546875" style="390" customWidth="1"/>
    <col min="11983" max="11984" width="14.109375" style="390" customWidth="1"/>
    <col min="11985" max="11985" width="15" style="390" customWidth="1"/>
    <col min="11986" max="11986" width="13.33203125" style="390" customWidth="1"/>
    <col min="11987" max="11987" width="17" style="390" customWidth="1"/>
    <col min="11988" max="11988" width="24.88671875" style="390" customWidth="1"/>
    <col min="11989" max="11989" width="14.44140625" style="390" customWidth="1"/>
    <col min="11990" max="11990" width="23.109375" style="390" customWidth="1"/>
    <col min="11991" max="11991" width="13.109375" style="390" customWidth="1"/>
    <col min="11992" max="11995" width="0" style="390" hidden="1"/>
    <col min="11996" max="12231" width="10.33203125" style="390" customWidth="1"/>
    <col min="12232" max="12232" width="7" style="390" customWidth="1"/>
    <col min="12233" max="12233" width="13" style="390" customWidth="1"/>
    <col min="12234" max="12234" width="14.109375" style="390" customWidth="1"/>
    <col min="12235" max="12235" width="17.33203125" style="390" customWidth="1"/>
    <col min="12236" max="12236" width="18.88671875" style="390" customWidth="1"/>
    <col min="12237" max="12237" width="14.109375" style="390" customWidth="1"/>
    <col min="12238" max="12238" width="21.5546875" style="390" customWidth="1"/>
    <col min="12239" max="12240" width="14.109375" style="390" customWidth="1"/>
    <col min="12241" max="12241" width="15" style="390" customWidth="1"/>
    <col min="12242" max="12242" width="13.33203125" style="390" customWidth="1"/>
    <col min="12243" max="12243" width="17" style="390" customWidth="1"/>
    <col min="12244" max="12244" width="24.88671875" style="390" customWidth="1"/>
    <col min="12245" max="12245" width="14.44140625" style="390" customWidth="1"/>
    <col min="12246" max="12246" width="23.109375" style="390" customWidth="1"/>
    <col min="12247" max="12247" width="13.109375" style="390" customWidth="1"/>
    <col min="12248" max="12251" width="0" style="390" hidden="1"/>
    <col min="12252" max="12487" width="10.33203125" style="390" customWidth="1"/>
    <col min="12488" max="12488" width="7" style="390" customWidth="1"/>
    <col min="12489" max="12489" width="13" style="390" customWidth="1"/>
    <col min="12490" max="12490" width="14.109375" style="390" customWidth="1"/>
    <col min="12491" max="12491" width="17.33203125" style="390" customWidth="1"/>
    <col min="12492" max="12492" width="18.88671875" style="390" customWidth="1"/>
    <col min="12493" max="12493" width="14.109375" style="390" customWidth="1"/>
    <col min="12494" max="12494" width="21.5546875" style="390" customWidth="1"/>
    <col min="12495" max="12496" width="14.109375" style="390" customWidth="1"/>
    <col min="12497" max="12497" width="15" style="390" customWidth="1"/>
    <col min="12498" max="12498" width="13.33203125" style="390" customWidth="1"/>
    <col min="12499" max="12499" width="17" style="390" customWidth="1"/>
    <col min="12500" max="12500" width="24.88671875" style="390" customWidth="1"/>
    <col min="12501" max="12501" width="14.44140625" style="390" customWidth="1"/>
    <col min="12502" max="12502" width="23.109375" style="390" customWidth="1"/>
    <col min="12503" max="12503" width="13.109375" style="390" customWidth="1"/>
    <col min="12504" max="12507" width="0" style="390" hidden="1"/>
    <col min="12508" max="12743" width="10.33203125" style="390" customWidth="1"/>
    <col min="12744" max="12744" width="7" style="390" customWidth="1"/>
    <col min="12745" max="12745" width="13" style="390" customWidth="1"/>
    <col min="12746" max="12746" width="14.109375" style="390" customWidth="1"/>
    <col min="12747" max="12747" width="17.33203125" style="390" customWidth="1"/>
    <col min="12748" max="12748" width="18.88671875" style="390" customWidth="1"/>
    <col min="12749" max="12749" width="14.109375" style="390" customWidth="1"/>
    <col min="12750" max="12750" width="21.5546875" style="390" customWidth="1"/>
    <col min="12751" max="12752" width="14.109375" style="390" customWidth="1"/>
    <col min="12753" max="12753" width="15" style="390" customWidth="1"/>
    <col min="12754" max="12754" width="13.33203125" style="390" customWidth="1"/>
    <col min="12755" max="12755" width="17" style="390" customWidth="1"/>
    <col min="12756" max="12756" width="24.88671875" style="390" customWidth="1"/>
    <col min="12757" max="12757" width="14.44140625" style="390" customWidth="1"/>
    <col min="12758" max="12758" width="23.109375" style="390" customWidth="1"/>
    <col min="12759" max="12759" width="13.109375" style="390" customWidth="1"/>
    <col min="12760" max="12763" width="0" style="390" hidden="1"/>
    <col min="12764" max="12999" width="10.33203125" style="390" customWidth="1"/>
    <col min="13000" max="13000" width="7" style="390" customWidth="1"/>
    <col min="13001" max="13001" width="13" style="390" customWidth="1"/>
    <col min="13002" max="13002" width="14.109375" style="390" customWidth="1"/>
    <col min="13003" max="13003" width="17.33203125" style="390" customWidth="1"/>
    <col min="13004" max="13004" width="18.88671875" style="390" customWidth="1"/>
    <col min="13005" max="13005" width="14.109375" style="390" customWidth="1"/>
    <col min="13006" max="13006" width="21.5546875" style="390" customWidth="1"/>
    <col min="13007" max="13008" width="14.109375" style="390" customWidth="1"/>
    <col min="13009" max="13009" width="15" style="390" customWidth="1"/>
    <col min="13010" max="13010" width="13.33203125" style="390" customWidth="1"/>
    <col min="13011" max="13011" width="17" style="390" customWidth="1"/>
    <col min="13012" max="13012" width="24.88671875" style="390" customWidth="1"/>
    <col min="13013" max="13013" width="14.44140625" style="390" customWidth="1"/>
    <col min="13014" max="13014" width="23.109375" style="390" customWidth="1"/>
    <col min="13015" max="13015" width="13.109375" style="390" customWidth="1"/>
    <col min="13016" max="13019" width="0" style="390" hidden="1"/>
    <col min="13020" max="13255" width="10.33203125" style="390" customWidth="1"/>
    <col min="13256" max="13256" width="7" style="390" customWidth="1"/>
    <col min="13257" max="13257" width="13" style="390" customWidth="1"/>
    <col min="13258" max="13258" width="14.109375" style="390" customWidth="1"/>
    <col min="13259" max="13259" width="17.33203125" style="390" customWidth="1"/>
    <col min="13260" max="13260" width="18.88671875" style="390" customWidth="1"/>
    <col min="13261" max="13261" width="14.109375" style="390" customWidth="1"/>
    <col min="13262" max="13262" width="21.5546875" style="390" customWidth="1"/>
    <col min="13263" max="13264" width="14.109375" style="390" customWidth="1"/>
    <col min="13265" max="13265" width="15" style="390" customWidth="1"/>
    <col min="13266" max="13266" width="13.33203125" style="390" customWidth="1"/>
    <col min="13267" max="13267" width="17" style="390" customWidth="1"/>
    <col min="13268" max="13268" width="24.88671875" style="390" customWidth="1"/>
    <col min="13269" max="13269" width="14.44140625" style="390" customWidth="1"/>
    <col min="13270" max="13270" width="23.109375" style="390" customWidth="1"/>
    <col min="13271" max="13271" width="13.109375" style="390" customWidth="1"/>
    <col min="13272" max="13275" width="0" style="390" hidden="1"/>
    <col min="13276" max="13511" width="10.33203125" style="390" customWidth="1"/>
    <col min="13512" max="13512" width="7" style="390" customWidth="1"/>
    <col min="13513" max="13513" width="13" style="390" customWidth="1"/>
    <col min="13514" max="13514" width="14.109375" style="390" customWidth="1"/>
    <col min="13515" max="13515" width="17.33203125" style="390" customWidth="1"/>
    <col min="13516" max="13516" width="18.88671875" style="390" customWidth="1"/>
    <col min="13517" max="13517" width="14.109375" style="390" customWidth="1"/>
    <col min="13518" max="13518" width="21.5546875" style="390" customWidth="1"/>
    <col min="13519" max="13520" width="14.109375" style="390" customWidth="1"/>
    <col min="13521" max="13521" width="15" style="390" customWidth="1"/>
    <col min="13522" max="13522" width="13.33203125" style="390" customWidth="1"/>
    <col min="13523" max="13523" width="17" style="390" customWidth="1"/>
    <col min="13524" max="13524" width="24.88671875" style="390" customWidth="1"/>
    <col min="13525" max="13525" width="14.44140625" style="390" customWidth="1"/>
    <col min="13526" max="13526" width="23.109375" style="390" customWidth="1"/>
    <col min="13527" max="13527" width="13.109375" style="390" customWidth="1"/>
    <col min="13528" max="13531" width="0" style="390" hidden="1"/>
    <col min="13532" max="13767" width="10.33203125" style="390" customWidth="1"/>
    <col min="13768" max="13768" width="7" style="390" customWidth="1"/>
    <col min="13769" max="13769" width="13" style="390" customWidth="1"/>
    <col min="13770" max="13770" width="14.109375" style="390" customWidth="1"/>
    <col min="13771" max="13771" width="17.33203125" style="390" customWidth="1"/>
    <col min="13772" max="13772" width="18.88671875" style="390" customWidth="1"/>
    <col min="13773" max="13773" width="14.109375" style="390" customWidth="1"/>
    <col min="13774" max="13774" width="21.5546875" style="390" customWidth="1"/>
    <col min="13775" max="13776" width="14.109375" style="390" customWidth="1"/>
    <col min="13777" max="13777" width="15" style="390" customWidth="1"/>
    <col min="13778" max="13778" width="13.33203125" style="390" customWidth="1"/>
    <col min="13779" max="13779" width="17" style="390" customWidth="1"/>
    <col min="13780" max="13780" width="24.88671875" style="390" customWidth="1"/>
    <col min="13781" max="13781" width="14.44140625" style="390" customWidth="1"/>
    <col min="13782" max="13782" width="23.109375" style="390" customWidth="1"/>
    <col min="13783" max="13783" width="13.109375" style="390" customWidth="1"/>
    <col min="13784" max="13787" width="0" style="390" hidden="1"/>
    <col min="13788" max="14023" width="10.33203125" style="390" customWidth="1"/>
    <col min="14024" max="14024" width="7" style="390" customWidth="1"/>
    <col min="14025" max="14025" width="13" style="390" customWidth="1"/>
    <col min="14026" max="14026" width="14.109375" style="390" customWidth="1"/>
    <col min="14027" max="14027" width="17.33203125" style="390" customWidth="1"/>
    <col min="14028" max="14028" width="18.88671875" style="390" customWidth="1"/>
    <col min="14029" max="14029" width="14.109375" style="390" customWidth="1"/>
    <col min="14030" max="14030" width="21.5546875" style="390" customWidth="1"/>
    <col min="14031" max="14032" width="14.109375" style="390" customWidth="1"/>
    <col min="14033" max="14033" width="15" style="390" customWidth="1"/>
    <col min="14034" max="14034" width="13.33203125" style="390" customWidth="1"/>
    <col min="14035" max="14035" width="17" style="390" customWidth="1"/>
    <col min="14036" max="14036" width="24.88671875" style="390" customWidth="1"/>
    <col min="14037" max="14037" width="14.44140625" style="390" customWidth="1"/>
    <col min="14038" max="14038" width="23.109375" style="390" customWidth="1"/>
    <col min="14039" max="14039" width="13.109375" style="390" customWidth="1"/>
    <col min="14040" max="14043" width="0" style="390" hidden="1"/>
    <col min="14044" max="14279" width="10.33203125" style="390" customWidth="1"/>
    <col min="14280" max="14280" width="7" style="390" customWidth="1"/>
    <col min="14281" max="14281" width="13" style="390" customWidth="1"/>
    <col min="14282" max="14282" width="14.109375" style="390" customWidth="1"/>
    <col min="14283" max="14283" width="17.33203125" style="390" customWidth="1"/>
    <col min="14284" max="14284" width="18.88671875" style="390" customWidth="1"/>
    <col min="14285" max="14285" width="14.109375" style="390" customWidth="1"/>
    <col min="14286" max="14286" width="21.5546875" style="390" customWidth="1"/>
    <col min="14287" max="14288" width="14.109375" style="390" customWidth="1"/>
    <col min="14289" max="14289" width="15" style="390" customWidth="1"/>
    <col min="14290" max="14290" width="13.33203125" style="390" customWidth="1"/>
    <col min="14291" max="14291" width="17" style="390" customWidth="1"/>
    <col min="14292" max="14292" width="24.88671875" style="390" customWidth="1"/>
    <col min="14293" max="14293" width="14.44140625" style="390" customWidth="1"/>
    <col min="14294" max="14294" width="23.109375" style="390" customWidth="1"/>
    <col min="14295" max="14295" width="13.109375" style="390" customWidth="1"/>
    <col min="14296" max="14299" width="0" style="390" hidden="1"/>
    <col min="14300" max="14535" width="10.33203125" style="390" customWidth="1"/>
    <col min="14536" max="14536" width="7" style="390" customWidth="1"/>
    <col min="14537" max="14537" width="13" style="390" customWidth="1"/>
    <col min="14538" max="14538" width="14.109375" style="390" customWidth="1"/>
    <col min="14539" max="14539" width="17.33203125" style="390" customWidth="1"/>
    <col min="14540" max="14540" width="18.88671875" style="390" customWidth="1"/>
    <col min="14541" max="14541" width="14.109375" style="390" customWidth="1"/>
    <col min="14542" max="14542" width="21.5546875" style="390" customWidth="1"/>
    <col min="14543" max="14544" width="14.109375" style="390" customWidth="1"/>
    <col min="14545" max="14545" width="15" style="390" customWidth="1"/>
    <col min="14546" max="14546" width="13.33203125" style="390" customWidth="1"/>
    <col min="14547" max="14547" width="17" style="390" customWidth="1"/>
    <col min="14548" max="14548" width="24.88671875" style="390" customWidth="1"/>
    <col min="14549" max="14549" width="14.44140625" style="390" customWidth="1"/>
    <col min="14550" max="14550" width="23.109375" style="390" customWidth="1"/>
    <col min="14551" max="14551" width="13.109375" style="390" customWidth="1"/>
    <col min="14552" max="14555" width="0" style="390" hidden="1"/>
    <col min="14556" max="14791" width="10.33203125" style="390" customWidth="1"/>
    <col min="14792" max="14792" width="7" style="390" customWidth="1"/>
    <col min="14793" max="14793" width="13" style="390" customWidth="1"/>
    <col min="14794" max="14794" width="14.109375" style="390" customWidth="1"/>
    <col min="14795" max="14795" width="17.33203125" style="390" customWidth="1"/>
    <col min="14796" max="14796" width="18.88671875" style="390" customWidth="1"/>
    <col min="14797" max="14797" width="14.109375" style="390" customWidth="1"/>
    <col min="14798" max="14798" width="21.5546875" style="390" customWidth="1"/>
    <col min="14799" max="14800" width="14.109375" style="390" customWidth="1"/>
    <col min="14801" max="14801" width="15" style="390" customWidth="1"/>
    <col min="14802" max="14802" width="13.33203125" style="390" customWidth="1"/>
    <col min="14803" max="14803" width="17" style="390" customWidth="1"/>
    <col min="14804" max="14804" width="24.88671875" style="390" customWidth="1"/>
    <col min="14805" max="14805" width="14.44140625" style="390" customWidth="1"/>
    <col min="14806" max="14806" width="23.109375" style="390" customWidth="1"/>
    <col min="14807" max="14807" width="13.109375" style="390" customWidth="1"/>
    <col min="14808" max="14811" width="0" style="390" hidden="1"/>
    <col min="14812" max="15047" width="10.33203125" style="390" customWidth="1"/>
    <col min="15048" max="15048" width="7" style="390" customWidth="1"/>
    <col min="15049" max="15049" width="13" style="390" customWidth="1"/>
    <col min="15050" max="15050" width="14.109375" style="390" customWidth="1"/>
    <col min="15051" max="15051" width="17.33203125" style="390" customWidth="1"/>
    <col min="15052" max="15052" width="18.88671875" style="390" customWidth="1"/>
    <col min="15053" max="15053" width="14.109375" style="390" customWidth="1"/>
    <col min="15054" max="15054" width="21.5546875" style="390" customWidth="1"/>
    <col min="15055" max="15056" width="14.109375" style="390" customWidth="1"/>
    <col min="15057" max="15057" width="15" style="390" customWidth="1"/>
    <col min="15058" max="15058" width="13.33203125" style="390" customWidth="1"/>
    <col min="15059" max="15059" width="17" style="390" customWidth="1"/>
    <col min="15060" max="15060" width="24.88671875" style="390" customWidth="1"/>
    <col min="15061" max="15061" width="14.44140625" style="390" customWidth="1"/>
    <col min="15062" max="15062" width="23.109375" style="390" customWidth="1"/>
    <col min="15063" max="15063" width="13.109375" style="390" customWidth="1"/>
    <col min="15064" max="15067" width="0" style="390" hidden="1"/>
    <col min="15068" max="15303" width="10.33203125" style="390" customWidth="1"/>
    <col min="15304" max="15304" width="7" style="390" customWidth="1"/>
    <col min="15305" max="15305" width="13" style="390" customWidth="1"/>
    <col min="15306" max="15306" width="14.109375" style="390" customWidth="1"/>
    <col min="15307" max="15307" width="17.33203125" style="390" customWidth="1"/>
    <col min="15308" max="15308" width="18.88671875" style="390" customWidth="1"/>
    <col min="15309" max="15309" width="14.109375" style="390" customWidth="1"/>
    <col min="15310" max="15310" width="21.5546875" style="390" customWidth="1"/>
    <col min="15311" max="15312" width="14.109375" style="390" customWidth="1"/>
    <col min="15313" max="15313" width="15" style="390" customWidth="1"/>
    <col min="15314" max="15314" width="13.33203125" style="390" customWidth="1"/>
    <col min="15315" max="15315" width="17" style="390" customWidth="1"/>
    <col min="15316" max="15316" width="24.88671875" style="390" customWidth="1"/>
    <col min="15317" max="15317" width="14.44140625" style="390" customWidth="1"/>
    <col min="15318" max="15318" width="23.109375" style="390" customWidth="1"/>
    <col min="15319" max="15319" width="13.109375" style="390" customWidth="1"/>
    <col min="15320" max="15323" width="0" style="390" hidden="1"/>
    <col min="15324" max="15559" width="10.33203125" style="390" customWidth="1"/>
    <col min="15560" max="15560" width="7" style="390" customWidth="1"/>
    <col min="15561" max="15561" width="13" style="390" customWidth="1"/>
    <col min="15562" max="15562" width="14.109375" style="390" customWidth="1"/>
    <col min="15563" max="15563" width="17.33203125" style="390" customWidth="1"/>
    <col min="15564" max="15564" width="18.88671875" style="390" customWidth="1"/>
    <col min="15565" max="15565" width="14.109375" style="390" customWidth="1"/>
    <col min="15566" max="15566" width="21.5546875" style="390" customWidth="1"/>
    <col min="15567" max="15568" width="14.109375" style="390" customWidth="1"/>
    <col min="15569" max="15569" width="15" style="390" customWidth="1"/>
    <col min="15570" max="15570" width="13.33203125" style="390" customWidth="1"/>
    <col min="15571" max="15571" width="17" style="390" customWidth="1"/>
    <col min="15572" max="15572" width="24.88671875" style="390" customWidth="1"/>
    <col min="15573" max="15573" width="14.44140625" style="390" customWidth="1"/>
    <col min="15574" max="15574" width="23.109375" style="390" customWidth="1"/>
    <col min="15575" max="15575" width="13.109375" style="390" customWidth="1"/>
    <col min="15576" max="15579" width="0" style="390" hidden="1"/>
    <col min="15580" max="15815" width="10.33203125" style="390" customWidth="1"/>
    <col min="15816" max="15816" width="7" style="390" customWidth="1"/>
    <col min="15817" max="15817" width="13" style="390" customWidth="1"/>
    <col min="15818" max="15818" width="14.109375" style="390" customWidth="1"/>
    <col min="15819" max="15819" width="17.33203125" style="390" customWidth="1"/>
    <col min="15820" max="15820" width="18.88671875" style="390" customWidth="1"/>
    <col min="15821" max="15821" width="14.109375" style="390" customWidth="1"/>
    <col min="15822" max="15822" width="21.5546875" style="390" customWidth="1"/>
    <col min="15823" max="15824" width="14.109375" style="390" customWidth="1"/>
    <col min="15825" max="15825" width="15" style="390" customWidth="1"/>
    <col min="15826" max="15826" width="13.33203125" style="390" customWidth="1"/>
    <col min="15827" max="15827" width="17" style="390" customWidth="1"/>
    <col min="15828" max="15828" width="24.88671875" style="390" customWidth="1"/>
    <col min="15829" max="15829" width="14.44140625" style="390" customWidth="1"/>
    <col min="15830" max="15830" width="23.109375" style="390" customWidth="1"/>
    <col min="15831" max="15831" width="13.109375" style="390" customWidth="1"/>
    <col min="15832" max="15835" width="0" style="390" hidden="1"/>
    <col min="15836" max="16071" width="10.33203125" style="390" customWidth="1"/>
    <col min="16072" max="16072" width="7" style="390" customWidth="1"/>
    <col min="16073" max="16073" width="13" style="390" customWidth="1"/>
    <col min="16074" max="16074" width="14.109375" style="390" customWidth="1"/>
    <col min="16075" max="16075" width="17.33203125" style="390" customWidth="1"/>
    <col min="16076" max="16076" width="18.88671875" style="390" customWidth="1"/>
    <col min="16077" max="16077" width="14.109375" style="390" customWidth="1"/>
    <col min="16078" max="16078" width="21.5546875" style="390" customWidth="1"/>
    <col min="16079" max="16080" width="14.109375" style="390" customWidth="1"/>
    <col min="16081" max="16081" width="15" style="390" customWidth="1"/>
    <col min="16082" max="16082" width="13.33203125" style="390" customWidth="1"/>
    <col min="16083" max="16083" width="17" style="390" customWidth="1"/>
    <col min="16084" max="16084" width="24.88671875" style="390" customWidth="1"/>
    <col min="16085" max="16085" width="14.44140625" style="390" customWidth="1"/>
    <col min="16086" max="16086" width="23.109375" style="390" customWidth="1"/>
    <col min="16087" max="16087" width="13.109375" style="390" customWidth="1"/>
    <col min="16088" max="16091" width="0" style="390" hidden="1"/>
    <col min="16092" max="16384" width="10.33203125" style="390" customWidth="1"/>
  </cols>
  <sheetData>
    <row r="1" spans="1:37" ht="15" customHeight="1">
      <c r="B1" s="275"/>
      <c r="T1" s="143"/>
      <c r="U1" s="143"/>
      <c r="V1" s="143"/>
      <c r="W1" s="143"/>
      <c r="X1" s="144"/>
      <c r="Y1" s="144"/>
      <c r="Z1" s="144"/>
      <c r="AA1" s="229"/>
      <c r="AB1" s="144"/>
      <c r="AC1" s="144"/>
      <c r="AD1" s="144"/>
      <c r="AE1" s="145"/>
      <c r="AF1" s="144"/>
      <c r="AG1" s="144"/>
      <c r="AH1" s="393"/>
    </row>
    <row r="2" spans="1:37" s="391" customFormat="1" ht="20.25" customHeight="1">
      <c r="A2" s="789" t="s">
        <v>90</v>
      </c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521"/>
    </row>
    <row r="3" spans="1:37">
      <c r="B3" s="147"/>
      <c r="C3" s="280" t="s">
        <v>91</v>
      </c>
      <c r="D3" s="783" t="s">
        <v>92</v>
      </c>
      <c r="E3" s="784"/>
      <c r="F3" s="784"/>
      <c r="G3" s="785"/>
      <c r="H3" s="786"/>
      <c r="I3" s="786"/>
      <c r="J3" s="787"/>
      <c r="K3" s="787"/>
      <c r="L3" s="787"/>
      <c r="M3" s="788"/>
      <c r="N3" s="147"/>
      <c r="AH3" s="522"/>
    </row>
    <row r="4" spans="1:37" ht="39.6" customHeight="1">
      <c r="A4" s="155" t="s">
        <v>93</v>
      </c>
      <c r="B4" s="281" t="s">
        <v>124</v>
      </c>
      <c r="C4" s="282" t="s">
        <v>95</v>
      </c>
      <c r="D4" s="283" t="s">
        <v>96</v>
      </c>
      <c r="E4" s="282" t="s">
        <v>125</v>
      </c>
      <c r="F4" s="282" t="s">
        <v>126</v>
      </c>
      <c r="G4" s="284" t="s">
        <v>17</v>
      </c>
      <c r="H4" s="284" t="s">
        <v>74</v>
      </c>
      <c r="I4" s="284" t="s">
        <v>99</v>
      </c>
      <c r="J4" s="156" t="s">
        <v>127</v>
      </c>
      <c r="K4" s="156" t="s">
        <v>100</v>
      </c>
      <c r="L4" s="156" t="s">
        <v>128</v>
      </c>
      <c r="M4" s="166" t="s">
        <v>102</v>
      </c>
      <c r="N4" s="157" t="s">
        <v>104</v>
      </c>
      <c r="O4" s="156" t="s">
        <v>129</v>
      </c>
      <c r="P4" s="156" t="s">
        <v>108</v>
      </c>
      <c r="Q4" s="168" t="s">
        <v>130</v>
      </c>
      <c r="R4" s="168" t="s">
        <v>131</v>
      </c>
      <c r="S4" s="167" t="s">
        <v>132</v>
      </c>
      <c r="T4" s="158" t="s">
        <v>110</v>
      </c>
      <c r="U4" s="158" t="s">
        <v>111</v>
      </c>
      <c r="V4" s="158" t="s">
        <v>112</v>
      </c>
      <c r="W4" s="159" t="s">
        <v>113</v>
      </c>
      <c r="X4" s="159" t="s">
        <v>114</v>
      </c>
      <c r="Y4" s="159" t="s">
        <v>133</v>
      </c>
      <c r="Z4" s="572" t="s">
        <v>134</v>
      </c>
      <c r="AA4" s="160" t="s">
        <v>135</v>
      </c>
      <c r="AB4" s="160" t="s">
        <v>116</v>
      </c>
      <c r="AC4" s="160" t="s">
        <v>117</v>
      </c>
      <c r="AD4" s="161" t="s">
        <v>118</v>
      </c>
      <c r="AE4" s="162" t="s">
        <v>119</v>
      </c>
      <c r="AF4" s="159" t="s">
        <v>120</v>
      </c>
      <c r="AG4" s="394" t="s">
        <v>121</v>
      </c>
      <c r="AH4" s="523" t="s">
        <v>122</v>
      </c>
      <c r="AI4" s="392"/>
    </row>
    <row r="5" spans="1:37" ht="15.6" customHeight="1">
      <c r="A5" s="782" t="s">
        <v>123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5"/>
      <c r="O5" s="519"/>
      <c r="P5" s="519"/>
      <c r="Q5" s="518"/>
      <c r="R5" s="518"/>
      <c r="S5" s="463"/>
      <c r="T5" s="464"/>
      <c r="U5" s="463"/>
      <c r="V5" s="463"/>
      <c r="W5" s="463"/>
      <c r="X5" s="465"/>
      <c r="Y5" s="463"/>
      <c r="Z5" s="463"/>
      <c r="AA5" s="463"/>
      <c r="AB5" s="466"/>
      <c r="AC5" s="466"/>
      <c r="AD5" s="452"/>
      <c r="AE5" s="468"/>
      <c r="AF5" s="469"/>
      <c r="AG5" s="576"/>
      <c r="AH5" s="470"/>
      <c r="AI5" s="41"/>
      <c r="AJ5" s="41"/>
      <c r="AK5" s="141"/>
    </row>
    <row r="6" spans="1:37" s="141" customFormat="1" ht="52.8" customHeight="1">
      <c r="A6" s="477">
        <v>1</v>
      </c>
      <c r="B6" s="598"/>
      <c r="C6" s="564"/>
      <c r="D6" s="557"/>
      <c r="E6" s="417"/>
      <c r="F6" s="603"/>
      <c r="G6" s="163"/>
      <c r="H6" s="163"/>
      <c r="I6" s="163"/>
      <c r="J6" s="604"/>
      <c r="K6" s="418"/>
      <c r="L6" s="418"/>
      <c r="M6" s="419"/>
      <c r="N6" s="566"/>
      <c r="O6" s="567"/>
      <c r="P6" s="605"/>
      <c r="Q6" s="608"/>
      <c r="R6" s="516"/>
      <c r="S6" s="610"/>
      <c r="T6" s="611"/>
      <c r="U6" s="611"/>
      <c r="V6" s="611"/>
      <c r="W6" s="614"/>
      <c r="X6" s="635"/>
      <c r="Y6" s="636"/>
      <c r="Z6" s="568"/>
      <c r="AA6" s="309"/>
      <c r="AB6" s="309"/>
      <c r="AC6" s="520"/>
      <c r="AD6" s="327"/>
      <c r="AE6" s="515"/>
      <c r="AF6" s="575"/>
      <c r="AG6" s="601"/>
      <c r="AH6" s="524"/>
      <c r="AJ6" s="390"/>
    </row>
    <row r="7" spans="1:37" s="141" customFormat="1" ht="39.6" customHeight="1">
      <c r="A7" s="477">
        <f t="shared" ref="A7:A38" si="0">+A6+1</f>
        <v>2</v>
      </c>
      <c r="B7" s="599"/>
      <c r="C7" s="564"/>
      <c r="D7" s="557"/>
      <c r="E7" s="565"/>
      <c r="F7" s="603"/>
      <c r="G7" s="163"/>
      <c r="H7" s="163"/>
      <c r="I7" s="163"/>
      <c r="J7" s="604"/>
      <c r="K7" s="600"/>
      <c r="L7" s="418"/>
      <c r="M7" s="419"/>
      <c r="N7" s="566"/>
      <c r="O7" s="567"/>
      <c r="P7" s="605"/>
      <c r="Q7" s="608"/>
      <c r="R7" s="516"/>
      <c r="S7" s="610"/>
      <c r="U7" s="611"/>
      <c r="V7" s="611"/>
      <c r="W7" s="614"/>
      <c r="X7" s="635"/>
      <c r="Y7" s="636"/>
      <c r="Z7" s="569"/>
      <c r="AA7" s="309"/>
      <c r="AB7" s="309"/>
      <c r="AC7" s="520"/>
      <c r="AD7" s="327"/>
      <c r="AE7" s="602"/>
      <c r="AF7" s="575"/>
      <c r="AG7" s="601"/>
      <c r="AH7" s="524"/>
      <c r="AJ7" s="390"/>
    </row>
    <row r="8" spans="1:37" s="141" customFormat="1" ht="39.6" customHeight="1">
      <c r="A8" s="477">
        <f t="shared" si="0"/>
        <v>3</v>
      </c>
      <c r="B8" s="517"/>
      <c r="C8" s="273"/>
      <c r="D8" s="325"/>
      <c r="E8" s="417"/>
      <c r="F8" s="603"/>
      <c r="G8" s="163"/>
      <c r="H8" s="454"/>
      <c r="I8" s="454"/>
      <c r="J8" s="604"/>
      <c r="K8" s="600"/>
      <c r="L8" s="606"/>
      <c r="M8" s="419"/>
      <c r="N8" s="566"/>
      <c r="O8" s="567"/>
      <c r="P8" s="605"/>
      <c r="Q8" s="608"/>
      <c r="R8" s="516"/>
      <c r="S8" s="610"/>
      <c r="T8" s="612"/>
      <c r="U8" s="611"/>
      <c r="V8" s="613"/>
      <c r="W8" s="614"/>
      <c r="X8" s="637"/>
      <c r="Y8" s="636"/>
      <c r="Z8" s="569"/>
      <c r="AA8" s="309"/>
      <c r="AB8" s="309"/>
      <c r="AC8" s="520"/>
      <c r="AD8" s="327"/>
      <c r="AE8" s="315"/>
      <c r="AF8" s="575"/>
      <c r="AG8" s="601"/>
      <c r="AH8" s="524"/>
      <c r="AJ8" s="390"/>
    </row>
    <row r="9" spans="1:37" s="141" customFormat="1" ht="39.6" customHeight="1">
      <c r="A9" s="477">
        <f t="shared" si="0"/>
        <v>4</v>
      </c>
      <c r="B9" s="458"/>
      <c r="C9" s="273"/>
      <c r="D9" s="325"/>
      <c r="E9" s="417"/>
      <c r="F9" s="603"/>
      <c r="G9" s="163"/>
      <c r="H9" s="163"/>
      <c r="I9" s="163"/>
      <c r="J9" s="604"/>
      <c r="K9" s="606"/>
      <c r="L9" s="326"/>
      <c r="M9" s="419"/>
      <c r="N9" s="633"/>
      <c r="O9" s="567"/>
      <c r="P9" s="605"/>
      <c r="Q9" s="608"/>
      <c r="R9" s="516"/>
      <c r="S9" s="610"/>
      <c r="T9" s="612"/>
      <c r="U9" s="611"/>
      <c r="V9" s="612"/>
      <c r="W9" s="612"/>
      <c r="X9" s="612"/>
      <c r="Y9" s="636"/>
      <c r="Z9" s="570"/>
      <c r="AA9" s="309"/>
      <c r="AB9" s="309"/>
      <c r="AC9" s="520"/>
      <c r="AD9" s="327"/>
      <c r="AE9" s="615"/>
      <c r="AF9" s="575"/>
      <c r="AG9" s="601"/>
      <c r="AH9" s="524"/>
      <c r="AJ9" s="390"/>
    </row>
    <row r="10" spans="1:37" s="141" customFormat="1" ht="26.4" customHeight="1">
      <c r="A10" s="477">
        <f t="shared" si="0"/>
        <v>5</v>
      </c>
      <c r="B10" s="458"/>
      <c r="C10" s="273"/>
      <c r="D10" s="325"/>
      <c r="E10" s="417"/>
      <c r="F10" s="603"/>
      <c r="G10" s="454"/>
      <c r="H10" s="454"/>
      <c r="I10" s="454"/>
      <c r="J10" s="604"/>
      <c r="K10" s="326"/>
      <c r="L10" s="326"/>
      <c r="M10" s="305"/>
      <c r="N10" s="607"/>
      <c r="O10" s="567"/>
      <c r="P10" s="605"/>
      <c r="Q10" s="608"/>
      <c r="R10" s="516"/>
      <c r="S10" s="610"/>
      <c r="T10" s="614"/>
      <c r="U10" s="611"/>
      <c r="V10" s="614"/>
      <c r="W10" s="614"/>
      <c r="X10" s="635"/>
      <c r="Y10" s="636"/>
      <c r="Z10" s="570"/>
      <c r="AA10" s="309"/>
      <c r="AB10" s="309"/>
      <c r="AC10" s="520"/>
      <c r="AD10" s="327"/>
      <c r="AE10" s="315"/>
      <c r="AF10" s="575"/>
      <c r="AG10" s="601"/>
      <c r="AH10" s="524"/>
      <c r="AJ10" s="390"/>
    </row>
    <row r="11" spans="1:37" s="141" customFormat="1" ht="26.4" customHeight="1">
      <c r="A11" s="477">
        <f t="shared" si="0"/>
        <v>6</v>
      </c>
      <c r="B11" s="458"/>
      <c r="C11" s="273"/>
      <c r="D11" s="325"/>
      <c r="E11" s="565"/>
      <c r="F11" s="603"/>
      <c r="G11" s="454"/>
      <c r="H11" s="454"/>
      <c r="I11" s="454"/>
      <c r="J11" s="604"/>
      <c r="K11" s="326"/>
      <c r="L11" s="326"/>
      <c r="M11" s="305"/>
      <c r="N11" s="607"/>
      <c r="O11" s="567"/>
      <c r="P11" s="605"/>
      <c r="Q11" s="609"/>
      <c r="R11" s="516"/>
      <c r="S11" s="610"/>
      <c r="T11" s="613"/>
      <c r="U11" s="611"/>
      <c r="W11" s="614"/>
      <c r="X11" s="635"/>
      <c r="Y11" s="636"/>
      <c r="Z11" s="570"/>
      <c r="AA11" s="309"/>
      <c r="AB11" s="309"/>
      <c r="AC11" s="520"/>
      <c r="AD11" s="327"/>
      <c r="AE11" s="615"/>
      <c r="AF11" s="575"/>
      <c r="AG11" s="601"/>
      <c r="AH11" s="524"/>
      <c r="AJ11" s="390"/>
    </row>
    <row r="12" spans="1:37" s="141" customFormat="1" ht="39.6" customHeight="1">
      <c r="A12" s="477">
        <f t="shared" si="0"/>
        <v>7</v>
      </c>
      <c r="B12" s="512"/>
      <c r="C12" s="320"/>
      <c r="D12" s="321"/>
      <c r="E12" s="565"/>
      <c r="F12" s="631"/>
      <c r="G12" s="454"/>
      <c r="H12" s="513"/>
      <c r="I12" s="513"/>
      <c r="J12" s="632"/>
      <c r="K12" s="326"/>
      <c r="L12" s="326"/>
      <c r="M12" s="305"/>
      <c r="N12" s="607"/>
      <c r="O12" s="567"/>
      <c r="P12" s="605"/>
      <c r="Q12" s="608"/>
      <c r="R12" s="516"/>
      <c r="S12" s="610"/>
      <c r="T12" s="614"/>
      <c r="U12" s="611"/>
      <c r="V12" s="614"/>
      <c r="W12" s="614"/>
      <c r="X12" s="635"/>
      <c r="Y12" s="636"/>
      <c r="Z12" s="473"/>
      <c r="AA12" s="473"/>
      <c r="AB12" s="473"/>
      <c r="AC12" s="520"/>
      <c r="AD12" s="475"/>
      <c r="AE12" s="638"/>
      <c r="AF12" s="575"/>
      <c r="AG12" s="601"/>
      <c r="AH12" s="525"/>
      <c r="AJ12" s="390"/>
    </row>
    <row r="13" spans="1:37" s="141" customFormat="1" ht="39.6" customHeight="1">
      <c r="A13" s="477">
        <f t="shared" si="0"/>
        <v>8</v>
      </c>
      <c r="B13" s="458"/>
      <c r="C13" s="273"/>
      <c r="D13" s="325"/>
      <c r="E13" s="417"/>
      <c r="F13" s="603"/>
      <c r="G13" s="163"/>
      <c r="H13" s="269"/>
      <c r="I13" s="269"/>
      <c r="J13" s="604"/>
      <c r="K13" s="326"/>
      <c r="L13" s="326"/>
      <c r="M13" s="305"/>
      <c r="N13" s="607"/>
      <c r="O13" s="634"/>
      <c r="P13" s="605"/>
      <c r="Q13" s="608"/>
      <c r="R13" s="516"/>
      <c r="S13" s="610"/>
      <c r="T13" s="614"/>
      <c r="U13" s="614"/>
      <c r="V13" s="614"/>
      <c r="W13" s="614"/>
      <c r="X13" s="635"/>
      <c r="Y13" s="635"/>
      <c r="Z13" s="570"/>
      <c r="AA13" s="309"/>
      <c r="AB13" s="309"/>
      <c r="AC13" s="520"/>
      <c r="AD13" s="327"/>
      <c r="AE13" s="315"/>
      <c r="AF13" s="575"/>
      <c r="AG13" s="601"/>
      <c r="AH13" s="524"/>
      <c r="AJ13" s="390"/>
    </row>
    <row r="14" spans="1:37" s="141" customFormat="1" ht="39.6" customHeight="1">
      <c r="A14" s="477">
        <f t="shared" si="0"/>
        <v>9</v>
      </c>
      <c r="B14" s="458"/>
      <c r="C14" s="273"/>
      <c r="D14" s="325"/>
      <c r="E14" s="417"/>
      <c r="F14" s="603"/>
      <c r="G14" s="163"/>
      <c r="H14" s="269"/>
      <c r="I14" s="269"/>
      <c r="J14" s="604"/>
      <c r="K14" s="326"/>
      <c r="L14" s="326"/>
      <c r="M14" s="305"/>
      <c r="N14" s="607"/>
      <c r="O14" s="634"/>
      <c r="P14" s="605"/>
      <c r="Q14" s="608"/>
      <c r="R14" s="516"/>
      <c r="S14" s="610"/>
      <c r="T14" s="614"/>
      <c r="U14" s="614"/>
      <c r="V14" s="614"/>
      <c r="W14" s="614"/>
      <c r="X14" s="635"/>
      <c r="Y14" s="635"/>
      <c r="Z14" s="570"/>
      <c r="AA14" s="309"/>
      <c r="AB14" s="309"/>
      <c r="AC14" s="520"/>
      <c r="AD14" s="327"/>
      <c r="AE14" s="315"/>
      <c r="AF14" s="575"/>
      <c r="AG14" s="601"/>
      <c r="AH14" s="524"/>
      <c r="AJ14" s="390"/>
    </row>
    <row r="15" spans="1:37" s="141" customFormat="1">
      <c r="A15" s="477">
        <f t="shared" si="0"/>
        <v>10</v>
      </c>
      <c r="B15" s="458"/>
      <c r="C15" s="320"/>
      <c r="D15" s="656"/>
      <c r="E15" s="329"/>
      <c r="F15" s="603"/>
      <c r="G15" s="289"/>
      <c r="H15" s="269"/>
      <c r="I15" s="269"/>
      <c r="J15" s="604"/>
      <c r="K15" s="269"/>
      <c r="L15" s="326"/>
      <c r="M15" s="305"/>
      <c r="N15" s="307"/>
      <c r="O15" s="459"/>
      <c r="P15" s="459"/>
      <c r="Q15" s="308"/>
      <c r="R15" s="308"/>
      <c r="S15" s="328"/>
      <c r="T15" s="309"/>
      <c r="U15" s="309"/>
      <c r="V15" s="309"/>
      <c r="W15" s="309"/>
      <c r="X15" s="310"/>
      <c r="Y15" s="309"/>
      <c r="Z15" s="570"/>
      <c r="AA15" s="309"/>
      <c r="AB15" s="309"/>
      <c r="AC15" s="520"/>
      <c r="AD15" s="327"/>
      <c r="AE15" s="315"/>
      <c r="AF15" s="575"/>
      <c r="AG15" s="601"/>
      <c r="AH15" s="524"/>
      <c r="AJ15" s="390"/>
    </row>
    <row r="16" spans="1:37" s="141" customFormat="1">
      <c r="A16" s="477">
        <f t="shared" si="0"/>
        <v>11</v>
      </c>
      <c r="B16" s="458"/>
      <c r="C16" s="273"/>
      <c r="D16" s="325"/>
      <c r="E16" s="329"/>
      <c r="F16" s="313"/>
      <c r="G16" s="289"/>
      <c r="H16" s="269"/>
      <c r="I16" s="269"/>
      <c r="J16" s="272"/>
      <c r="K16" s="272"/>
      <c r="L16" s="272"/>
      <c r="M16" s="460"/>
      <c r="N16" s="307"/>
      <c r="O16" s="459"/>
      <c r="P16" s="459"/>
      <c r="Q16" s="308"/>
      <c r="R16" s="308"/>
      <c r="S16" s="328"/>
      <c r="T16" s="309"/>
      <c r="U16" s="309"/>
      <c r="V16" s="309"/>
      <c r="W16" s="309"/>
      <c r="X16" s="310"/>
      <c r="Y16" s="309"/>
      <c r="Z16" s="570"/>
      <c r="AA16" s="309"/>
      <c r="AB16" s="309"/>
      <c r="AC16" s="309"/>
      <c r="AD16" s="327"/>
      <c r="AE16" s="315"/>
      <c r="AF16" s="311"/>
      <c r="AG16" s="395"/>
      <c r="AH16" s="524"/>
      <c r="AJ16" s="390"/>
    </row>
    <row r="17" spans="1:36" s="141" customFormat="1">
      <c r="A17" s="477">
        <f t="shared" si="0"/>
        <v>12</v>
      </c>
      <c r="B17" s="319"/>
      <c r="C17" s="320"/>
      <c r="D17" s="321"/>
      <c r="E17" s="322"/>
      <c r="F17" s="323"/>
      <c r="G17" s="270"/>
      <c r="H17" s="271"/>
      <c r="I17" s="271"/>
      <c r="J17" s="324"/>
      <c r="K17" s="294"/>
      <c r="L17" s="294"/>
      <c r="M17" s="478"/>
      <c r="N17" s="462"/>
      <c r="O17" s="471"/>
      <c r="P17" s="479"/>
      <c r="Q17" s="472"/>
      <c r="R17" s="472"/>
      <c r="S17" s="480"/>
      <c r="T17" s="473"/>
      <c r="U17" s="473"/>
      <c r="V17" s="473"/>
      <c r="W17" s="473"/>
      <c r="X17" s="474"/>
      <c r="Y17" s="473"/>
      <c r="Z17" s="473"/>
      <c r="AA17" s="473"/>
      <c r="AB17" s="473"/>
      <c r="AC17" s="473"/>
      <c r="AD17" s="475"/>
      <c r="AE17" s="476"/>
      <c r="AF17" s="481"/>
      <c r="AG17" s="482"/>
      <c r="AH17" s="524"/>
      <c r="AJ17" s="390"/>
    </row>
    <row r="18" spans="1:36" s="141" customFormat="1">
      <c r="A18" s="477">
        <f t="shared" si="0"/>
        <v>13</v>
      </c>
      <c r="B18" s="286"/>
      <c r="C18" s="287"/>
      <c r="D18" s="288"/>
      <c r="E18" s="290"/>
      <c r="F18" s="291"/>
      <c r="G18" s="292"/>
      <c r="H18" s="285"/>
      <c r="I18" s="285"/>
      <c r="J18" s="293"/>
      <c r="K18" s="294"/>
      <c r="L18" s="294"/>
      <c r="M18" s="483"/>
      <c r="N18" s="462"/>
      <c r="O18" s="484"/>
      <c r="P18" s="479"/>
      <c r="Q18" s="485"/>
      <c r="R18" s="308"/>
      <c r="S18" s="486"/>
      <c r="T18" s="487"/>
      <c r="U18" s="487"/>
      <c r="V18" s="487"/>
      <c r="W18" s="487"/>
      <c r="X18" s="488"/>
      <c r="Y18" s="487"/>
      <c r="Z18" s="570"/>
      <c r="AA18" s="489"/>
      <c r="AB18" s="487"/>
      <c r="AC18" s="487"/>
      <c r="AD18" s="490"/>
      <c r="AE18" s="491"/>
      <c r="AF18" s="492"/>
      <c r="AG18" s="395"/>
      <c r="AH18" s="524"/>
      <c r="AJ18" s="390"/>
    </row>
    <row r="19" spans="1:36" s="141" customFormat="1">
      <c r="A19" s="251">
        <f t="shared" si="0"/>
        <v>14</v>
      </c>
      <c r="B19" s="286"/>
      <c r="C19" s="287"/>
      <c r="D19" s="288"/>
      <c r="E19" s="290"/>
      <c r="F19" s="291"/>
      <c r="G19" s="292"/>
      <c r="H19" s="285"/>
      <c r="I19" s="285"/>
      <c r="J19" s="293"/>
      <c r="K19" s="294"/>
      <c r="L19" s="294"/>
      <c r="M19" s="483"/>
      <c r="N19" s="462"/>
      <c r="O19" s="484"/>
      <c r="P19" s="479"/>
      <c r="Q19" s="485"/>
      <c r="R19" s="308"/>
      <c r="S19" s="486"/>
      <c r="T19" s="487"/>
      <c r="U19" s="487"/>
      <c r="V19" s="487"/>
      <c r="W19" s="487"/>
      <c r="X19" s="488"/>
      <c r="Y19" s="487"/>
      <c r="Z19" s="570"/>
      <c r="AA19" s="489"/>
      <c r="AB19" s="487"/>
      <c r="AC19" s="487"/>
      <c r="AD19" s="490"/>
      <c r="AE19" s="491"/>
      <c r="AF19" s="492"/>
      <c r="AG19" s="395"/>
      <c r="AH19" s="524"/>
      <c r="AJ19" s="390"/>
    </row>
    <row r="20" spans="1:36" s="141" customFormat="1">
      <c r="A20" s="251">
        <f t="shared" si="0"/>
        <v>15</v>
      </c>
      <c r="B20" s="286"/>
      <c r="C20" s="287"/>
      <c r="D20" s="288"/>
      <c r="E20" s="290"/>
      <c r="F20" s="291"/>
      <c r="G20" s="292"/>
      <c r="H20" s="285"/>
      <c r="I20" s="285"/>
      <c r="J20" s="293"/>
      <c r="K20" s="294"/>
      <c r="L20" s="294"/>
      <c r="M20" s="483"/>
      <c r="N20" s="462"/>
      <c r="O20" s="484"/>
      <c r="P20" s="479"/>
      <c r="Q20" s="485"/>
      <c r="R20" s="308"/>
      <c r="S20" s="486"/>
      <c r="T20" s="487"/>
      <c r="U20" s="487"/>
      <c r="V20" s="487"/>
      <c r="W20" s="487"/>
      <c r="X20" s="488"/>
      <c r="Y20" s="487"/>
      <c r="Z20" s="570"/>
      <c r="AA20" s="489"/>
      <c r="AB20" s="487"/>
      <c r="AC20" s="487"/>
      <c r="AD20" s="490"/>
      <c r="AE20" s="491"/>
      <c r="AF20" s="492"/>
      <c r="AG20" s="395"/>
      <c r="AH20" s="524"/>
      <c r="AJ20" s="390"/>
    </row>
    <row r="21" spans="1:36" s="141" customFormat="1">
      <c r="A21" s="251">
        <f t="shared" si="0"/>
        <v>16</v>
      </c>
      <c r="B21" s="286"/>
      <c r="C21" s="287"/>
      <c r="D21" s="288"/>
      <c r="E21" s="290"/>
      <c r="F21" s="291"/>
      <c r="G21" s="292"/>
      <c r="H21" s="285"/>
      <c r="I21" s="285"/>
      <c r="J21" s="293"/>
      <c r="K21" s="294"/>
      <c r="L21" s="294"/>
      <c r="M21" s="483"/>
      <c r="N21" s="462"/>
      <c r="O21" s="484"/>
      <c r="P21" s="479"/>
      <c r="Q21" s="485"/>
      <c r="R21" s="308"/>
      <c r="S21" s="486"/>
      <c r="T21" s="487"/>
      <c r="U21" s="487"/>
      <c r="V21" s="487"/>
      <c r="W21" s="487"/>
      <c r="X21" s="488"/>
      <c r="Y21" s="487"/>
      <c r="Z21" s="570"/>
      <c r="AA21" s="489"/>
      <c r="AB21" s="487"/>
      <c r="AC21" s="487"/>
      <c r="AD21" s="490"/>
      <c r="AE21" s="491"/>
      <c r="AF21" s="492"/>
      <c r="AG21" s="395"/>
      <c r="AH21" s="524"/>
      <c r="AJ21" s="390"/>
    </row>
    <row r="22" spans="1:36" s="141" customFormat="1">
      <c r="A22" s="251">
        <f t="shared" si="0"/>
        <v>17</v>
      </c>
      <c r="B22" s="286"/>
      <c r="C22" s="287"/>
      <c r="D22" s="288"/>
      <c r="E22" s="290"/>
      <c r="F22" s="291"/>
      <c r="G22" s="292"/>
      <c r="H22" s="285"/>
      <c r="I22" s="285"/>
      <c r="J22" s="293"/>
      <c r="K22" s="294"/>
      <c r="L22" s="294"/>
      <c r="M22" s="483"/>
      <c r="N22" s="462"/>
      <c r="O22" s="484"/>
      <c r="P22" s="479"/>
      <c r="Q22" s="485"/>
      <c r="R22" s="308"/>
      <c r="S22" s="486"/>
      <c r="T22" s="487"/>
      <c r="U22" s="487"/>
      <c r="V22" s="487"/>
      <c r="W22" s="487"/>
      <c r="X22" s="488"/>
      <c r="Y22" s="487"/>
      <c r="Z22" s="570"/>
      <c r="AA22" s="489"/>
      <c r="AB22" s="487"/>
      <c r="AC22" s="487"/>
      <c r="AD22" s="490"/>
      <c r="AE22" s="491"/>
      <c r="AF22" s="492"/>
      <c r="AG22" s="395"/>
      <c r="AH22" s="524"/>
      <c r="AJ22" s="390"/>
    </row>
    <row r="23" spans="1:36" s="141" customFormat="1">
      <c r="A23" s="251">
        <f t="shared" si="0"/>
        <v>18</v>
      </c>
      <c r="B23" s="286"/>
      <c r="C23" s="287"/>
      <c r="D23" s="288"/>
      <c r="E23" s="290"/>
      <c r="F23" s="291"/>
      <c r="G23" s="292"/>
      <c r="H23" s="285"/>
      <c r="I23" s="285"/>
      <c r="J23" s="293"/>
      <c r="K23" s="294"/>
      <c r="L23" s="294"/>
      <c r="M23" s="483"/>
      <c r="N23" s="462"/>
      <c r="O23" s="484"/>
      <c r="P23" s="479"/>
      <c r="Q23" s="485"/>
      <c r="R23" s="308"/>
      <c r="S23" s="486"/>
      <c r="T23" s="487"/>
      <c r="U23" s="487"/>
      <c r="V23" s="487"/>
      <c r="W23" s="487"/>
      <c r="X23" s="488"/>
      <c r="Y23" s="487"/>
      <c r="Z23" s="570"/>
      <c r="AA23" s="489"/>
      <c r="AB23" s="487"/>
      <c r="AC23" s="487"/>
      <c r="AD23" s="490"/>
      <c r="AE23" s="491"/>
      <c r="AF23" s="492"/>
      <c r="AG23" s="395"/>
      <c r="AH23" s="524"/>
      <c r="AJ23" s="390"/>
    </row>
    <row r="24" spans="1:36" s="141" customFormat="1">
      <c r="A24" s="251">
        <f t="shared" si="0"/>
        <v>19</v>
      </c>
      <c r="B24" s="286"/>
      <c r="C24" s="287"/>
      <c r="D24" s="288"/>
      <c r="E24" s="290"/>
      <c r="F24" s="291"/>
      <c r="G24" s="292"/>
      <c r="H24" s="285"/>
      <c r="I24" s="285"/>
      <c r="J24" s="293"/>
      <c r="K24" s="294"/>
      <c r="L24" s="294"/>
      <c r="M24" s="483"/>
      <c r="N24" s="462"/>
      <c r="O24" s="484"/>
      <c r="P24" s="479"/>
      <c r="Q24" s="485"/>
      <c r="R24" s="308"/>
      <c r="S24" s="486"/>
      <c r="T24" s="487"/>
      <c r="U24" s="487"/>
      <c r="V24" s="487"/>
      <c r="W24" s="487"/>
      <c r="X24" s="488"/>
      <c r="Y24" s="487"/>
      <c r="Z24" s="570"/>
      <c r="AA24" s="489"/>
      <c r="AB24" s="487"/>
      <c r="AC24" s="487"/>
      <c r="AD24" s="490"/>
      <c r="AE24" s="491"/>
      <c r="AF24" s="492"/>
      <c r="AG24" s="395"/>
      <c r="AH24" s="524"/>
      <c r="AJ24" s="390"/>
    </row>
    <row r="25" spans="1:36" s="141" customFormat="1">
      <c r="A25" s="251">
        <f t="shared" si="0"/>
        <v>20</v>
      </c>
      <c r="B25" s="286"/>
      <c r="C25" s="287"/>
      <c r="D25" s="288"/>
      <c r="E25" s="290"/>
      <c r="F25" s="291"/>
      <c r="G25" s="292"/>
      <c r="H25" s="285"/>
      <c r="I25" s="285"/>
      <c r="J25" s="293"/>
      <c r="K25" s="294"/>
      <c r="L25" s="294"/>
      <c r="M25" s="483"/>
      <c r="N25" s="462"/>
      <c r="O25" s="484"/>
      <c r="P25" s="479"/>
      <c r="Q25" s="485"/>
      <c r="R25" s="308"/>
      <c r="S25" s="486"/>
      <c r="T25" s="487"/>
      <c r="U25" s="487"/>
      <c r="V25" s="487"/>
      <c r="W25" s="487"/>
      <c r="X25" s="488"/>
      <c r="Y25" s="487"/>
      <c r="Z25" s="570"/>
      <c r="AA25" s="489"/>
      <c r="AB25" s="487"/>
      <c r="AC25" s="487"/>
      <c r="AD25" s="490"/>
      <c r="AE25" s="491"/>
      <c r="AF25" s="492"/>
      <c r="AG25" s="395"/>
      <c r="AH25" s="524"/>
      <c r="AJ25" s="390"/>
    </row>
    <row r="26" spans="1:36" s="141" customFormat="1">
      <c r="A26" s="251">
        <f t="shared" si="0"/>
        <v>21</v>
      </c>
      <c r="B26" s="286"/>
      <c r="C26" s="287"/>
      <c r="D26" s="288"/>
      <c r="E26" s="290"/>
      <c r="F26" s="291"/>
      <c r="G26" s="292"/>
      <c r="H26" s="285"/>
      <c r="I26" s="285"/>
      <c r="J26" s="293"/>
      <c r="K26" s="294"/>
      <c r="L26" s="294"/>
      <c r="M26" s="483"/>
      <c r="N26" s="462"/>
      <c r="O26" s="484"/>
      <c r="P26" s="479"/>
      <c r="Q26" s="485"/>
      <c r="R26" s="308"/>
      <c r="S26" s="486"/>
      <c r="T26" s="487"/>
      <c r="U26" s="487"/>
      <c r="V26" s="487"/>
      <c r="W26" s="487"/>
      <c r="X26" s="488"/>
      <c r="Y26" s="487"/>
      <c r="Z26" s="570"/>
      <c r="AA26" s="489"/>
      <c r="AB26" s="487"/>
      <c r="AC26" s="487"/>
      <c r="AD26" s="490"/>
      <c r="AE26" s="491"/>
      <c r="AF26" s="492"/>
      <c r="AG26" s="395"/>
      <c r="AH26" s="524"/>
      <c r="AJ26" s="390"/>
    </row>
    <row r="27" spans="1:36" s="141" customFormat="1">
      <c r="A27" s="251">
        <f t="shared" si="0"/>
        <v>22</v>
      </c>
      <c r="B27" s="286"/>
      <c r="C27" s="287"/>
      <c r="D27" s="288"/>
      <c r="E27" s="290"/>
      <c r="F27" s="291"/>
      <c r="G27" s="292"/>
      <c r="H27" s="285"/>
      <c r="I27" s="285"/>
      <c r="J27" s="293"/>
      <c r="K27" s="294"/>
      <c r="L27" s="294"/>
      <c r="M27" s="165"/>
      <c r="N27" s="164"/>
      <c r="O27" s="170"/>
      <c r="P27" s="389"/>
      <c r="Q27" s="171"/>
      <c r="R27" s="274"/>
      <c r="S27" s="176"/>
      <c r="T27" s="169"/>
      <c r="U27" s="169"/>
      <c r="V27" s="169"/>
      <c r="W27" s="169"/>
      <c r="X27" s="174"/>
      <c r="Y27" s="169"/>
      <c r="Z27" s="571"/>
      <c r="AA27" s="228"/>
      <c r="AB27" s="169"/>
      <c r="AC27" s="169"/>
      <c r="AD27" s="173"/>
      <c r="AE27" s="172"/>
      <c r="AF27" s="175"/>
      <c r="AG27" s="396"/>
      <c r="AH27" s="522"/>
      <c r="AJ27" s="390"/>
    </row>
    <row r="28" spans="1:36" s="141" customFormat="1">
      <c r="A28" s="251">
        <f t="shared" si="0"/>
        <v>23</v>
      </c>
      <c r="B28" s="286"/>
      <c r="C28" s="287"/>
      <c r="D28" s="288"/>
      <c r="E28" s="290"/>
      <c r="F28" s="291"/>
      <c r="G28" s="292"/>
      <c r="H28" s="285"/>
      <c r="I28" s="285"/>
      <c r="J28" s="293"/>
      <c r="K28" s="294"/>
      <c r="L28" s="294"/>
      <c r="M28" s="165"/>
      <c r="N28" s="164"/>
      <c r="O28" s="170"/>
      <c r="P28" s="389"/>
      <c r="Q28" s="171"/>
      <c r="R28" s="274"/>
      <c r="S28" s="176"/>
      <c r="T28" s="169"/>
      <c r="U28" s="169"/>
      <c r="V28" s="169"/>
      <c r="W28" s="169"/>
      <c r="X28" s="174"/>
      <c r="Y28" s="169"/>
      <c r="Z28" s="571"/>
      <c r="AA28" s="228"/>
      <c r="AB28" s="169"/>
      <c r="AC28" s="169"/>
      <c r="AD28" s="173"/>
      <c r="AE28" s="172"/>
      <c r="AF28" s="175"/>
      <c r="AG28" s="396"/>
      <c r="AH28" s="522"/>
      <c r="AJ28" s="390"/>
    </row>
    <row r="29" spans="1:36" s="141" customFormat="1">
      <c r="A29" s="251">
        <f t="shared" si="0"/>
        <v>24</v>
      </c>
      <c r="B29" s="286"/>
      <c r="C29" s="287"/>
      <c r="D29" s="288"/>
      <c r="E29" s="290"/>
      <c r="F29" s="291"/>
      <c r="G29" s="292"/>
      <c r="H29" s="285"/>
      <c r="I29" s="285"/>
      <c r="J29" s="293"/>
      <c r="K29" s="294"/>
      <c r="L29" s="294"/>
      <c r="M29" s="165"/>
      <c r="N29" s="164"/>
      <c r="O29" s="170"/>
      <c r="P29" s="389"/>
      <c r="Q29" s="171"/>
      <c r="R29" s="274"/>
      <c r="S29" s="176"/>
      <c r="T29" s="169"/>
      <c r="U29" s="169"/>
      <c r="V29" s="169"/>
      <c r="W29" s="169"/>
      <c r="X29" s="174"/>
      <c r="Y29" s="169"/>
      <c r="Z29" s="571"/>
      <c r="AA29" s="228"/>
      <c r="AB29" s="169"/>
      <c r="AC29" s="169"/>
      <c r="AD29" s="173"/>
      <c r="AE29" s="172"/>
      <c r="AF29" s="175"/>
      <c r="AG29" s="396"/>
      <c r="AH29" s="522"/>
      <c r="AJ29" s="390"/>
    </row>
    <row r="30" spans="1:36" s="141" customFormat="1">
      <c r="A30" s="251">
        <f t="shared" si="0"/>
        <v>25</v>
      </c>
      <c r="B30" s="286"/>
      <c r="C30" s="287"/>
      <c r="D30" s="288"/>
      <c r="E30" s="290"/>
      <c r="F30" s="291"/>
      <c r="G30" s="292"/>
      <c r="H30" s="285"/>
      <c r="I30" s="285"/>
      <c r="J30" s="293"/>
      <c r="K30" s="294"/>
      <c r="L30" s="294"/>
      <c r="M30" s="165"/>
      <c r="N30" s="164"/>
      <c r="O30" s="170"/>
      <c r="P30" s="389"/>
      <c r="Q30" s="171"/>
      <c r="R30" s="274"/>
      <c r="S30" s="176"/>
      <c r="T30" s="169"/>
      <c r="U30" s="169"/>
      <c r="V30" s="169"/>
      <c r="W30" s="169"/>
      <c r="X30" s="174"/>
      <c r="Y30" s="169"/>
      <c r="Z30" s="571"/>
      <c r="AA30" s="228"/>
      <c r="AB30" s="169"/>
      <c r="AC30" s="169"/>
      <c r="AD30" s="173"/>
      <c r="AE30" s="172"/>
      <c r="AF30" s="175"/>
      <c r="AG30" s="396"/>
      <c r="AH30" s="522"/>
      <c r="AJ30" s="390"/>
    </row>
    <row r="31" spans="1:36" s="141" customFormat="1">
      <c r="A31" s="251">
        <f t="shared" si="0"/>
        <v>26</v>
      </c>
      <c r="B31" s="286"/>
      <c r="C31" s="287"/>
      <c r="D31" s="288"/>
      <c r="E31" s="290"/>
      <c r="F31" s="291"/>
      <c r="G31" s="292"/>
      <c r="H31" s="285"/>
      <c r="I31" s="285"/>
      <c r="J31" s="293"/>
      <c r="K31" s="294"/>
      <c r="L31" s="294"/>
      <c r="M31" s="165"/>
      <c r="N31" s="164"/>
      <c r="O31" s="170"/>
      <c r="P31" s="389"/>
      <c r="Q31" s="171"/>
      <c r="R31" s="274"/>
      <c r="S31" s="176"/>
      <c r="T31" s="169"/>
      <c r="U31" s="169"/>
      <c r="V31" s="169"/>
      <c r="W31" s="169"/>
      <c r="X31" s="174"/>
      <c r="Y31" s="169"/>
      <c r="Z31" s="571"/>
      <c r="AA31" s="228"/>
      <c r="AB31" s="169"/>
      <c r="AC31" s="169"/>
      <c r="AD31" s="173"/>
      <c r="AE31" s="172"/>
      <c r="AF31" s="175"/>
      <c r="AG31" s="396"/>
      <c r="AH31" s="522"/>
      <c r="AJ31" s="390"/>
    </row>
    <row r="32" spans="1:36" s="141" customFormat="1">
      <c r="A32" s="251">
        <f t="shared" si="0"/>
        <v>27</v>
      </c>
      <c r="B32" s="286"/>
      <c r="C32" s="287"/>
      <c r="D32" s="288"/>
      <c r="E32" s="290"/>
      <c r="F32" s="291"/>
      <c r="G32" s="292"/>
      <c r="H32" s="285"/>
      <c r="I32" s="285"/>
      <c r="J32" s="293"/>
      <c r="K32" s="294"/>
      <c r="L32" s="294"/>
      <c r="M32" s="165"/>
      <c r="N32" s="164"/>
      <c r="O32" s="170"/>
      <c r="P32" s="389"/>
      <c r="Q32" s="171"/>
      <c r="R32" s="274"/>
      <c r="S32" s="176"/>
      <c r="T32" s="169"/>
      <c r="U32" s="169"/>
      <c r="V32" s="169"/>
      <c r="W32" s="169"/>
      <c r="X32" s="174"/>
      <c r="Y32" s="169"/>
      <c r="Z32" s="571"/>
      <c r="AA32" s="228"/>
      <c r="AB32" s="169"/>
      <c r="AC32" s="169"/>
      <c r="AD32" s="173"/>
      <c r="AE32" s="172"/>
      <c r="AF32" s="175"/>
      <c r="AG32" s="396"/>
      <c r="AH32" s="522"/>
      <c r="AJ32" s="390"/>
    </row>
    <row r="33" spans="1:36" s="141" customFormat="1">
      <c r="A33" s="251">
        <f t="shared" si="0"/>
        <v>28</v>
      </c>
      <c r="B33" s="286"/>
      <c r="C33" s="287"/>
      <c r="D33" s="288"/>
      <c r="E33" s="290"/>
      <c r="F33" s="291"/>
      <c r="G33" s="292"/>
      <c r="H33" s="285"/>
      <c r="I33" s="285"/>
      <c r="J33" s="293"/>
      <c r="K33" s="294"/>
      <c r="L33" s="294"/>
      <c r="M33" s="165"/>
      <c r="N33" s="164"/>
      <c r="O33" s="170"/>
      <c r="P33" s="389"/>
      <c r="Q33" s="171"/>
      <c r="R33" s="274"/>
      <c r="S33" s="176"/>
      <c r="T33" s="169"/>
      <c r="U33" s="169"/>
      <c r="V33" s="169"/>
      <c r="W33" s="169"/>
      <c r="X33" s="174"/>
      <c r="Y33" s="169"/>
      <c r="Z33" s="571"/>
      <c r="AA33" s="228"/>
      <c r="AB33" s="169"/>
      <c r="AC33" s="169"/>
      <c r="AD33" s="173"/>
      <c r="AE33" s="172"/>
      <c r="AF33" s="175"/>
      <c r="AG33" s="396"/>
      <c r="AH33" s="522"/>
      <c r="AJ33" s="390"/>
    </row>
    <row r="34" spans="1:36" s="141" customFormat="1">
      <c r="A34" s="251">
        <f t="shared" si="0"/>
        <v>29</v>
      </c>
      <c r="B34" s="286"/>
      <c r="C34" s="287"/>
      <c r="D34" s="288"/>
      <c r="E34" s="290"/>
      <c r="F34" s="291"/>
      <c r="G34" s="292"/>
      <c r="H34" s="285"/>
      <c r="I34" s="285"/>
      <c r="J34" s="293"/>
      <c r="K34" s="294"/>
      <c r="L34" s="294"/>
      <c r="M34" s="165"/>
      <c r="N34" s="164"/>
      <c r="O34" s="170"/>
      <c r="P34" s="389"/>
      <c r="Q34" s="171"/>
      <c r="R34" s="274"/>
      <c r="S34" s="176"/>
      <c r="T34" s="169"/>
      <c r="U34" s="169"/>
      <c r="V34" s="169"/>
      <c r="W34" s="169"/>
      <c r="X34" s="174"/>
      <c r="Y34" s="169"/>
      <c r="Z34" s="571"/>
      <c r="AA34" s="228"/>
      <c r="AB34" s="169"/>
      <c r="AC34" s="169"/>
      <c r="AD34" s="173"/>
      <c r="AE34" s="172"/>
      <c r="AF34" s="175"/>
      <c r="AG34" s="396"/>
      <c r="AH34" s="522"/>
      <c r="AJ34" s="390"/>
    </row>
    <row r="35" spans="1:36" s="141" customFormat="1">
      <c r="A35" s="251">
        <f t="shared" si="0"/>
        <v>30</v>
      </c>
      <c r="B35" s="286"/>
      <c r="C35" s="287"/>
      <c r="D35" s="288"/>
      <c r="E35" s="290"/>
      <c r="F35" s="291"/>
      <c r="G35" s="292"/>
      <c r="H35" s="285"/>
      <c r="I35" s="285"/>
      <c r="J35" s="293"/>
      <c r="K35" s="294"/>
      <c r="L35" s="294"/>
      <c r="M35" s="165"/>
      <c r="N35" s="164"/>
      <c r="O35" s="170"/>
      <c r="P35" s="389"/>
      <c r="Q35" s="171"/>
      <c r="R35" s="274"/>
      <c r="S35" s="176"/>
      <c r="T35" s="169"/>
      <c r="U35" s="169"/>
      <c r="V35" s="169"/>
      <c r="W35" s="169"/>
      <c r="X35" s="174"/>
      <c r="Y35" s="169"/>
      <c r="Z35" s="571"/>
      <c r="AA35" s="228"/>
      <c r="AB35" s="169"/>
      <c r="AC35" s="169"/>
      <c r="AD35" s="173"/>
      <c r="AE35" s="172"/>
      <c r="AF35" s="175"/>
      <c r="AG35" s="396"/>
      <c r="AH35" s="522"/>
      <c r="AJ35" s="390"/>
    </row>
    <row r="36" spans="1:36" s="141" customFormat="1">
      <c r="A36" s="251">
        <f t="shared" si="0"/>
        <v>31</v>
      </c>
      <c r="B36" s="286"/>
      <c r="C36" s="287"/>
      <c r="D36" s="288"/>
      <c r="E36" s="290"/>
      <c r="F36" s="291"/>
      <c r="G36" s="292"/>
      <c r="H36" s="285"/>
      <c r="I36" s="285"/>
      <c r="J36" s="293"/>
      <c r="K36" s="294"/>
      <c r="L36" s="294"/>
      <c r="M36" s="165"/>
      <c r="N36" s="164"/>
      <c r="O36" s="170"/>
      <c r="P36" s="389"/>
      <c r="Q36" s="171"/>
      <c r="R36" s="274"/>
      <c r="S36" s="176"/>
      <c r="T36" s="169"/>
      <c r="U36" s="169"/>
      <c r="V36" s="169"/>
      <c r="W36" s="169"/>
      <c r="X36" s="174"/>
      <c r="Y36" s="169"/>
      <c r="Z36" s="571"/>
      <c r="AA36" s="228"/>
      <c r="AB36" s="169"/>
      <c r="AC36" s="169"/>
      <c r="AD36" s="173"/>
      <c r="AE36" s="172"/>
      <c r="AF36" s="175"/>
      <c r="AG36" s="396"/>
      <c r="AH36" s="522"/>
      <c r="AJ36" s="390"/>
    </row>
    <row r="37" spans="1:36" s="141" customFormat="1">
      <c r="A37" s="251">
        <f t="shared" si="0"/>
        <v>32</v>
      </c>
      <c r="B37" s="286"/>
      <c r="C37" s="287"/>
      <c r="D37" s="288"/>
      <c r="E37" s="290"/>
      <c r="F37" s="291"/>
      <c r="G37" s="292"/>
      <c r="H37" s="285"/>
      <c r="I37" s="285"/>
      <c r="J37" s="293"/>
      <c r="K37" s="294"/>
      <c r="L37" s="294"/>
      <c r="M37" s="165"/>
      <c r="N37" s="164"/>
      <c r="O37" s="170"/>
      <c r="P37" s="389"/>
      <c r="Q37" s="171"/>
      <c r="R37" s="274"/>
      <c r="S37" s="176"/>
      <c r="T37" s="169"/>
      <c r="U37" s="169"/>
      <c r="V37" s="169"/>
      <c r="W37" s="169"/>
      <c r="X37" s="174"/>
      <c r="Y37" s="169"/>
      <c r="Z37" s="571"/>
      <c r="AA37" s="228"/>
      <c r="AB37" s="169"/>
      <c r="AC37" s="169"/>
      <c r="AD37" s="173"/>
      <c r="AE37" s="172"/>
      <c r="AF37" s="175"/>
      <c r="AG37" s="396"/>
      <c r="AH37" s="522"/>
      <c r="AJ37" s="390"/>
    </row>
    <row r="38" spans="1:36" s="141" customFormat="1">
      <c r="A38" s="251">
        <f t="shared" si="0"/>
        <v>33</v>
      </c>
      <c r="B38" s="286"/>
      <c r="C38" s="287"/>
      <c r="D38" s="288"/>
      <c r="E38" s="290"/>
      <c r="F38" s="291"/>
      <c r="G38" s="292"/>
      <c r="H38" s="285"/>
      <c r="I38" s="285"/>
      <c r="J38" s="293"/>
      <c r="K38" s="294"/>
      <c r="L38" s="294"/>
      <c r="M38" s="165"/>
      <c r="N38" s="164"/>
      <c r="O38" s="170"/>
      <c r="P38" s="389"/>
      <c r="Q38" s="171"/>
      <c r="R38" s="274"/>
      <c r="S38" s="176"/>
      <c r="T38" s="169"/>
      <c r="U38" s="169"/>
      <c r="V38" s="169"/>
      <c r="W38" s="169"/>
      <c r="X38" s="174"/>
      <c r="Y38" s="169"/>
      <c r="Z38" s="571"/>
      <c r="AA38" s="228"/>
      <c r="AB38" s="169"/>
      <c r="AC38" s="169"/>
      <c r="AD38" s="173"/>
      <c r="AE38" s="172"/>
      <c r="AF38" s="175"/>
      <c r="AG38" s="396"/>
      <c r="AH38" s="522"/>
      <c r="AJ38" s="390"/>
    </row>
    <row r="39" spans="1:36" s="141" customFormat="1">
      <c r="A39" s="251">
        <f t="shared" ref="A39:A70" si="1">+A38+1</f>
        <v>34</v>
      </c>
      <c r="B39" s="286"/>
      <c r="C39" s="287"/>
      <c r="D39" s="288"/>
      <c r="E39" s="290"/>
      <c r="F39" s="291"/>
      <c r="G39" s="292"/>
      <c r="H39" s="285"/>
      <c r="I39" s="285"/>
      <c r="J39" s="293"/>
      <c r="K39" s="294"/>
      <c r="L39" s="294"/>
      <c r="M39" s="165"/>
      <c r="N39" s="164"/>
      <c r="O39" s="170"/>
      <c r="P39" s="389"/>
      <c r="Q39" s="171"/>
      <c r="R39" s="274"/>
      <c r="S39" s="176"/>
      <c r="T39" s="169"/>
      <c r="U39" s="169"/>
      <c r="V39" s="169"/>
      <c r="W39" s="169"/>
      <c r="X39" s="174"/>
      <c r="Y39" s="169"/>
      <c r="Z39" s="571"/>
      <c r="AA39" s="228"/>
      <c r="AB39" s="169"/>
      <c r="AC39" s="169"/>
      <c r="AD39" s="173"/>
      <c r="AE39" s="172"/>
      <c r="AF39" s="175"/>
      <c r="AG39" s="396"/>
      <c r="AH39" s="522"/>
      <c r="AJ39" s="390"/>
    </row>
    <row r="40" spans="1:36" s="141" customFormat="1">
      <c r="A40" s="251">
        <f t="shared" si="1"/>
        <v>35</v>
      </c>
      <c r="B40" s="286"/>
      <c r="C40" s="287"/>
      <c r="D40" s="288"/>
      <c r="E40" s="290"/>
      <c r="F40" s="291"/>
      <c r="G40" s="292"/>
      <c r="H40" s="285"/>
      <c r="I40" s="285"/>
      <c r="J40" s="293"/>
      <c r="K40" s="294"/>
      <c r="L40" s="294"/>
      <c r="M40" s="165"/>
      <c r="N40" s="164"/>
      <c r="O40" s="170"/>
      <c r="P40" s="389"/>
      <c r="Q40" s="171"/>
      <c r="R40" s="274"/>
      <c r="S40" s="176"/>
      <c r="T40" s="169"/>
      <c r="U40" s="169"/>
      <c r="V40" s="169"/>
      <c r="W40" s="169"/>
      <c r="X40" s="174"/>
      <c r="Y40" s="169"/>
      <c r="Z40" s="571"/>
      <c r="AA40" s="228"/>
      <c r="AB40" s="169"/>
      <c r="AC40" s="169"/>
      <c r="AD40" s="173"/>
      <c r="AE40" s="172"/>
      <c r="AF40" s="175"/>
      <c r="AG40" s="396"/>
      <c r="AH40" s="522"/>
      <c r="AJ40" s="390"/>
    </row>
    <row r="41" spans="1:36" s="141" customFormat="1">
      <c r="A41" s="251">
        <f t="shared" si="1"/>
        <v>36</v>
      </c>
      <c r="B41" s="286"/>
      <c r="C41" s="287"/>
      <c r="D41" s="288"/>
      <c r="E41" s="290"/>
      <c r="F41" s="291"/>
      <c r="G41" s="292"/>
      <c r="H41" s="285"/>
      <c r="I41" s="285"/>
      <c r="J41" s="293"/>
      <c r="K41" s="294"/>
      <c r="L41" s="294"/>
      <c r="M41" s="165"/>
      <c r="N41" s="164"/>
      <c r="O41" s="170"/>
      <c r="P41" s="389"/>
      <c r="Q41" s="171"/>
      <c r="R41" s="274"/>
      <c r="S41" s="176"/>
      <c r="T41" s="169"/>
      <c r="U41" s="169"/>
      <c r="V41" s="169"/>
      <c r="W41" s="169"/>
      <c r="X41" s="174"/>
      <c r="Y41" s="169"/>
      <c r="Z41" s="571"/>
      <c r="AA41" s="228"/>
      <c r="AB41" s="169"/>
      <c r="AC41" s="169"/>
      <c r="AD41" s="173"/>
      <c r="AE41" s="172"/>
      <c r="AF41" s="175"/>
      <c r="AG41" s="396"/>
      <c r="AH41" s="522"/>
      <c r="AJ41" s="390"/>
    </row>
    <row r="42" spans="1:36" s="141" customFormat="1">
      <c r="A42" s="251">
        <f t="shared" si="1"/>
        <v>37</v>
      </c>
      <c r="B42" s="286"/>
      <c r="C42" s="287"/>
      <c r="D42" s="288"/>
      <c r="E42" s="290"/>
      <c r="F42" s="291"/>
      <c r="G42" s="292"/>
      <c r="H42" s="285"/>
      <c r="I42" s="285"/>
      <c r="J42" s="293"/>
      <c r="K42" s="294"/>
      <c r="L42" s="294"/>
      <c r="M42" s="165"/>
      <c r="N42" s="164"/>
      <c r="O42" s="170"/>
      <c r="P42" s="389"/>
      <c r="Q42" s="171"/>
      <c r="R42" s="274"/>
      <c r="S42" s="176"/>
      <c r="T42" s="169"/>
      <c r="U42" s="169"/>
      <c r="V42" s="169"/>
      <c r="W42" s="169"/>
      <c r="X42" s="174"/>
      <c r="Y42" s="169"/>
      <c r="Z42" s="571"/>
      <c r="AA42" s="228"/>
      <c r="AB42" s="169"/>
      <c r="AC42" s="169"/>
      <c r="AD42" s="173"/>
      <c r="AE42" s="172"/>
      <c r="AF42" s="175"/>
      <c r="AG42" s="396"/>
      <c r="AH42" s="522"/>
      <c r="AJ42" s="390"/>
    </row>
    <row r="43" spans="1:36" s="141" customFormat="1">
      <c r="A43" s="251">
        <f t="shared" si="1"/>
        <v>38</v>
      </c>
      <c r="B43" s="286"/>
      <c r="C43" s="287"/>
      <c r="D43" s="288"/>
      <c r="E43" s="290"/>
      <c r="F43" s="291"/>
      <c r="G43" s="292"/>
      <c r="H43" s="285"/>
      <c r="I43" s="285"/>
      <c r="J43" s="293"/>
      <c r="K43" s="294"/>
      <c r="L43" s="294"/>
      <c r="M43" s="165"/>
      <c r="N43" s="164"/>
      <c r="O43" s="170"/>
      <c r="P43" s="389"/>
      <c r="Q43" s="171"/>
      <c r="R43" s="274"/>
      <c r="S43" s="176"/>
      <c r="T43" s="169"/>
      <c r="U43" s="169"/>
      <c r="V43" s="169"/>
      <c r="W43" s="169"/>
      <c r="X43" s="174"/>
      <c r="Y43" s="169"/>
      <c r="Z43" s="571"/>
      <c r="AA43" s="228"/>
      <c r="AB43" s="169"/>
      <c r="AC43" s="169"/>
      <c r="AD43" s="173"/>
      <c r="AE43" s="172"/>
      <c r="AF43" s="175"/>
      <c r="AG43" s="396"/>
      <c r="AH43" s="522"/>
      <c r="AJ43" s="390"/>
    </row>
    <row r="44" spans="1:36" s="141" customFormat="1">
      <c r="A44" s="251">
        <f t="shared" si="1"/>
        <v>39</v>
      </c>
      <c r="B44" s="286"/>
      <c r="C44" s="287"/>
      <c r="D44" s="288"/>
      <c r="E44" s="290"/>
      <c r="F44" s="291"/>
      <c r="G44" s="292"/>
      <c r="H44" s="285"/>
      <c r="I44" s="285"/>
      <c r="J44" s="293"/>
      <c r="K44" s="294"/>
      <c r="L44" s="294"/>
      <c r="M44" s="165"/>
      <c r="N44" s="164"/>
      <c r="O44" s="170"/>
      <c r="P44" s="389"/>
      <c r="Q44" s="171"/>
      <c r="R44" s="274"/>
      <c r="S44" s="176"/>
      <c r="T44" s="169"/>
      <c r="U44" s="169"/>
      <c r="V44" s="169"/>
      <c r="W44" s="169"/>
      <c r="X44" s="174"/>
      <c r="Y44" s="169"/>
      <c r="Z44" s="571"/>
      <c r="AA44" s="228"/>
      <c r="AB44" s="169"/>
      <c r="AC44" s="169"/>
      <c r="AD44" s="173"/>
      <c r="AE44" s="172"/>
      <c r="AF44" s="175"/>
      <c r="AG44" s="396"/>
      <c r="AH44" s="522"/>
      <c r="AJ44" s="390"/>
    </row>
    <row r="45" spans="1:36" s="141" customFormat="1">
      <c r="A45" s="251">
        <f t="shared" si="1"/>
        <v>40</v>
      </c>
      <c r="B45" s="286"/>
      <c r="C45" s="287"/>
      <c r="D45" s="288"/>
      <c r="E45" s="290"/>
      <c r="F45" s="291"/>
      <c r="G45" s="292"/>
      <c r="H45" s="285"/>
      <c r="I45" s="285"/>
      <c r="J45" s="293"/>
      <c r="K45" s="294"/>
      <c r="L45" s="294"/>
      <c r="M45" s="165"/>
      <c r="N45" s="164"/>
      <c r="O45" s="170"/>
      <c r="P45" s="389"/>
      <c r="Q45" s="171"/>
      <c r="R45" s="274"/>
      <c r="S45" s="176"/>
      <c r="T45" s="169"/>
      <c r="U45" s="169"/>
      <c r="V45" s="169"/>
      <c r="W45" s="169"/>
      <c r="X45" s="174"/>
      <c r="Y45" s="169"/>
      <c r="Z45" s="571"/>
      <c r="AA45" s="228"/>
      <c r="AB45" s="169"/>
      <c r="AC45" s="169"/>
      <c r="AD45" s="173"/>
      <c r="AE45" s="172"/>
      <c r="AF45" s="175"/>
      <c r="AG45" s="396"/>
      <c r="AH45" s="522"/>
      <c r="AJ45" s="390"/>
    </row>
    <row r="46" spans="1:36" s="141" customFormat="1">
      <c r="A46" s="251">
        <f t="shared" si="1"/>
        <v>41</v>
      </c>
      <c r="B46" s="286"/>
      <c r="C46" s="287"/>
      <c r="D46" s="288"/>
      <c r="E46" s="290"/>
      <c r="F46" s="291"/>
      <c r="G46" s="292"/>
      <c r="H46" s="285"/>
      <c r="I46" s="285"/>
      <c r="J46" s="293"/>
      <c r="K46" s="294"/>
      <c r="L46" s="294"/>
      <c r="M46" s="165"/>
      <c r="N46" s="164"/>
      <c r="O46" s="170"/>
      <c r="P46" s="389"/>
      <c r="Q46" s="171"/>
      <c r="R46" s="274"/>
      <c r="S46" s="176"/>
      <c r="T46" s="169"/>
      <c r="U46" s="169"/>
      <c r="V46" s="169"/>
      <c r="W46" s="169"/>
      <c r="X46" s="174"/>
      <c r="Y46" s="169"/>
      <c r="Z46" s="571"/>
      <c r="AA46" s="228"/>
      <c r="AB46" s="169"/>
      <c r="AC46" s="169"/>
      <c r="AD46" s="173"/>
      <c r="AE46" s="172"/>
      <c r="AF46" s="175"/>
      <c r="AG46" s="396"/>
      <c r="AH46" s="522"/>
      <c r="AJ46" s="390"/>
    </row>
    <row r="47" spans="1:36" s="141" customFormat="1">
      <c r="A47" s="251">
        <f t="shared" si="1"/>
        <v>42</v>
      </c>
      <c r="B47" s="286"/>
      <c r="C47" s="287"/>
      <c r="D47" s="288"/>
      <c r="E47" s="290"/>
      <c r="F47" s="291"/>
      <c r="G47" s="292"/>
      <c r="H47" s="285"/>
      <c r="I47" s="285"/>
      <c r="J47" s="293"/>
      <c r="K47" s="294"/>
      <c r="L47" s="294"/>
      <c r="M47" s="165"/>
      <c r="N47" s="164"/>
      <c r="O47" s="170"/>
      <c r="P47" s="389"/>
      <c r="Q47" s="171"/>
      <c r="R47" s="274"/>
      <c r="S47" s="176"/>
      <c r="T47" s="169"/>
      <c r="U47" s="169"/>
      <c r="V47" s="169"/>
      <c r="W47" s="169"/>
      <c r="X47" s="174"/>
      <c r="Y47" s="169"/>
      <c r="Z47" s="571"/>
      <c r="AA47" s="228"/>
      <c r="AB47" s="169"/>
      <c r="AC47" s="169"/>
      <c r="AD47" s="173"/>
      <c r="AE47" s="172"/>
      <c r="AF47" s="175"/>
      <c r="AG47" s="396"/>
      <c r="AH47" s="522"/>
      <c r="AJ47" s="390"/>
    </row>
    <row r="48" spans="1:36" s="141" customFormat="1">
      <c r="A48" s="251">
        <f t="shared" si="1"/>
        <v>43</v>
      </c>
      <c r="B48" s="286"/>
      <c r="C48" s="287"/>
      <c r="D48" s="288"/>
      <c r="E48" s="290"/>
      <c r="F48" s="291"/>
      <c r="G48" s="292"/>
      <c r="H48" s="285"/>
      <c r="I48" s="285"/>
      <c r="J48" s="293"/>
      <c r="K48" s="294"/>
      <c r="L48" s="294"/>
      <c r="M48" s="165"/>
      <c r="N48" s="164"/>
      <c r="O48" s="170"/>
      <c r="P48" s="389"/>
      <c r="Q48" s="171"/>
      <c r="R48" s="274"/>
      <c r="S48" s="176"/>
      <c r="T48" s="169"/>
      <c r="U48" s="169"/>
      <c r="V48" s="169"/>
      <c r="W48" s="169"/>
      <c r="X48" s="174"/>
      <c r="Y48" s="169"/>
      <c r="Z48" s="571"/>
      <c r="AA48" s="228"/>
      <c r="AB48" s="169"/>
      <c r="AC48" s="169"/>
      <c r="AD48" s="173"/>
      <c r="AE48" s="172"/>
      <c r="AF48" s="175"/>
      <c r="AG48" s="396"/>
      <c r="AH48" s="522"/>
      <c r="AJ48" s="390"/>
    </row>
    <row r="49" spans="1:36" s="141" customFormat="1">
      <c r="A49" s="251">
        <f t="shared" si="1"/>
        <v>44</v>
      </c>
      <c r="B49" s="286"/>
      <c r="C49" s="287"/>
      <c r="D49" s="288"/>
      <c r="E49" s="290"/>
      <c r="F49" s="291"/>
      <c r="G49" s="292"/>
      <c r="H49" s="285"/>
      <c r="I49" s="285"/>
      <c r="J49" s="293"/>
      <c r="K49" s="294"/>
      <c r="L49" s="294"/>
      <c r="M49" s="165"/>
      <c r="N49" s="164"/>
      <c r="O49" s="170"/>
      <c r="P49" s="389"/>
      <c r="Q49" s="171"/>
      <c r="R49" s="274"/>
      <c r="S49" s="176"/>
      <c r="T49" s="169"/>
      <c r="U49" s="169"/>
      <c r="V49" s="169"/>
      <c r="W49" s="169"/>
      <c r="X49" s="174"/>
      <c r="Y49" s="169"/>
      <c r="Z49" s="571"/>
      <c r="AA49" s="228"/>
      <c r="AB49" s="169"/>
      <c r="AC49" s="169"/>
      <c r="AD49" s="173"/>
      <c r="AE49" s="172"/>
      <c r="AF49" s="175"/>
      <c r="AG49" s="396"/>
      <c r="AH49" s="522"/>
      <c r="AJ49" s="390"/>
    </row>
    <row r="50" spans="1:36" s="141" customFormat="1">
      <c r="A50" s="251">
        <f t="shared" si="1"/>
        <v>45</v>
      </c>
      <c r="B50" s="286"/>
      <c r="C50" s="287"/>
      <c r="D50" s="288"/>
      <c r="E50" s="290"/>
      <c r="F50" s="291"/>
      <c r="G50" s="292"/>
      <c r="H50" s="285"/>
      <c r="I50" s="285"/>
      <c r="J50" s="293"/>
      <c r="K50" s="294"/>
      <c r="L50" s="294"/>
      <c r="M50" s="165"/>
      <c r="N50" s="164"/>
      <c r="O50" s="170"/>
      <c r="P50" s="389"/>
      <c r="Q50" s="171"/>
      <c r="R50" s="274"/>
      <c r="S50" s="176"/>
      <c r="T50" s="169"/>
      <c r="U50" s="169"/>
      <c r="V50" s="169"/>
      <c r="W50" s="169"/>
      <c r="X50" s="174"/>
      <c r="Y50" s="169"/>
      <c r="Z50" s="571"/>
      <c r="AA50" s="228"/>
      <c r="AB50" s="169"/>
      <c r="AC50" s="169"/>
      <c r="AD50" s="173"/>
      <c r="AE50" s="172"/>
      <c r="AF50" s="175"/>
      <c r="AG50" s="396"/>
      <c r="AH50" s="522"/>
      <c r="AJ50" s="390"/>
    </row>
    <row r="51" spans="1:36" s="141" customFormat="1">
      <c r="A51" s="251">
        <f t="shared" si="1"/>
        <v>46</v>
      </c>
      <c r="B51" s="286"/>
      <c r="C51" s="287"/>
      <c r="D51" s="288"/>
      <c r="E51" s="290"/>
      <c r="F51" s="291"/>
      <c r="G51" s="292"/>
      <c r="H51" s="285"/>
      <c r="I51" s="285"/>
      <c r="J51" s="293"/>
      <c r="K51" s="294"/>
      <c r="L51" s="294"/>
      <c r="M51" s="165"/>
      <c r="N51" s="164"/>
      <c r="O51" s="170"/>
      <c r="P51" s="389"/>
      <c r="Q51" s="171"/>
      <c r="R51" s="274"/>
      <c r="S51" s="176"/>
      <c r="T51" s="169"/>
      <c r="U51" s="169"/>
      <c r="V51" s="169"/>
      <c r="W51" s="169"/>
      <c r="X51" s="174"/>
      <c r="Y51" s="169"/>
      <c r="Z51" s="571"/>
      <c r="AA51" s="228"/>
      <c r="AB51" s="169"/>
      <c r="AC51" s="169"/>
      <c r="AD51" s="173"/>
      <c r="AE51" s="172"/>
      <c r="AF51" s="175"/>
      <c r="AG51" s="396"/>
      <c r="AH51" s="522"/>
      <c r="AJ51" s="390"/>
    </row>
    <row r="52" spans="1:36" s="141" customFormat="1">
      <c r="A52" s="251">
        <f t="shared" si="1"/>
        <v>47</v>
      </c>
      <c r="B52" s="286"/>
      <c r="C52" s="287"/>
      <c r="D52" s="288"/>
      <c r="E52" s="290"/>
      <c r="F52" s="291"/>
      <c r="G52" s="292"/>
      <c r="H52" s="285"/>
      <c r="I52" s="285"/>
      <c r="J52" s="293"/>
      <c r="K52" s="294"/>
      <c r="L52" s="294"/>
      <c r="M52" s="165"/>
      <c r="N52" s="164"/>
      <c r="O52" s="170"/>
      <c r="P52" s="389"/>
      <c r="Q52" s="171"/>
      <c r="R52" s="274"/>
      <c r="S52" s="176"/>
      <c r="T52" s="169"/>
      <c r="U52" s="169"/>
      <c r="V52" s="169"/>
      <c r="W52" s="169"/>
      <c r="X52" s="174"/>
      <c r="Y52" s="169"/>
      <c r="Z52" s="571"/>
      <c r="AA52" s="228"/>
      <c r="AB52" s="169"/>
      <c r="AC52" s="169"/>
      <c r="AD52" s="173"/>
      <c r="AE52" s="172"/>
      <c r="AF52" s="175"/>
      <c r="AG52" s="396"/>
      <c r="AH52" s="522"/>
      <c r="AJ52" s="390"/>
    </row>
    <row r="53" spans="1:36" s="141" customFormat="1">
      <c r="A53" s="251">
        <f t="shared" si="1"/>
        <v>48</v>
      </c>
      <c r="B53" s="295"/>
      <c r="C53" s="287"/>
      <c r="D53" s="288"/>
      <c r="E53" s="290"/>
      <c r="F53" s="291"/>
      <c r="G53" s="292"/>
      <c r="H53" s="285"/>
      <c r="I53" s="285"/>
      <c r="J53" s="293"/>
      <c r="K53" s="294"/>
      <c r="L53" s="294"/>
      <c r="M53" s="165"/>
      <c r="N53" s="164"/>
      <c r="O53" s="170"/>
      <c r="P53" s="389"/>
      <c r="Q53" s="171"/>
      <c r="R53" s="274"/>
      <c r="S53" s="176"/>
      <c r="T53" s="169"/>
      <c r="U53" s="169"/>
      <c r="V53" s="169"/>
      <c r="W53" s="169"/>
      <c r="X53" s="174"/>
      <c r="Y53" s="169"/>
      <c r="Z53" s="571"/>
      <c r="AA53" s="228"/>
      <c r="AB53" s="169"/>
      <c r="AC53" s="169"/>
      <c r="AD53" s="173"/>
      <c r="AE53" s="172"/>
      <c r="AF53" s="175"/>
      <c r="AG53" s="396"/>
      <c r="AH53" s="522"/>
      <c r="AJ53" s="390"/>
    </row>
    <row r="54" spans="1:36" s="141" customFormat="1">
      <c r="A54" s="251">
        <f t="shared" si="1"/>
        <v>49</v>
      </c>
      <c r="B54" s="295"/>
      <c r="C54" s="287"/>
      <c r="D54" s="288"/>
      <c r="E54" s="290"/>
      <c r="F54" s="291"/>
      <c r="G54" s="292"/>
      <c r="H54" s="285"/>
      <c r="I54" s="285"/>
      <c r="J54" s="293"/>
      <c r="K54" s="294"/>
      <c r="L54" s="294"/>
      <c r="M54" s="165"/>
      <c r="N54" s="164"/>
      <c r="O54" s="170"/>
      <c r="P54" s="389"/>
      <c r="Q54" s="171"/>
      <c r="R54" s="274"/>
      <c r="S54" s="176"/>
      <c r="T54" s="169"/>
      <c r="U54" s="169"/>
      <c r="V54" s="169"/>
      <c r="W54" s="169"/>
      <c r="X54" s="174"/>
      <c r="Y54" s="169"/>
      <c r="Z54" s="571"/>
      <c r="AA54" s="228"/>
      <c r="AB54" s="169"/>
      <c r="AC54" s="169"/>
      <c r="AD54" s="173"/>
      <c r="AE54" s="172"/>
      <c r="AF54" s="175"/>
      <c r="AG54" s="396"/>
      <c r="AH54" s="522"/>
      <c r="AJ54" s="390"/>
    </row>
    <row r="55" spans="1:36" s="141" customFormat="1">
      <c r="A55" s="251">
        <f t="shared" si="1"/>
        <v>50</v>
      </c>
      <c r="B55" s="295"/>
      <c r="C55" s="287"/>
      <c r="D55" s="288"/>
      <c r="E55" s="290"/>
      <c r="F55" s="291"/>
      <c r="G55" s="292"/>
      <c r="H55" s="285"/>
      <c r="I55" s="285"/>
      <c r="J55" s="293"/>
      <c r="K55" s="294"/>
      <c r="L55" s="294"/>
      <c r="M55" s="165"/>
      <c r="N55" s="164"/>
      <c r="O55" s="170"/>
      <c r="P55" s="389"/>
      <c r="Q55" s="171"/>
      <c r="R55" s="274"/>
      <c r="S55" s="176"/>
      <c r="T55" s="169"/>
      <c r="U55" s="169"/>
      <c r="V55" s="169"/>
      <c r="W55" s="169"/>
      <c r="X55" s="174"/>
      <c r="Y55" s="169"/>
      <c r="Z55" s="571"/>
      <c r="AA55" s="228"/>
      <c r="AB55" s="169"/>
      <c r="AC55" s="169"/>
      <c r="AD55" s="173"/>
      <c r="AE55" s="172"/>
      <c r="AF55" s="175"/>
      <c r="AG55" s="396"/>
      <c r="AH55" s="522"/>
      <c r="AJ55" s="390"/>
    </row>
    <row r="56" spans="1:36" s="141" customFormat="1">
      <c r="A56" s="251">
        <f t="shared" si="1"/>
        <v>51</v>
      </c>
      <c r="B56" s="295"/>
      <c r="C56" s="287"/>
      <c r="D56" s="288"/>
      <c r="E56" s="290"/>
      <c r="F56" s="291"/>
      <c r="G56" s="292"/>
      <c r="H56" s="285"/>
      <c r="I56" s="285"/>
      <c r="J56" s="293"/>
      <c r="K56" s="294"/>
      <c r="L56" s="294"/>
      <c r="M56" s="165"/>
      <c r="N56" s="164"/>
      <c r="O56" s="170"/>
      <c r="P56" s="389"/>
      <c r="Q56" s="171"/>
      <c r="R56" s="274"/>
      <c r="S56" s="176"/>
      <c r="T56" s="169"/>
      <c r="U56" s="169"/>
      <c r="V56" s="169"/>
      <c r="W56" s="169"/>
      <c r="X56" s="174"/>
      <c r="Y56" s="169"/>
      <c r="Z56" s="571"/>
      <c r="AA56" s="228"/>
      <c r="AB56" s="169"/>
      <c r="AC56" s="169"/>
      <c r="AD56" s="173"/>
      <c r="AE56" s="172"/>
      <c r="AF56" s="175"/>
      <c r="AG56" s="396"/>
      <c r="AH56" s="522"/>
      <c r="AJ56" s="390"/>
    </row>
    <row r="57" spans="1:36" s="141" customFormat="1">
      <c r="A57" s="251">
        <f t="shared" si="1"/>
        <v>52</v>
      </c>
      <c r="B57" s="295"/>
      <c r="C57" s="287"/>
      <c r="D57" s="288"/>
      <c r="E57" s="290"/>
      <c r="F57" s="291"/>
      <c r="G57" s="292"/>
      <c r="H57" s="285"/>
      <c r="I57" s="285"/>
      <c r="J57" s="293"/>
      <c r="K57" s="294"/>
      <c r="L57" s="294"/>
      <c r="M57" s="165"/>
      <c r="N57" s="164"/>
      <c r="O57" s="170"/>
      <c r="P57" s="389"/>
      <c r="Q57" s="171"/>
      <c r="R57" s="274"/>
      <c r="S57" s="176"/>
      <c r="T57" s="169"/>
      <c r="U57" s="169"/>
      <c r="V57" s="169"/>
      <c r="W57" s="169"/>
      <c r="X57" s="174"/>
      <c r="Y57" s="169"/>
      <c r="Z57" s="571"/>
      <c r="AA57" s="228"/>
      <c r="AB57" s="169"/>
      <c r="AC57" s="169"/>
      <c r="AD57" s="173"/>
      <c r="AE57" s="172"/>
      <c r="AF57" s="175"/>
      <c r="AG57" s="396"/>
      <c r="AH57" s="522"/>
      <c r="AJ57" s="390"/>
    </row>
    <row r="58" spans="1:36" s="141" customFormat="1">
      <c r="A58" s="251">
        <f t="shared" si="1"/>
        <v>53</v>
      </c>
      <c r="B58" s="295"/>
      <c r="C58" s="287"/>
      <c r="D58" s="288"/>
      <c r="E58" s="290"/>
      <c r="F58" s="291"/>
      <c r="G58" s="292"/>
      <c r="H58" s="285"/>
      <c r="I58" s="285"/>
      <c r="J58" s="293"/>
      <c r="K58" s="294"/>
      <c r="L58" s="294"/>
      <c r="M58" s="165"/>
      <c r="N58" s="164"/>
      <c r="O58" s="170"/>
      <c r="P58" s="389"/>
      <c r="Q58" s="171"/>
      <c r="R58" s="274"/>
      <c r="S58" s="176"/>
      <c r="T58" s="169"/>
      <c r="U58" s="169"/>
      <c r="V58" s="169"/>
      <c r="W58" s="169"/>
      <c r="X58" s="174"/>
      <c r="Y58" s="169"/>
      <c r="Z58" s="571"/>
      <c r="AA58" s="228"/>
      <c r="AB58" s="169"/>
      <c r="AC58" s="169"/>
      <c r="AD58" s="173"/>
      <c r="AE58" s="172"/>
      <c r="AF58" s="175"/>
      <c r="AG58" s="396"/>
      <c r="AH58" s="522"/>
      <c r="AJ58" s="390"/>
    </row>
    <row r="59" spans="1:36" s="141" customFormat="1">
      <c r="A59" s="251">
        <f t="shared" si="1"/>
        <v>54</v>
      </c>
      <c r="B59" s="295"/>
      <c r="C59" s="287"/>
      <c r="D59" s="288"/>
      <c r="E59" s="290"/>
      <c r="F59" s="291"/>
      <c r="G59" s="292"/>
      <c r="H59" s="285"/>
      <c r="I59" s="285"/>
      <c r="J59" s="293"/>
      <c r="K59" s="294"/>
      <c r="L59" s="294"/>
      <c r="M59" s="165"/>
      <c r="N59" s="164"/>
      <c r="O59" s="170"/>
      <c r="P59" s="389"/>
      <c r="Q59" s="171"/>
      <c r="R59" s="274"/>
      <c r="S59" s="176"/>
      <c r="T59" s="169"/>
      <c r="U59" s="169"/>
      <c r="V59" s="169"/>
      <c r="W59" s="169"/>
      <c r="X59" s="174"/>
      <c r="Y59" s="169"/>
      <c r="Z59" s="571"/>
      <c r="AA59" s="228"/>
      <c r="AB59" s="169"/>
      <c r="AC59" s="169"/>
      <c r="AD59" s="173"/>
      <c r="AE59" s="172"/>
      <c r="AF59" s="175"/>
      <c r="AG59" s="396"/>
      <c r="AH59" s="522"/>
      <c r="AJ59" s="390"/>
    </row>
    <row r="60" spans="1:36" s="141" customFormat="1">
      <c r="A60" s="251">
        <f t="shared" si="1"/>
        <v>55</v>
      </c>
      <c r="B60" s="295"/>
      <c r="C60" s="287"/>
      <c r="D60" s="288"/>
      <c r="E60" s="290"/>
      <c r="F60" s="291"/>
      <c r="G60" s="292"/>
      <c r="H60" s="285"/>
      <c r="I60" s="285"/>
      <c r="J60" s="293"/>
      <c r="K60" s="294"/>
      <c r="L60" s="294"/>
      <c r="M60" s="165"/>
      <c r="N60" s="164"/>
      <c r="O60" s="170"/>
      <c r="P60" s="389"/>
      <c r="Q60" s="171"/>
      <c r="R60" s="274"/>
      <c r="S60" s="176"/>
      <c r="T60" s="169"/>
      <c r="U60" s="169"/>
      <c r="V60" s="169"/>
      <c r="W60" s="169"/>
      <c r="X60" s="174"/>
      <c r="Y60" s="169"/>
      <c r="Z60" s="571"/>
      <c r="AA60" s="228"/>
      <c r="AB60" s="169"/>
      <c r="AC60" s="169"/>
      <c r="AD60" s="173"/>
      <c r="AE60" s="172"/>
      <c r="AF60" s="175"/>
      <c r="AG60" s="396"/>
      <c r="AH60" s="522"/>
      <c r="AJ60" s="390"/>
    </row>
    <row r="61" spans="1:36" s="141" customFormat="1">
      <c r="A61" s="251">
        <f t="shared" si="1"/>
        <v>56</v>
      </c>
      <c r="B61" s="295"/>
      <c r="C61" s="287"/>
      <c r="D61" s="288"/>
      <c r="E61" s="290"/>
      <c r="F61" s="291"/>
      <c r="G61" s="292"/>
      <c r="H61" s="285"/>
      <c r="I61" s="285"/>
      <c r="J61" s="293"/>
      <c r="K61" s="294"/>
      <c r="L61" s="294"/>
      <c r="M61" s="165"/>
      <c r="N61" s="164"/>
      <c r="O61" s="170"/>
      <c r="P61" s="389"/>
      <c r="Q61" s="171"/>
      <c r="R61" s="274"/>
      <c r="S61" s="176"/>
      <c r="T61" s="169"/>
      <c r="U61" s="169"/>
      <c r="V61" s="169"/>
      <c r="W61" s="169"/>
      <c r="X61" s="174"/>
      <c r="Y61" s="169"/>
      <c r="Z61" s="571"/>
      <c r="AA61" s="228"/>
      <c r="AB61" s="169"/>
      <c r="AC61" s="169"/>
      <c r="AD61" s="173"/>
      <c r="AE61" s="172"/>
      <c r="AF61" s="175"/>
      <c r="AG61" s="396"/>
      <c r="AH61" s="522"/>
      <c r="AJ61" s="390"/>
    </row>
    <row r="62" spans="1:36" s="141" customFormat="1">
      <c r="A62" s="251">
        <f t="shared" si="1"/>
        <v>57</v>
      </c>
      <c r="B62" s="295"/>
      <c r="C62" s="287"/>
      <c r="D62" s="288"/>
      <c r="E62" s="290"/>
      <c r="F62" s="291"/>
      <c r="G62" s="292"/>
      <c r="H62" s="285"/>
      <c r="I62" s="285"/>
      <c r="J62" s="293"/>
      <c r="K62" s="294"/>
      <c r="L62" s="294"/>
      <c r="M62" s="165"/>
      <c r="N62" s="164"/>
      <c r="O62" s="170"/>
      <c r="P62" s="389"/>
      <c r="Q62" s="171"/>
      <c r="R62" s="274"/>
      <c r="S62" s="176"/>
      <c r="T62" s="169"/>
      <c r="U62" s="169"/>
      <c r="V62" s="169"/>
      <c r="W62" s="169"/>
      <c r="X62" s="174"/>
      <c r="Y62" s="169"/>
      <c r="Z62" s="571"/>
      <c r="AA62" s="228"/>
      <c r="AB62" s="169"/>
      <c r="AC62" s="169"/>
      <c r="AD62" s="173"/>
      <c r="AE62" s="172"/>
      <c r="AF62" s="175"/>
      <c r="AG62" s="396"/>
      <c r="AH62" s="522"/>
      <c r="AJ62" s="390"/>
    </row>
    <row r="63" spans="1:36" s="141" customFormat="1">
      <c r="A63" s="251">
        <f t="shared" si="1"/>
        <v>58</v>
      </c>
      <c r="B63" s="295"/>
      <c r="C63" s="287"/>
      <c r="D63" s="288"/>
      <c r="E63" s="290"/>
      <c r="F63" s="291"/>
      <c r="G63" s="292"/>
      <c r="H63" s="285"/>
      <c r="I63" s="285"/>
      <c r="J63" s="293"/>
      <c r="K63" s="294"/>
      <c r="L63" s="294"/>
      <c r="M63" s="165"/>
      <c r="N63" s="164"/>
      <c r="O63" s="170"/>
      <c r="P63" s="389"/>
      <c r="Q63" s="171"/>
      <c r="R63" s="274"/>
      <c r="S63" s="176"/>
      <c r="T63" s="169"/>
      <c r="U63" s="169"/>
      <c r="V63" s="169"/>
      <c r="W63" s="169"/>
      <c r="X63" s="174"/>
      <c r="Y63" s="169"/>
      <c r="Z63" s="571"/>
      <c r="AA63" s="228"/>
      <c r="AB63" s="169"/>
      <c r="AC63" s="169"/>
      <c r="AD63" s="173"/>
      <c r="AE63" s="172"/>
      <c r="AF63" s="175"/>
      <c r="AG63" s="396"/>
      <c r="AH63" s="522"/>
      <c r="AJ63" s="390"/>
    </row>
    <row r="64" spans="1:36" s="141" customFormat="1">
      <c r="A64" s="251">
        <f t="shared" si="1"/>
        <v>59</v>
      </c>
      <c r="B64" s="295"/>
      <c r="C64" s="287"/>
      <c r="D64" s="288"/>
      <c r="E64" s="290"/>
      <c r="F64" s="291"/>
      <c r="G64" s="292"/>
      <c r="H64" s="285"/>
      <c r="I64" s="285"/>
      <c r="J64" s="293"/>
      <c r="K64" s="294"/>
      <c r="L64" s="294"/>
      <c r="M64" s="165"/>
      <c r="N64" s="164"/>
      <c r="O64" s="170"/>
      <c r="P64" s="389"/>
      <c r="Q64" s="171"/>
      <c r="R64" s="274"/>
      <c r="S64" s="176"/>
      <c r="T64" s="169"/>
      <c r="U64" s="169"/>
      <c r="V64" s="169"/>
      <c r="W64" s="169"/>
      <c r="X64" s="174"/>
      <c r="Y64" s="169"/>
      <c r="Z64" s="571"/>
      <c r="AA64" s="228"/>
      <c r="AB64" s="169"/>
      <c r="AC64" s="169"/>
      <c r="AD64" s="173"/>
      <c r="AE64" s="172"/>
      <c r="AF64" s="175"/>
      <c r="AG64" s="396"/>
      <c r="AH64" s="522"/>
      <c r="AJ64" s="390"/>
    </row>
    <row r="65" spans="1:36" s="141" customFormat="1">
      <c r="A65" s="251">
        <f t="shared" si="1"/>
        <v>60</v>
      </c>
      <c r="B65" s="295"/>
      <c r="C65" s="287"/>
      <c r="D65" s="288"/>
      <c r="E65" s="290"/>
      <c r="F65" s="291"/>
      <c r="G65" s="292"/>
      <c r="H65" s="285"/>
      <c r="I65" s="285"/>
      <c r="J65" s="293"/>
      <c r="K65" s="294"/>
      <c r="L65" s="294"/>
      <c r="M65" s="165"/>
      <c r="N65" s="164"/>
      <c r="O65" s="170"/>
      <c r="P65" s="389"/>
      <c r="Q65" s="171"/>
      <c r="R65" s="274"/>
      <c r="S65" s="176"/>
      <c r="T65" s="169"/>
      <c r="U65" s="169"/>
      <c r="V65" s="169"/>
      <c r="W65" s="169"/>
      <c r="X65" s="174"/>
      <c r="Y65" s="169"/>
      <c r="Z65" s="571"/>
      <c r="AA65" s="228"/>
      <c r="AB65" s="169"/>
      <c r="AC65" s="169"/>
      <c r="AD65" s="173"/>
      <c r="AE65" s="172"/>
      <c r="AF65" s="175"/>
      <c r="AG65" s="396"/>
      <c r="AH65" s="522"/>
      <c r="AJ65" s="390"/>
    </row>
    <row r="66" spans="1:36" s="141" customFormat="1">
      <c r="A66" s="251">
        <f t="shared" si="1"/>
        <v>61</v>
      </c>
      <c r="B66" s="295"/>
      <c r="C66" s="287"/>
      <c r="D66" s="288"/>
      <c r="E66" s="290"/>
      <c r="F66" s="291"/>
      <c r="G66" s="292"/>
      <c r="H66" s="285"/>
      <c r="I66" s="285"/>
      <c r="J66" s="293"/>
      <c r="K66" s="294"/>
      <c r="L66" s="294"/>
      <c r="M66" s="165"/>
      <c r="N66" s="164"/>
      <c r="O66" s="170"/>
      <c r="P66" s="389"/>
      <c r="Q66" s="171"/>
      <c r="R66" s="274"/>
      <c r="S66" s="176"/>
      <c r="T66" s="169"/>
      <c r="U66" s="169"/>
      <c r="V66" s="169"/>
      <c r="W66" s="169"/>
      <c r="X66" s="174"/>
      <c r="Y66" s="169"/>
      <c r="Z66" s="571"/>
      <c r="AA66" s="228"/>
      <c r="AB66" s="169"/>
      <c r="AC66" s="169"/>
      <c r="AD66" s="173"/>
      <c r="AE66" s="172"/>
      <c r="AF66" s="175"/>
      <c r="AG66" s="396"/>
      <c r="AH66" s="522"/>
      <c r="AJ66" s="390"/>
    </row>
    <row r="67" spans="1:36" s="141" customFormat="1">
      <c r="A67" s="251">
        <f t="shared" si="1"/>
        <v>62</v>
      </c>
      <c r="B67" s="295"/>
      <c r="C67" s="287"/>
      <c r="D67" s="288"/>
      <c r="E67" s="290"/>
      <c r="F67" s="291"/>
      <c r="G67" s="292"/>
      <c r="H67" s="285"/>
      <c r="I67" s="285"/>
      <c r="J67" s="293"/>
      <c r="K67" s="294"/>
      <c r="L67" s="294"/>
      <c r="M67" s="165"/>
      <c r="N67" s="164"/>
      <c r="O67" s="170"/>
      <c r="P67" s="389"/>
      <c r="Q67" s="171"/>
      <c r="R67" s="274"/>
      <c r="S67" s="176"/>
      <c r="T67" s="169"/>
      <c r="U67" s="169"/>
      <c r="V67" s="169"/>
      <c r="W67" s="169"/>
      <c r="X67" s="174"/>
      <c r="Y67" s="169"/>
      <c r="Z67" s="571"/>
      <c r="AA67" s="228"/>
      <c r="AB67" s="169"/>
      <c r="AC67" s="169"/>
      <c r="AD67" s="173"/>
      <c r="AE67" s="172"/>
      <c r="AF67" s="175"/>
      <c r="AG67" s="396"/>
      <c r="AH67" s="522"/>
      <c r="AJ67" s="390"/>
    </row>
    <row r="68" spans="1:36" s="141" customFormat="1">
      <c r="A68" s="251">
        <f t="shared" si="1"/>
        <v>63</v>
      </c>
      <c r="B68" s="295"/>
      <c r="C68" s="287"/>
      <c r="D68" s="288"/>
      <c r="E68" s="290"/>
      <c r="F68" s="291"/>
      <c r="G68" s="292"/>
      <c r="H68" s="285"/>
      <c r="I68" s="285"/>
      <c r="J68" s="293"/>
      <c r="K68" s="294"/>
      <c r="L68" s="294"/>
      <c r="M68" s="165"/>
      <c r="N68" s="164"/>
      <c r="O68" s="170"/>
      <c r="P68" s="389"/>
      <c r="Q68" s="171"/>
      <c r="R68" s="274"/>
      <c r="S68" s="176"/>
      <c r="T68" s="169"/>
      <c r="U68" s="169"/>
      <c r="V68" s="169"/>
      <c r="W68" s="169"/>
      <c r="X68" s="174"/>
      <c r="Y68" s="169"/>
      <c r="Z68" s="571"/>
      <c r="AA68" s="228"/>
      <c r="AB68" s="169"/>
      <c r="AC68" s="169"/>
      <c r="AD68" s="173"/>
      <c r="AE68" s="172"/>
      <c r="AF68" s="175"/>
      <c r="AG68" s="396"/>
      <c r="AH68" s="522"/>
      <c r="AJ68" s="390"/>
    </row>
    <row r="69" spans="1:36" s="141" customFormat="1">
      <c r="A69" s="251">
        <f t="shared" si="1"/>
        <v>64</v>
      </c>
      <c r="B69" s="295"/>
      <c r="C69" s="287"/>
      <c r="D69" s="288"/>
      <c r="E69" s="290"/>
      <c r="F69" s="291"/>
      <c r="G69" s="292"/>
      <c r="H69" s="285"/>
      <c r="I69" s="285"/>
      <c r="J69" s="293"/>
      <c r="K69" s="294"/>
      <c r="L69" s="294"/>
      <c r="M69" s="165"/>
      <c r="N69" s="164"/>
      <c r="O69" s="170"/>
      <c r="P69" s="389"/>
      <c r="Q69" s="171"/>
      <c r="R69" s="274"/>
      <c r="S69" s="176"/>
      <c r="T69" s="169"/>
      <c r="U69" s="169"/>
      <c r="V69" s="169"/>
      <c r="W69" s="169"/>
      <c r="X69" s="174"/>
      <c r="Y69" s="169"/>
      <c r="Z69" s="571"/>
      <c r="AA69" s="228"/>
      <c r="AB69" s="169"/>
      <c r="AC69" s="169"/>
      <c r="AD69" s="173"/>
      <c r="AE69" s="172"/>
      <c r="AF69" s="175"/>
      <c r="AG69" s="396"/>
      <c r="AH69" s="522"/>
      <c r="AJ69" s="390"/>
    </row>
    <row r="70" spans="1:36" s="141" customFormat="1">
      <c r="A70" s="251">
        <f t="shared" si="1"/>
        <v>65</v>
      </c>
      <c r="B70" s="295"/>
      <c r="C70" s="287"/>
      <c r="D70" s="288"/>
      <c r="E70" s="290"/>
      <c r="F70" s="291"/>
      <c r="G70" s="292"/>
      <c r="H70" s="285"/>
      <c r="I70" s="285"/>
      <c r="J70" s="293"/>
      <c r="K70" s="294"/>
      <c r="L70" s="294"/>
      <c r="M70" s="165"/>
      <c r="N70" s="164"/>
      <c r="O70" s="170"/>
      <c r="P70" s="389"/>
      <c r="Q70" s="171"/>
      <c r="R70" s="274"/>
      <c r="S70" s="176"/>
      <c r="T70" s="169"/>
      <c r="U70" s="169"/>
      <c r="V70" s="169"/>
      <c r="W70" s="169"/>
      <c r="X70" s="174"/>
      <c r="Y70" s="169"/>
      <c r="Z70" s="571"/>
      <c r="AA70" s="228"/>
      <c r="AB70" s="169"/>
      <c r="AC70" s="169"/>
      <c r="AD70" s="173"/>
      <c r="AE70" s="172"/>
      <c r="AF70" s="175"/>
      <c r="AG70" s="396"/>
      <c r="AH70" s="522"/>
      <c r="AJ70" s="390"/>
    </row>
    <row r="71" spans="1:36" s="141" customFormat="1">
      <c r="A71" s="251">
        <f t="shared" ref="A71:A104" si="2">+A70+1</f>
        <v>66</v>
      </c>
      <c r="B71" s="295"/>
      <c r="C71" s="287"/>
      <c r="D71" s="288"/>
      <c r="E71" s="290"/>
      <c r="F71" s="291"/>
      <c r="G71" s="292"/>
      <c r="H71" s="285"/>
      <c r="I71" s="285"/>
      <c r="J71" s="293"/>
      <c r="K71" s="294"/>
      <c r="L71" s="294"/>
      <c r="M71" s="165"/>
      <c r="N71" s="164"/>
      <c r="O71" s="170"/>
      <c r="P71" s="389"/>
      <c r="Q71" s="171"/>
      <c r="R71" s="274"/>
      <c r="S71" s="176"/>
      <c r="T71" s="169"/>
      <c r="U71" s="169"/>
      <c r="V71" s="169"/>
      <c r="W71" s="169"/>
      <c r="X71" s="174"/>
      <c r="Y71" s="169"/>
      <c r="Z71" s="571"/>
      <c r="AA71" s="228"/>
      <c r="AB71" s="169"/>
      <c r="AC71" s="169"/>
      <c r="AD71" s="173"/>
      <c r="AE71" s="172"/>
      <c r="AF71" s="175"/>
      <c r="AG71" s="396"/>
      <c r="AH71" s="522"/>
      <c r="AJ71" s="390"/>
    </row>
    <row r="72" spans="1:36" s="141" customFormat="1">
      <c r="A72" s="251">
        <f t="shared" si="2"/>
        <v>67</v>
      </c>
      <c r="B72" s="295"/>
      <c r="C72" s="287"/>
      <c r="D72" s="288"/>
      <c r="E72" s="290"/>
      <c r="F72" s="291"/>
      <c r="G72" s="292"/>
      <c r="H72" s="285"/>
      <c r="I72" s="285"/>
      <c r="J72" s="293"/>
      <c r="K72" s="294"/>
      <c r="L72" s="294"/>
      <c r="M72" s="165"/>
      <c r="N72" s="164"/>
      <c r="O72" s="170"/>
      <c r="P72" s="389"/>
      <c r="Q72" s="171"/>
      <c r="R72" s="274"/>
      <c r="S72" s="176"/>
      <c r="T72" s="169"/>
      <c r="U72" s="169"/>
      <c r="V72" s="169"/>
      <c r="W72" s="169"/>
      <c r="X72" s="174"/>
      <c r="Y72" s="169"/>
      <c r="Z72" s="571"/>
      <c r="AA72" s="228"/>
      <c r="AB72" s="169"/>
      <c r="AC72" s="169"/>
      <c r="AD72" s="173"/>
      <c r="AE72" s="172"/>
      <c r="AF72" s="175"/>
      <c r="AG72" s="396"/>
      <c r="AH72" s="522"/>
      <c r="AJ72" s="390"/>
    </row>
    <row r="73" spans="1:36" s="141" customFormat="1">
      <c r="A73" s="251">
        <f t="shared" si="2"/>
        <v>68</v>
      </c>
      <c r="B73" s="295"/>
      <c r="C73" s="287"/>
      <c r="D73" s="288"/>
      <c r="E73" s="290"/>
      <c r="F73" s="291"/>
      <c r="G73" s="292"/>
      <c r="H73" s="285"/>
      <c r="I73" s="285"/>
      <c r="J73" s="293"/>
      <c r="K73" s="294"/>
      <c r="L73" s="294"/>
      <c r="M73" s="165"/>
      <c r="N73" s="164"/>
      <c r="O73" s="170"/>
      <c r="P73" s="389"/>
      <c r="Q73" s="171"/>
      <c r="R73" s="274"/>
      <c r="S73" s="176"/>
      <c r="T73" s="169"/>
      <c r="U73" s="169"/>
      <c r="V73" s="169"/>
      <c r="W73" s="169"/>
      <c r="X73" s="174"/>
      <c r="Y73" s="169"/>
      <c r="Z73" s="571"/>
      <c r="AA73" s="228"/>
      <c r="AB73" s="169"/>
      <c r="AC73" s="169"/>
      <c r="AD73" s="173"/>
      <c r="AE73" s="172"/>
      <c r="AF73" s="175"/>
      <c r="AG73" s="396"/>
      <c r="AH73" s="522"/>
      <c r="AJ73" s="390"/>
    </row>
    <row r="74" spans="1:36" s="141" customFormat="1">
      <c r="A74" s="251">
        <f t="shared" si="2"/>
        <v>69</v>
      </c>
      <c r="B74" s="295"/>
      <c r="C74" s="287"/>
      <c r="D74" s="288"/>
      <c r="E74" s="290"/>
      <c r="F74" s="291"/>
      <c r="G74" s="292"/>
      <c r="H74" s="285"/>
      <c r="I74" s="285"/>
      <c r="J74" s="293"/>
      <c r="K74" s="294"/>
      <c r="L74" s="294"/>
      <c r="M74" s="165"/>
      <c r="N74" s="164"/>
      <c r="O74" s="170"/>
      <c r="P74" s="389"/>
      <c r="Q74" s="171"/>
      <c r="R74" s="274"/>
      <c r="S74" s="176"/>
      <c r="T74" s="169"/>
      <c r="U74" s="169"/>
      <c r="V74" s="169"/>
      <c r="W74" s="169"/>
      <c r="X74" s="174"/>
      <c r="Y74" s="169"/>
      <c r="Z74" s="571"/>
      <c r="AA74" s="228"/>
      <c r="AB74" s="169"/>
      <c r="AC74" s="169"/>
      <c r="AD74" s="173"/>
      <c r="AE74" s="172"/>
      <c r="AF74" s="175"/>
      <c r="AG74" s="396"/>
      <c r="AH74" s="522"/>
      <c r="AJ74" s="390"/>
    </row>
    <row r="75" spans="1:36" s="141" customFormat="1">
      <c r="A75" s="251">
        <f t="shared" si="2"/>
        <v>70</v>
      </c>
      <c r="B75" s="295"/>
      <c r="C75" s="287"/>
      <c r="D75" s="288"/>
      <c r="E75" s="290"/>
      <c r="F75" s="291"/>
      <c r="G75" s="292"/>
      <c r="H75" s="285"/>
      <c r="I75" s="285"/>
      <c r="J75" s="293"/>
      <c r="K75" s="294"/>
      <c r="L75" s="294"/>
      <c r="M75" s="165"/>
      <c r="N75" s="164"/>
      <c r="O75" s="170"/>
      <c r="P75" s="389"/>
      <c r="Q75" s="171"/>
      <c r="R75" s="274"/>
      <c r="S75" s="176"/>
      <c r="T75" s="169"/>
      <c r="U75" s="169"/>
      <c r="V75" s="169"/>
      <c r="W75" s="169"/>
      <c r="X75" s="174"/>
      <c r="Y75" s="169"/>
      <c r="Z75" s="571"/>
      <c r="AA75" s="228"/>
      <c r="AB75" s="169"/>
      <c r="AC75" s="169"/>
      <c r="AD75" s="173"/>
      <c r="AE75" s="172"/>
      <c r="AF75" s="175"/>
      <c r="AG75" s="396"/>
      <c r="AH75" s="522"/>
      <c r="AJ75" s="390"/>
    </row>
    <row r="76" spans="1:36" s="141" customFormat="1">
      <c r="A76" s="251">
        <f t="shared" si="2"/>
        <v>71</v>
      </c>
      <c r="B76" s="295"/>
      <c r="C76" s="287"/>
      <c r="D76" s="288"/>
      <c r="E76" s="290"/>
      <c r="F76" s="291"/>
      <c r="G76" s="292"/>
      <c r="H76" s="285"/>
      <c r="I76" s="285"/>
      <c r="J76" s="293"/>
      <c r="K76" s="294"/>
      <c r="L76" s="294"/>
      <c r="M76" s="165"/>
      <c r="N76" s="164"/>
      <c r="O76" s="170"/>
      <c r="P76" s="389"/>
      <c r="Q76" s="171"/>
      <c r="R76" s="274"/>
      <c r="S76" s="176"/>
      <c r="T76" s="169"/>
      <c r="U76" s="169"/>
      <c r="V76" s="169"/>
      <c r="W76" s="169"/>
      <c r="X76" s="174"/>
      <c r="Y76" s="169"/>
      <c r="Z76" s="571"/>
      <c r="AA76" s="228"/>
      <c r="AB76" s="169"/>
      <c r="AC76" s="169"/>
      <c r="AD76" s="173"/>
      <c r="AE76" s="172"/>
      <c r="AF76" s="175"/>
      <c r="AG76" s="396"/>
      <c r="AH76" s="522"/>
      <c r="AJ76" s="390"/>
    </row>
    <row r="77" spans="1:36" s="141" customFormat="1">
      <c r="A77" s="251">
        <f t="shared" si="2"/>
        <v>72</v>
      </c>
      <c r="B77" s="295"/>
      <c r="C77" s="287"/>
      <c r="D77" s="288"/>
      <c r="E77" s="290"/>
      <c r="F77" s="291"/>
      <c r="G77" s="292"/>
      <c r="H77" s="285"/>
      <c r="I77" s="285"/>
      <c r="J77" s="293"/>
      <c r="K77" s="294"/>
      <c r="L77" s="294"/>
      <c r="M77" s="165"/>
      <c r="N77" s="164"/>
      <c r="O77" s="170"/>
      <c r="P77" s="389"/>
      <c r="Q77" s="171"/>
      <c r="R77" s="274"/>
      <c r="S77" s="176"/>
      <c r="T77" s="169"/>
      <c r="U77" s="169"/>
      <c r="V77" s="169"/>
      <c r="W77" s="169"/>
      <c r="X77" s="174"/>
      <c r="Y77" s="169"/>
      <c r="Z77" s="571"/>
      <c r="AA77" s="228"/>
      <c r="AB77" s="169"/>
      <c r="AC77" s="169"/>
      <c r="AD77" s="173"/>
      <c r="AE77" s="172"/>
      <c r="AF77" s="175"/>
      <c r="AG77" s="396"/>
      <c r="AH77" s="522"/>
      <c r="AJ77" s="390"/>
    </row>
    <row r="78" spans="1:36" s="141" customFormat="1">
      <c r="A78" s="251">
        <f t="shared" si="2"/>
        <v>73</v>
      </c>
      <c r="B78" s="295"/>
      <c r="C78" s="287"/>
      <c r="D78" s="288"/>
      <c r="E78" s="290"/>
      <c r="F78" s="291"/>
      <c r="G78" s="292"/>
      <c r="H78" s="285"/>
      <c r="I78" s="285"/>
      <c r="J78" s="293"/>
      <c r="K78" s="294"/>
      <c r="L78" s="294"/>
      <c r="M78" s="165"/>
      <c r="N78" s="164"/>
      <c r="O78" s="170"/>
      <c r="P78" s="389"/>
      <c r="Q78" s="171"/>
      <c r="R78" s="274"/>
      <c r="S78" s="176"/>
      <c r="T78" s="169"/>
      <c r="U78" s="169"/>
      <c r="V78" s="169"/>
      <c r="W78" s="169"/>
      <c r="X78" s="174"/>
      <c r="Y78" s="169"/>
      <c r="Z78" s="571"/>
      <c r="AA78" s="228"/>
      <c r="AB78" s="169"/>
      <c r="AC78" s="169"/>
      <c r="AD78" s="173"/>
      <c r="AE78" s="172"/>
      <c r="AF78" s="175"/>
      <c r="AG78" s="396"/>
      <c r="AH78" s="522"/>
      <c r="AJ78" s="390"/>
    </row>
    <row r="79" spans="1:36" s="141" customFormat="1">
      <c r="A79" s="251">
        <f t="shared" si="2"/>
        <v>74</v>
      </c>
      <c r="B79" s="295"/>
      <c r="C79" s="287"/>
      <c r="D79" s="288"/>
      <c r="E79" s="290"/>
      <c r="F79" s="291"/>
      <c r="G79" s="292"/>
      <c r="H79" s="285"/>
      <c r="I79" s="285"/>
      <c r="J79" s="293"/>
      <c r="K79" s="294"/>
      <c r="L79" s="294"/>
      <c r="M79" s="165"/>
      <c r="N79" s="164"/>
      <c r="O79" s="170"/>
      <c r="P79" s="389"/>
      <c r="Q79" s="171"/>
      <c r="R79" s="274"/>
      <c r="S79" s="176"/>
      <c r="T79" s="169"/>
      <c r="U79" s="169"/>
      <c r="V79" s="169"/>
      <c r="W79" s="169"/>
      <c r="X79" s="174"/>
      <c r="Y79" s="169"/>
      <c r="Z79" s="571"/>
      <c r="AA79" s="228"/>
      <c r="AB79" s="169"/>
      <c r="AC79" s="169"/>
      <c r="AD79" s="173"/>
      <c r="AE79" s="172"/>
      <c r="AF79" s="175"/>
      <c r="AG79" s="396"/>
      <c r="AH79" s="522"/>
      <c r="AJ79" s="390"/>
    </row>
    <row r="80" spans="1:36" s="141" customFormat="1">
      <c r="A80" s="251">
        <f t="shared" si="2"/>
        <v>75</v>
      </c>
      <c r="B80" s="295"/>
      <c r="C80" s="287"/>
      <c r="D80" s="288"/>
      <c r="E80" s="290"/>
      <c r="F80" s="291"/>
      <c r="G80" s="292"/>
      <c r="H80" s="285"/>
      <c r="I80" s="285"/>
      <c r="J80" s="293"/>
      <c r="K80" s="294"/>
      <c r="L80" s="294"/>
      <c r="M80" s="165"/>
      <c r="N80" s="164"/>
      <c r="O80" s="170"/>
      <c r="P80" s="389"/>
      <c r="Q80" s="171"/>
      <c r="R80" s="274"/>
      <c r="S80" s="176"/>
      <c r="T80" s="169"/>
      <c r="U80" s="169"/>
      <c r="V80" s="169"/>
      <c r="W80" s="169"/>
      <c r="X80" s="174"/>
      <c r="Y80" s="169"/>
      <c r="Z80" s="571"/>
      <c r="AA80" s="228"/>
      <c r="AB80" s="169"/>
      <c r="AC80" s="169"/>
      <c r="AD80" s="173"/>
      <c r="AE80" s="172"/>
      <c r="AF80" s="175"/>
      <c r="AG80" s="396"/>
      <c r="AH80" s="522"/>
      <c r="AJ80" s="390"/>
    </row>
    <row r="81" spans="1:36" s="141" customFormat="1">
      <c r="A81" s="251">
        <f t="shared" si="2"/>
        <v>76</v>
      </c>
      <c r="B81" s="295"/>
      <c r="C81" s="287"/>
      <c r="D81" s="288"/>
      <c r="E81" s="290"/>
      <c r="F81" s="291"/>
      <c r="G81" s="292"/>
      <c r="H81" s="285"/>
      <c r="I81" s="285"/>
      <c r="J81" s="293"/>
      <c r="K81" s="294"/>
      <c r="L81" s="294"/>
      <c r="M81" s="165"/>
      <c r="N81" s="164"/>
      <c r="O81" s="170"/>
      <c r="P81" s="389"/>
      <c r="Q81" s="171"/>
      <c r="R81" s="274"/>
      <c r="S81" s="176"/>
      <c r="T81" s="169"/>
      <c r="U81" s="169"/>
      <c r="V81" s="169"/>
      <c r="W81" s="169"/>
      <c r="X81" s="174"/>
      <c r="Y81" s="169"/>
      <c r="Z81" s="571"/>
      <c r="AA81" s="228"/>
      <c r="AB81" s="169"/>
      <c r="AC81" s="169"/>
      <c r="AD81" s="173"/>
      <c r="AE81" s="172"/>
      <c r="AF81" s="175"/>
      <c r="AG81" s="396"/>
      <c r="AH81" s="522"/>
      <c r="AJ81" s="390"/>
    </row>
    <row r="82" spans="1:36" s="141" customFormat="1">
      <c r="A82" s="251">
        <f t="shared" si="2"/>
        <v>77</v>
      </c>
      <c r="B82" s="295"/>
      <c r="C82" s="287"/>
      <c r="D82" s="288"/>
      <c r="E82" s="290"/>
      <c r="F82" s="291"/>
      <c r="G82" s="292"/>
      <c r="H82" s="285"/>
      <c r="I82" s="285"/>
      <c r="J82" s="293"/>
      <c r="K82" s="294"/>
      <c r="L82" s="294"/>
      <c r="M82" s="165"/>
      <c r="N82" s="164"/>
      <c r="O82" s="170"/>
      <c r="P82" s="389"/>
      <c r="Q82" s="171"/>
      <c r="R82" s="274"/>
      <c r="S82" s="176"/>
      <c r="T82" s="169"/>
      <c r="U82" s="169"/>
      <c r="V82" s="169"/>
      <c r="W82" s="169"/>
      <c r="X82" s="174"/>
      <c r="Y82" s="169"/>
      <c r="Z82" s="571"/>
      <c r="AA82" s="228"/>
      <c r="AB82" s="169"/>
      <c r="AC82" s="169"/>
      <c r="AD82" s="173"/>
      <c r="AE82" s="172"/>
      <c r="AF82" s="175"/>
      <c r="AG82" s="396"/>
      <c r="AH82" s="522"/>
      <c r="AJ82" s="390"/>
    </row>
    <row r="83" spans="1:36" s="141" customFormat="1">
      <c r="A83" s="251">
        <f t="shared" si="2"/>
        <v>78</v>
      </c>
      <c r="B83" s="295"/>
      <c r="C83" s="287"/>
      <c r="D83" s="288"/>
      <c r="E83" s="290"/>
      <c r="F83" s="291"/>
      <c r="G83" s="292"/>
      <c r="H83" s="285"/>
      <c r="I83" s="285"/>
      <c r="J83" s="293"/>
      <c r="K83" s="294"/>
      <c r="L83" s="294"/>
      <c r="M83" s="165"/>
      <c r="N83" s="164"/>
      <c r="O83" s="170"/>
      <c r="P83" s="389"/>
      <c r="Q83" s="171"/>
      <c r="R83" s="274"/>
      <c r="S83" s="176"/>
      <c r="T83" s="169"/>
      <c r="U83" s="169"/>
      <c r="V83" s="169"/>
      <c r="W83" s="169"/>
      <c r="X83" s="174"/>
      <c r="Y83" s="169"/>
      <c r="Z83" s="571"/>
      <c r="AA83" s="228"/>
      <c r="AB83" s="169"/>
      <c r="AC83" s="169"/>
      <c r="AD83" s="173"/>
      <c r="AE83" s="172"/>
      <c r="AF83" s="175"/>
      <c r="AG83" s="396"/>
      <c r="AH83" s="522"/>
      <c r="AJ83" s="390"/>
    </row>
    <row r="84" spans="1:36" s="141" customFormat="1">
      <c r="A84" s="251">
        <f t="shared" si="2"/>
        <v>79</v>
      </c>
      <c r="B84" s="295"/>
      <c r="C84" s="287"/>
      <c r="D84" s="288"/>
      <c r="E84" s="290"/>
      <c r="F84" s="291"/>
      <c r="G84" s="292"/>
      <c r="H84" s="285"/>
      <c r="I84" s="285"/>
      <c r="J84" s="293"/>
      <c r="K84" s="294"/>
      <c r="L84" s="294"/>
      <c r="M84" s="165"/>
      <c r="N84" s="164"/>
      <c r="O84" s="170"/>
      <c r="P84" s="389"/>
      <c r="Q84" s="171"/>
      <c r="R84" s="274"/>
      <c r="S84" s="176"/>
      <c r="T84" s="169"/>
      <c r="U84" s="169"/>
      <c r="V84" s="169"/>
      <c r="W84" s="169"/>
      <c r="X84" s="174"/>
      <c r="Y84" s="169"/>
      <c r="Z84" s="571"/>
      <c r="AA84" s="228"/>
      <c r="AB84" s="169"/>
      <c r="AC84" s="169"/>
      <c r="AD84" s="173"/>
      <c r="AE84" s="172"/>
      <c r="AF84" s="175"/>
      <c r="AG84" s="396"/>
      <c r="AH84" s="522"/>
      <c r="AJ84" s="390"/>
    </row>
    <row r="85" spans="1:36" s="141" customFormat="1">
      <c r="A85" s="251">
        <f t="shared" si="2"/>
        <v>80</v>
      </c>
      <c r="B85" s="295"/>
      <c r="C85" s="287"/>
      <c r="D85" s="288"/>
      <c r="E85" s="290"/>
      <c r="F85" s="291"/>
      <c r="G85" s="292"/>
      <c r="H85" s="285"/>
      <c r="I85" s="285"/>
      <c r="J85" s="293"/>
      <c r="K85" s="294"/>
      <c r="L85" s="294"/>
      <c r="M85" s="165"/>
      <c r="N85" s="164"/>
      <c r="O85" s="170"/>
      <c r="P85" s="389"/>
      <c r="Q85" s="171"/>
      <c r="R85" s="274"/>
      <c r="S85" s="176"/>
      <c r="T85" s="169"/>
      <c r="U85" s="169"/>
      <c r="V85" s="169"/>
      <c r="W85" s="169"/>
      <c r="X85" s="174"/>
      <c r="Y85" s="169"/>
      <c r="Z85" s="571"/>
      <c r="AA85" s="228"/>
      <c r="AB85" s="169"/>
      <c r="AC85" s="169"/>
      <c r="AD85" s="173"/>
      <c r="AE85" s="172"/>
      <c r="AF85" s="175"/>
      <c r="AG85" s="396"/>
      <c r="AH85" s="522"/>
      <c r="AJ85" s="390"/>
    </row>
    <row r="86" spans="1:36" s="141" customFormat="1">
      <c r="A86" s="251">
        <f t="shared" si="2"/>
        <v>81</v>
      </c>
      <c r="B86" s="295"/>
      <c r="C86" s="287"/>
      <c r="D86" s="288"/>
      <c r="E86" s="290"/>
      <c r="F86" s="291"/>
      <c r="G86" s="292"/>
      <c r="H86" s="285"/>
      <c r="I86" s="285"/>
      <c r="J86" s="293"/>
      <c r="K86" s="294"/>
      <c r="L86" s="294"/>
      <c r="M86" s="165"/>
      <c r="N86" s="164"/>
      <c r="O86" s="170"/>
      <c r="P86" s="389"/>
      <c r="Q86" s="171"/>
      <c r="R86" s="274"/>
      <c r="S86" s="176"/>
      <c r="T86" s="169"/>
      <c r="U86" s="169"/>
      <c r="V86" s="169"/>
      <c r="W86" s="169"/>
      <c r="X86" s="174"/>
      <c r="Y86" s="169"/>
      <c r="Z86" s="571"/>
      <c r="AA86" s="228"/>
      <c r="AB86" s="169"/>
      <c r="AC86" s="169"/>
      <c r="AD86" s="173"/>
      <c r="AE86" s="172"/>
      <c r="AF86" s="175"/>
      <c r="AG86" s="396"/>
      <c r="AH86" s="522"/>
      <c r="AJ86" s="390"/>
    </row>
    <row r="87" spans="1:36" s="141" customFormat="1">
      <c r="A87" s="251">
        <f t="shared" si="2"/>
        <v>82</v>
      </c>
      <c r="B87" s="295"/>
      <c r="C87" s="287"/>
      <c r="D87" s="288"/>
      <c r="E87" s="290"/>
      <c r="F87" s="291"/>
      <c r="G87" s="292"/>
      <c r="H87" s="285"/>
      <c r="I87" s="285"/>
      <c r="J87" s="293"/>
      <c r="K87" s="294"/>
      <c r="L87" s="294"/>
      <c r="M87" s="165"/>
      <c r="N87" s="164"/>
      <c r="O87" s="170"/>
      <c r="P87" s="389"/>
      <c r="Q87" s="171"/>
      <c r="R87" s="274"/>
      <c r="S87" s="176"/>
      <c r="T87" s="169"/>
      <c r="U87" s="169"/>
      <c r="V87" s="169"/>
      <c r="W87" s="169"/>
      <c r="X87" s="174"/>
      <c r="Y87" s="169"/>
      <c r="Z87" s="571"/>
      <c r="AA87" s="228"/>
      <c r="AB87" s="169"/>
      <c r="AC87" s="169"/>
      <c r="AD87" s="173"/>
      <c r="AE87" s="172"/>
      <c r="AF87" s="175"/>
      <c r="AG87" s="396"/>
      <c r="AH87" s="522"/>
      <c r="AJ87" s="390"/>
    </row>
    <row r="88" spans="1:36" s="141" customFormat="1">
      <c r="A88" s="251">
        <f t="shared" si="2"/>
        <v>83</v>
      </c>
      <c r="B88" s="295"/>
      <c r="C88" s="287"/>
      <c r="D88" s="288"/>
      <c r="E88" s="290"/>
      <c r="F88" s="291"/>
      <c r="G88" s="292"/>
      <c r="H88" s="285"/>
      <c r="I88" s="285"/>
      <c r="J88" s="293"/>
      <c r="K88" s="294"/>
      <c r="L88" s="294"/>
      <c r="M88" s="165"/>
      <c r="N88" s="164"/>
      <c r="O88" s="170"/>
      <c r="P88" s="389"/>
      <c r="Q88" s="171"/>
      <c r="R88" s="274"/>
      <c r="S88" s="176"/>
      <c r="T88" s="169"/>
      <c r="U88" s="169"/>
      <c r="V88" s="169"/>
      <c r="W88" s="169"/>
      <c r="X88" s="174"/>
      <c r="Y88" s="169"/>
      <c r="Z88" s="571"/>
      <c r="AA88" s="228"/>
      <c r="AB88" s="169"/>
      <c r="AC88" s="169"/>
      <c r="AD88" s="173"/>
      <c r="AE88" s="172"/>
      <c r="AF88" s="175"/>
      <c r="AG88" s="396"/>
      <c r="AH88" s="522"/>
      <c r="AJ88" s="390"/>
    </row>
    <row r="89" spans="1:36" s="141" customFormat="1">
      <c r="A89" s="251">
        <f t="shared" si="2"/>
        <v>84</v>
      </c>
      <c r="B89" s="295"/>
      <c r="C89" s="287"/>
      <c r="D89" s="288"/>
      <c r="E89" s="290"/>
      <c r="F89" s="291"/>
      <c r="G89" s="292"/>
      <c r="H89" s="285"/>
      <c r="I89" s="285"/>
      <c r="J89" s="293"/>
      <c r="K89" s="294"/>
      <c r="L89" s="294"/>
      <c r="M89" s="165"/>
      <c r="N89" s="164"/>
      <c r="O89" s="170"/>
      <c r="P89" s="389"/>
      <c r="Q89" s="171"/>
      <c r="R89" s="274"/>
      <c r="S89" s="176"/>
      <c r="T89" s="169"/>
      <c r="U89" s="169"/>
      <c r="V89" s="169"/>
      <c r="W89" s="169"/>
      <c r="X89" s="174"/>
      <c r="Y89" s="169"/>
      <c r="Z89" s="571"/>
      <c r="AA89" s="228"/>
      <c r="AB89" s="169"/>
      <c r="AC89" s="169"/>
      <c r="AD89" s="173"/>
      <c r="AE89" s="172"/>
      <c r="AF89" s="175"/>
      <c r="AG89" s="396"/>
      <c r="AH89" s="522"/>
      <c r="AJ89" s="390"/>
    </row>
    <row r="90" spans="1:36" s="141" customFormat="1">
      <c r="A90" s="251">
        <f t="shared" si="2"/>
        <v>85</v>
      </c>
      <c r="B90" s="295"/>
      <c r="C90" s="287"/>
      <c r="D90" s="288"/>
      <c r="E90" s="290"/>
      <c r="F90" s="291"/>
      <c r="G90" s="292"/>
      <c r="H90" s="285"/>
      <c r="I90" s="285"/>
      <c r="J90" s="293"/>
      <c r="K90" s="294"/>
      <c r="L90" s="294"/>
      <c r="M90" s="165"/>
      <c r="N90" s="164"/>
      <c r="O90" s="170"/>
      <c r="P90" s="389"/>
      <c r="Q90" s="171"/>
      <c r="R90" s="274"/>
      <c r="S90" s="176"/>
      <c r="T90" s="169"/>
      <c r="U90" s="169"/>
      <c r="V90" s="169"/>
      <c r="W90" s="169"/>
      <c r="X90" s="174"/>
      <c r="Y90" s="169"/>
      <c r="Z90" s="571"/>
      <c r="AA90" s="228"/>
      <c r="AB90" s="169"/>
      <c r="AC90" s="169"/>
      <c r="AD90" s="173"/>
      <c r="AE90" s="172"/>
      <c r="AF90" s="175"/>
      <c r="AG90" s="396"/>
      <c r="AH90" s="522"/>
      <c r="AJ90" s="390"/>
    </row>
    <row r="91" spans="1:36" s="141" customFormat="1">
      <c r="A91" s="251">
        <f t="shared" si="2"/>
        <v>86</v>
      </c>
      <c r="B91" s="295"/>
      <c r="C91" s="287"/>
      <c r="D91" s="288"/>
      <c r="E91" s="290"/>
      <c r="F91" s="291"/>
      <c r="G91" s="292"/>
      <c r="H91" s="285"/>
      <c r="I91" s="285"/>
      <c r="J91" s="293"/>
      <c r="K91" s="294"/>
      <c r="L91" s="294"/>
      <c r="M91" s="165"/>
      <c r="N91" s="164"/>
      <c r="O91" s="170"/>
      <c r="P91" s="389"/>
      <c r="Q91" s="171"/>
      <c r="R91" s="274"/>
      <c r="S91" s="176"/>
      <c r="T91" s="169"/>
      <c r="U91" s="169"/>
      <c r="V91" s="169"/>
      <c r="W91" s="169"/>
      <c r="X91" s="174"/>
      <c r="Y91" s="169"/>
      <c r="Z91" s="571"/>
      <c r="AA91" s="228"/>
      <c r="AB91" s="169"/>
      <c r="AC91" s="169"/>
      <c r="AD91" s="173"/>
      <c r="AE91" s="172"/>
      <c r="AF91" s="175"/>
      <c r="AG91" s="396"/>
      <c r="AH91" s="522"/>
      <c r="AJ91" s="390"/>
    </row>
    <row r="92" spans="1:36" s="141" customFormat="1">
      <c r="A92" s="251">
        <f t="shared" si="2"/>
        <v>87</v>
      </c>
      <c r="B92" s="295"/>
      <c r="C92" s="287"/>
      <c r="D92" s="288"/>
      <c r="E92" s="290"/>
      <c r="F92" s="291"/>
      <c r="G92" s="292"/>
      <c r="H92" s="285"/>
      <c r="I92" s="285"/>
      <c r="J92" s="293"/>
      <c r="K92" s="294"/>
      <c r="L92" s="294"/>
      <c r="M92" s="165"/>
      <c r="N92" s="164"/>
      <c r="O92" s="170"/>
      <c r="P92" s="389"/>
      <c r="Q92" s="171"/>
      <c r="R92" s="274"/>
      <c r="S92" s="176"/>
      <c r="T92" s="169"/>
      <c r="U92" s="169"/>
      <c r="V92" s="169"/>
      <c r="W92" s="169"/>
      <c r="X92" s="174"/>
      <c r="Y92" s="169"/>
      <c r="Z92" s="571"/>
      <c r="AA92" s="228"/>
      <c r="AB92" s="169"/>
      <c r="AC92" s="169"/>
      <c r="AD92" s="173"/>
      <c r="AE92" s="172"/>
      <c r="AF92" s="175"/>
      <c r="AG92" s="396"/>
      <c r="AH92" s="522"/>
      <c r="AJ92" s="390"/>
    </row>
    <row r="93" spans="1:36" s="141" customFormat="1">
      <c r="A93" s="251">
        <f t="shared" si="2"/>
        <v>88</v>
      </c>
      <c r="B93" s="295"/>
      <c r="C93" s="287"/>
      <c r="D93" s="288"/>
      <c r="E93" s="290"/>
      <c r="F93" s="291"/>
      <c r="G93" s="292"/>
      <c r="H93" s="285"/>
      <c r="I93" s="285"/>
      <c r="J93" s="293"/>
      <c r="K93" s="294"/>
      <c r="L93" s="294"/>
      <c r="M93" s="165"/>
      <c r="N93" s="164"/>
      <c r="O93" s="170"/>
      <c r="P93" s="389"/>
      <c r="Q93" s="171"/>
      <c r="R93" s="274"/>
      <c r="S93" s="176"/>
      <c r="T93" s="169"/>
      <c r="U93" s="169"/>
      <c r="V93" s="169"/>
      <c r="W93" s="169"/>
      <c r="X93" s="174"/>
      <c r="Y93" s="169"/>
      <c r="Z93" s="571"/>
      <c r="AA93" s="228"/>
      <c r="AB93" s="169"/>
      <c r="AC93" s="169"/>
      <c r="AD93" s="173"/>
      <c r="AE93" s="172"/>
      <c r="AF93" s="175"/>
      <c r="AG93" s="396"/>
      <c r="AH93" s="522"/>
      <c r="AJ93" s="390"/>
    </row>
    <row r="94" spans="1:36" s="141" customFormat="1">
      <c r="A94" s="251">
        <f t="shared" si="2"/>
        <v>89</v>
      </c>
      <c r="B94" s="295"/>
      <c r="C94" s="287"/>
      <c r="D94" s="288"/>
      <c r="E94" s="290"/>
      <c r="F94" s="291"/>
      <c r="G94" s="292"/>
      <c r="H94" s="285"/>
      <c r="I94" s="285"/>
      <c r="J94" s="293"/>
      <c r="K94" s="294"/>
      <c r="L94" s="294"/>
      <c r="M94" s="165"/>
      <c r="N94" s="164"/>
      <c r="O94" s="170"/>
      <c r="P94" s="389"/>
      <c r="Q94" s="171"/>
      <c r="R94" s="274"/>
      <c r="S94" s="176"/>
      <c r="T94" s="169"/>
      <c r="U94" s="169"/>
      <c r="V94" s="169"/>
      <c r="W94" s="169"/>
      <c r="X94" s="174"/>
      <c r="Y94" s="169"/>
      <c r="Z94" s="571"/>
      <c r="AA94" s="228"/>
      <c r="AB94" s="169"/>
      <c r="AC94" s="169"/>
      <c r="AD94" s="173"/>
      <c r="AE94" s="172"/>
      <c r="AF94" s="175"/>
      <c r="AG94" s="396"/>
      <c r="AH94" s="522"/>
      <c r="AJ94" s="390"/>
    </row>
    <row r="95" spans="1:36" s="141" customFormat="1">
      <c r="A95" s="251">
        <f t="shared" si="2"/>
        <v>90</v>
      </c>
      <c r="B95" s="295"/>
      <c r="C95" s="287"/>
      <c r="D95" s="288"/>
      <c r="E95" s="290"/>
      <c r="F95" s="291"/>
      <c r="G95" s="292"/>
      <c r="H95" s="285"/>
      <c r="I95" s="285"/>
      <c r="J95" s="293"/>
      <c r="K95" s="294"/>
      <c r="L95" s="294"/>
      <c r="M95" s="165"/>
      <c r="N95" s="164"/>
      <c r="O95" s="170"/>
      <c r="P95" s="389"/>
      <c r="Q95" s="171"/>
      <c r="R95" s="274"/>
      <c r="S95" s="171"/>
      <c r="T95" s="169"/>
      <c r="U95" s="169"/>
      <c r="V95" s="169"/>
      <c r="W95" s="169"/>
      <c r="X95" s="174"/>
      <c r="Y95" s="169"/>
      <c r="Z95" s="571"/>
      <c r="AA95" s="228"/>
      <c r="AB95" s="169"/>
      <c r="AC95" s="169"/>
      <c r="AD95" s="173"/>
      <c r="AE95" s="172"/>
      <c r="AF95" s="175"/>
      <c r="AG95" s="396"/>
      <c r="AH95" s="522"/>
      <c r="AJ95" s="390"/>
    </row>
    <row r="96" spans="1:36" s="141" customFormat="1">
      <c r="A96" s="251">
        <f t="shared" si="2"/>
        <v>91</v>
      </c>
      <c r="B96" s="295"/>
      <c r="C96" s="287"/>
      <c r="D96" s="288"/>
      <c r="E96" s="290"/>
      <c r="F96" s="291"/>
      <c r="G96" s="292"/>
      <c r="H96" s="285"/>
      <c r="I96" s="285"/>
      <c r="J96" s="293"/>
      <c r="K96" s="294"/>
      <c r="L96" s="294"/>
      <c r="M96" s="165"/>
      <c r="N96" s="164"/>
      <c r="O96" s="170"/>
      <c r="P96" s="389"/>
      <c r="Q96" s="171"/>
      <c r="R96" s="274"/>
      <c r="S96" s="171"/>
      <c r="T96" s="169"/>
      <c r="U96" s="169"/>
      <c r="V96" s="169"/>
      <c r="W96" s="169"/>
      <c r="X96" s="174"/>
      <c r="Y96" s="169"/>
      <c r="Z96" s="571"/>
      <c r="AA96" s="228"/>
      <c r="AB96" s="169"/>
      <c r="AC96" s="169"/>
      <c r="AD96" s="173"/>
      <c r="AE96" s="172"/>
      <c r="AF96" s="175"/>
      <c r="AG96" s="396"/>
      <c r="AH96" s="522"/>
      <c r="AJ96" s="390"/>
    </row>
    <row r="97" spans="1:36" s="141" customFormat="1">
      <c r="A97" s="251">
        <f t="shared" si="2"/>
        <v>92</v>
      </c>
      <c r="B97" s="295"/>
      <c r="C97" s="287"/>
      <c r="D97" s="288"/>
      <c r="E97" s="290"/>
      <c r="F97" s="291"/>
      <c r="G97" s="292"/>
      <c r="H97" s="285"/>
      <c r="I97" s="285"/>
      <c r="J97" s="293"/>
      <c r="K97" s="294"/>
      <c r="L97" s="294"/>
      <c r="M97" s="165"/>
      <c r="N97" s="164"/>
      <c r="O97" s="170"/>
      <c r="P97" s="389"/>
      <c r="Q97" s="171"/>
      <c r="R97" s="274"/>
      <c r="S97" s="171"/>
      <c r="T97" s="169"/>
      <c r="U97" s="169"/>
      <c r="V97" s="169"/>
      <c r="W97" s="169"/>
      <c r="X97" s="174"/>
      <c r="Y97" s="169"/>
      <c r="Z97" s="571"/>
      <c r="AA97" s="228"/>
      <c r="AB97" s="169"/>
      <c r="AC97" s="169"/>
      <c r="AD97" s="173"/>
      <c r="AE97" s="172"/>
      <c r="AF97" s="175"/>
      <c r="AG97" s="396"/>
      <c r="AH97" s="522"/>
      <c r="AJ97" s="390"/>
    </row>
    <row r="98" spans="1:36" s="141" customFormat="1">
      <c r="A98" s="251">
        <f t="shared" si="2"/>
        <v>93</v>
      </c>
      <c r="B98" s="295"/>
      <c r="C98" s="287"/>
      <c r="D98" s="288"/>
      <c r="E98" s="290"/>
      <c r="F98" s="291"/>
      <c r="G98" s="292"/>
      <c r="H98" s="285"/>
      <c r="I98" s="285"/>
      <c r="J98" s="293"/>
      <c r="K98" s="294"/>
      <c r="L98" s="294"/>
      <c r="M98" s="165"/>
      <c r="N98" s="164"/>
      <c r="O98" s="170"/>
      <c r="P98" s="389"/>
      <c r="Q98" s="171"/>
      <c r="R98" s="274"/>
      <c r="S98" s="171"/>
      <c r="T98" s="169"/>
      <c r="U98" s="169"/>
      <c r="V98" s="169"/>
      <c r="W98" s="169"/>
      <c r="X98" s="174"/>
      <c r="Y98" s="169"/>
      <c r="Z98" s="571"/>
      <c r="AA98" s="228"/>
      <c r="AB98" s="169"/>
      <c r="AC98" s="169"/>
      <c r="AD98" s="173"/>
      <c r="AE98" s="172"/>
      <c r="AF98" s="175"/>
      <c r="AG98" s="396"/>
      <c r="AH98" s="522"/>
      <c r="AJ98" s="390"/>
    </row>
    <row r="99" spans="1:36" s="141" customFormat="1">
      <c r="A99" s="251">
        <f t="shared" si="2"/>
        <v>94</v>
      </c>
      <c r="B99" s="295"/>
      <c r="C99" s="287"/>
      <c r="D99" s="288"/>
      <c r="E99" s="290"/>
      <c r="F99" s="291"/>
      <c r="G99" s="292"/>
      <c r="H99" s="285"/>
      <c r="I99" s="285"/>
      <c r="J99" s="293"/>
      <c r="K99" s="294"/>
      <c r="L99" s="294"/>
      <c r="M99" s="165"/>
      <c r="N99" s="164"/>
      <c r="O99" s="170"/>
      <c r="P99" s="389"/>
      <c r="Q99" s="171"/>
      <c r="R99" s="274"/>
      <c r="S99" s="171"/>
      <c r="T99" s="169"/>
      <c r="U99" s="169"/>
      <c r="V99" s="169"/>
      <c r="W99" s="169"/>
      <c r="X99" s="174"/>
      <c r="Y99" s="169"/>
      <c r="Z99" s="571"/>
      <c r="AA99" s="228"/>
      <c r="AB99" s="169"/>
      <c r="AC99" s="169"/>
      <c r="AD99" s="173"/>
      <c r="AE99" s="172"/>
      <c r="AF99" s="175"/>
      <c r="AG99" s="396"/>
      <c r="AH99" s="522"/>
      <c r="AJ99" s="390"/>
    </row>
    <row r="100" spans="1:36" s="141" customFormat="1">
      <c r="A100" s="251">
        <f t="shared" si="2"/>
        <v>95</v>
      </c>
      <c r="B100" s="295"/>
      <c r="C100" s="287"/>
      <c r="D100" s="288"/>
      <c r="E100" s="290"/>
      <c r="F100" s="291"/>
      <c r="G100" s="292"/>
      <c r="H100" s="285"/>
      <c r="I100" s="285"/>
      <c r="J100" s="293"/>
      <c r="K100" s="294"/>
      <c r="L100" s="294"/>
      <c r="M100" s="165"/>
      <c r="N100" s="164"/>
      <c r="O100" s="170"/>
      <c r="P100" s="389"/>
      <c r="Q100" s="171"/>
      <c r="R100" s="274"/>
      <c r="S100" s="171"/>
      <c r="T100" s="169"/>
      <c r="U100" s="169"/>
      <c r="V100" s="169"/>
      <c r="W100" s="169"/>
      <c r="X100" s="174"/>
      <c r="Y100" s="169"/>
      <c r="Z100" s="571"/>
      <c r="AA100" s="228"/>
      <c r="AB100" s="169"/>
      <c r="AC100" s="169"/>
      <c r="AD100" s="173"/>
      <c r="AE100" s="172"/>
      <c r="AF100" s="175"/>
      <c r="AG100" s="396"/>
      <c r="AH100" s="522"/>
      <c r="AJ100" s="390"/>
    </row>
    <row r="101" spans="1:36" s="141" customFormat="1">
      <c r="A101" s="251">
        <f t="shared" si="2"/>
        <v>96</v>
      </c>
      <c r="B101" s="295"/>
      <c r="C101" s="287"/>
      <c r="D101" s="288"/>
      <c r="E101" s="290"/>
      <c r="F101" s="291"/>
      <c r="G101" s="292"/>
      <c r="H101" s="285"/>
      <c r="I101" s="285"/>
      <c r="J101" s="293"/>
      <c r="K101" s="294"/>
      <c r="L101" s="294"/>
      <c r="M101" s="165"/>
      <c r="N101" s="164"/>
      <c r="O101" s="170"/>
      <c r="P101" s="389"/>
      <c r="Q101" s="171"/>
      <c r="R101" s="274"/>
      <c r="S101" s="171"/>
      <c r="T101" s="169"/>
      <c r="U101" s="169"/>
      <c r="V101" s="169"/>
      <c r="W101" s="169"/>
      <c r="X101" s="174"/>
      <c r="Y101" s="169"/>
      <c r="Z101" s="571"/>
      <c r="AA101" s="228"/>
      <c r="AB101" s="169"/>
      <c r="AC101" s="169"/>
      <c r="AD101" s="173"/>
      <c r="AE101" s="172"/>
      <c r="AF101" s="175"/>
      <c r="AG101" s="396"/>
      <c r="AH101" s="522"/>
      <c r="AJ101" s="390"/>
    </row>
    <row r="102" spans="1:36" s="141" customFormat="1">
      <c r="A102" s="251">
        <f t="shared" si="2"/>
        <v>97</v>
      </c>
      <c r="B102" s="295"/>
      <c r="C102" s="287"/>
      <c r="D102" s="288"/>
      <c r="E102" s="290"/>
      <c r="F102" s="291"/>
      <c r="G102" s="292"/>
      <c r="H102" s="285"/>
      <c r="I102" s="285"/>
      <c r="J102" s="293"/>
      <c r="K102" s="294"/>
      <c r="L102" s="294"/>
      <c r="M102" s="165"/>
      <c r="N102" s="164"/>
      <c r="O102" s="170"/>
      <c r="P102" s="389"/>
      <c r="Q102" s="171"/>
      <c r="R102" s="274"/>
      <c r="S102" s="171"/>
      <c r="T102" s="169"/>
      <c r="U102" s="169"/>
      <c r="V102" s="169"/>
      <c r="W102" s="169"/>
      <c r="X102" s="174"/>
      <c r="Y102" s="169"/>
      <c r="Z102" s="571"/>
      <c r="AA102" s="228"/>
      <c r="AB102" s="169"/>
      <c r="AC102" s="169"/>
      <c r="AD102" s="173"/>
      <c r="AE102" s="172"/>
      <c r="AF102" s="175"/>
      <c r="AG102" s="396"/>
      <c r="AH102" s="522"/>
      <c r="AJ102" s="390"/>
    </row>
    <row r="103" spans="1:36" s="141" customFormat="1">
      <c r="A103" s="251">
        <f t="shared" si="2"/>
        <v>98</v>
      </c>
      <c r="B103" s="295"/>
      <c r="C103" s="287"/>
      <c r="D103" s="288"/>
      <c r="E103" s="290"/>
      <c r="F103" s="291"/>
      <c r="G103" s="292"/>
      <c r="H103" s="285"/>
      <c r="I103" s="285"/>
      <c r="J103" s="296"/>
      <c r="K103" s="297"/>
      <c r="L103" s="297"/>
      <c r="M103" s="165"/>
      <c r="N103" s="164"/>
      <c r="O103" s="170"/>
      <c r="P103" s="389"/>
      <c r="Q103" s="171"/>
      <c r="R103" s="274"/>
      <c r="S103" s="171"/>
      <c r="T103" s="169"/>
      <c r="U103" s="169"/>
      <c r="V103" s="169"/>
      <c r="W103" s="169"/>
      <c r="X103" s="174"/>
      <c r="Y103" s="169"/>
      <c r="Z103" s="571"/>
      <c r="AA103" s="228"/>
      <c r="AB103" s="169"/>
      <c r="AC103" s="169"/>
      <c r="AD103" s="173"/>
      <c r="AE103" s="172"/>
      <c r="AF103" s="175"/>
      <c r="AG103" s="396"/>
      <c r="AH103" s="522"/>
      <c r="AJ103" s="390"/>
    </row>
    <row r="104" spans="1:36" s="141" customFormat="1">
      <c r="A104" s="251">
        <f t="shared" si="2"/>
        <v>99</v>
      </c>
      <c r="B104" s="298"/>
      <c r="C104" s="287"/>
      <c r="D104" s="288"/>
      <c r="E104" s="290"/>
      <c r="F104" s="291"/>
      <c r="G104" s="299"/>
      <c r="H104" s="300"/>
      <c r="I104" s="300"/>
      <c r="J104" s="293"/>
      <c r="K104" s="294"/>
      <c r="L104" s="294"/>
      <c r="M104" s="165"/>
      <c r="N104" s="164"/>
      <c r="O104" s="170"/>
      <c r="P104" s="389"/>
      <c r="Q104" s="171"/>
      <c r="R104" s="274"/>
      <c r="S104" s="171"/>
      <c r="T104" s="169"/>
      <c r="U104" s="169"/>
      <c r="V104" s="169"/>
      <c r="W104" s="169"/>
      <c r="X104" s="174"/>
      <c r="Y104" s="169"/>
      <c r="Z104" s="571"/>
      <c r="AA104" s="228"/>
      <c r="AB104" s="169"/>
      <c r="AC104" s="169"/>
      <c r="AD104" s="173"/>
      <c r="AE104" s="172"/>
      <c r="AF104" s="175"/>
      <c r="AG104" s="396"/>
      <c r="AH104" s="522"/>
      <c r="AJ104" s="390"/>
    </row>
    <row r="105" spans="1:36" s="141" customFormat="1">
      <c r="A105" s="42"/>
      <c r="B105" s="41"/>
      <c r="C105" s="276"/>
      <c r="D105" s="277"/>
      <c r="E105" s="276"/>
      <c r="F105" s="276"/>
      <c r="G105" s="278"/>
      <c r="H105" s="41"/>
      <c r="I105" s="41"/>
      <c r="J105" s="279"/>
      <c r="K105" s="279"/>
      <c r="L105" s="279"/>
      <c r="M105" s="140"/>
      <c r="O105" s="142"/>
      <c r="P105" s="142"/>
      <c r="Q105" s="41"/>
      <c r="R105" s="41"/>
      <c r="S105" s="41"/>
      <c r="T105" s="148"/>
      <c r="U105" s="148"/>
      <c r="V105" s="148"/>
      <c r="W105" s="148"/>
      <c r="X105" s="149"/>
      <c r="Y105" s="148"/>
      <c r="Z105" s="148"/>
      <c r="AA105" s="148"/>
      <c r="AB105" s="148"/>
      <c r="AC105" s="148"/>
      <c r="AD105" s="150"/>
      <c r="AE105" s="151"/>
      <c r="AF105" s="152"/>
      <c r="AG105" s="153"/>
      <c r="AH105" s="154"/>
      <c r="AJ105" s="390"/>
    </row>
    <row r="106" spans="1:36" s="141" customFormat="1">
      <c r="A106" s="42"/>
      <c r="B106" s="41"/>
      <c r="C106" s="276"/>
      <c r="D106" s="277"/>
      <c r="E106" s="276"/>
      <c r="F106" s="276"/>
      <c r="G106" s="278"/>
      <c r="H106" s="41"/>
      <c r="I106" s="41"/>
      <c r="J106" s="279"/>
      <c r="K106" s="279"/>
      <c r="L106" s="279"/>
      <c r="M106" s="140"/>
      <c r="O106" s="142"/>
      <c r="P106" s="142"/>
      <c r="Q106" s="41"/>
      <c r="R106" s="41"/>
      <c r="S106" s="41"/>
      <c r="T106" s="148"/>
      <c r="U106" s="148"/>
      <c r="V106" s="148"/>
      <c r="W106" s="148"/>
      <c r="X106" s="149"/>
      <c r="Y106" s="148"/>
      <c r="Z106" s="148"/>
      <c r="AA106" s="148"/>
      <c r="AB106" s="148"/>
      <c r="AC106" s="148"/>
      <c r="AD106" s="150"/>
      <c r="AE106" s="151"/>
      <c r="AF106" s="152"/>
      <c r="AG106" s="153"/>
      <c r="AH106" s="154"/>
      <c r="AJ106" s="390"/>
    </row>
    <row r="107" spans="1:36" s="141" customFormat="1">
      <c r="A107" s="42"/>
      <c r="B107" s="41"/>
      <c r="C107" s="276"/>
      <c r="D107" s="277"/>
      <c r="E107" s="276"/>
      <c r="F107" s="276"/>
      <c r="G107" s="278"/>
      <c r="H107" s="41"/>
      <c r="I107" s="41"/>
      <c r="J107" s="279"/>
      <c r="K107" s="279"/>
      <c r="L107" s="279"/>
      <c r="M107" s="140"/>
      <c r="O107" s="142"/>
      <c r="P107" s="142"/>
      <c r="Q107" s="41"/>
      <c r="R107" s="41"/>
      <c r="S107" s="41"/>
      <c r="T107" s="148"/>
      <c r="U107" s="148"/>
      <c r="V107" s="148"/>
      <c r="W107" s="148"/>
      <c r="X107" s="149"/>
      <c r="Y107" s="148"/>
      <c r="Z107" s="148"/>
      <c r="AA107" s="148"/>
      <c r="AB107" s="148"/>
      <c r="AC107" s="148"/>
      <c r="AD107" s="150"/>
      <c r="AE107" s="151"/>
      <c r="AF107" s="152"/>
      <c r="AG107" s="153"/>
      <c r="AH107" s="154"/>
      <c r="AJ107" s="390"/>
    </row>
    <row r="108" spans="1:36" s="141" customFormat="1">
      <c r="A108" s="42"/>
      <c r="B108" s="41"/>
      <c r="C108" s="276"/>
      <c r="D108" s="277"/>
      <c r="E108" s="276"/>
      <c r="F108" s="276"/>
      <c r="G108" s="278"/>
      <c r="H108" s="41"/>
      <c r="I108" s="41"/>
      <c r="J108" s="279"/>
      <c r="K108" s="279"/>
      <c r="L108" s="279"/>
      <c r="M108" s="140"/>
      <c r="O108" s="142"/>
      <c r="P108" s="142"/>
      <c r="Q108" s="41"/>
      <c r="R108" s="41"/>
      <c r="S108" s="41"/>
      <c r="T108" s="148"/>
      <c r="U108" s="148"/>
      <c r="V108" s="148"/>
      <c r="W108" s="148"/>
      <c r="X108" s="149"/>
      <c r="Y108" s="148"/>
      <c r="Z108" s="148"/>
      <c r="AA108" s="148"/>
      <c r="AB108" s="148"/>
      <c r="AC108" s="148"/>
      <c r="AD108" s="150"/>
      <c r="AE108" s="151"/>
      <c r="AF108" s="152"/>
      <c r="AG108" s="153"/>
      <c r="AH108" s="154"/>
      <c r="AJ108" s="390"/>
    </row>
    <row r="109" spans="1:36" s="141" customFormat="1">
      <c r="A109" s="42"/>
      <c r="B109" s="41"/>
      <c r="C109" s="276"/>
      <c r="D109" s="277"/>
      <c r="E109" s="276"/>
      <c r="F109" s="276"/>
      <c r="G109" s="278"/>
      <c r="H109" s="41"/>
      <c r="I109" s="41"/>
      <c r="J109" s="279"/>
      <c r="K109" s="279"/>
      <c r="L109" s="279"/>
      <c r="M109" s="140"/>
      <c r="O109" s="142"/>
      <c r="P109" s="142"/>
      <c r="Q109" s="41"/>
      <c r="R109" s="41"/>
      <c r="S109" s="41"/>
      <c r="T109" s="148"/>
      <c r="U109" s="148"/>
      <c r="V109" s="148"/>
      <c r="W109" s="148"/>
      <c r="X109" s="149"/>
      <c r="Y109" s="148"/>
      <c r="Z109" s="148"/>
      <c r="AA109" s="148"/>
      <c r="AB109" s="148"/>
      <c r="AC109" s="148"/>
      <c r="AD109" s="150"/>
      <c r="AE109" s="151"/>
      <c r="AF109" s="152"/>
      <c r="AG109" s="153"/>
      <c r="AH109" s="154"/>
      <c r="AJ109" s="390"/>
    </row>
    <row r="110" spans="1:36" s="141" customFormat="1">
      <c r="A110" s="42"/>
      <c r="B110" s="41"/>
      <c r="C110" s="276"/>
      <c r="D110" s="277"/>
      <c r="E110" s="276"/>
      <c r="F110" s="276"/>
      <c r="G110" s="278"/>
      <c r="H110" s="41"/>
      <c r="I110" s="41"/>
      <c r="J110" s="279"/>
      <c r="K110" s="279"/>
      <c r="L110" s="279"/>
      <c r="M110" s="140"/>
      <c r="O110" s="142"/>
      <c r="P110" s="142"/>
      <c r="Q110" s="41"/>
      <c r="R110" s="41"/>
      <c r="S110" s="41"/>
      <c r="T110" s="148"/>
      <c r="U110" s="148"/>
      <c r="V110" s="148"/>
      <c r="W110" s="148"/>
      <c r="X110" s="149"/>
      <c r="Y110" s="148"/>
      <c r="Z110" s="148"/>
      <c r="AA110" s="148"/>
      <c r="AB110" s="148"/>
      <c r="AC110" s="148"/>
      <c r="AD110" s="150"/>
      <c r="AE110" s="151"/>
      <c r="AF110" s="152"/>
      <c r="AG110" s="153"/>
      <c r="AH110" s="154"/>
      <c r="AJ110" s="390"/>
    </row>
    <row r="111" spans="1:36" s="141" customFormat="1">
      <c r="A111" s="42"/>
      <c r="B111" s="41"/>
      <c r="C111" s="276"/>
      <c r="D111" s="277"/>
      <c r="E111" s="276"/>
      <c r="F111" s="276"/>
      <c r="G111" s="278"/>
      <c r="H111" s="41"/>
      <c r="I111" s="41"/>
      <c r="J111" s="279"/>
      <c r="K111" s="279"/>
      <c r="L111" s="279"/>
      <c r="M111" s="140"/>
      <c r="O111" s="142"/>
      <c r="P111" s="142"/>
      <c r="Q111" s="41"/>
      <c r="R111" s="41"/>
      <c r="S111" s="41"/>
      <c r="T111" s="148"/>
      <c r="U111" s="148"/>
      <c r="V111" s="148"/>
      <c r="W111" s="148"/>
      <c r="X111" s="149"/>
      <c r="Y111" s="148"/>
      <c r="Z111" s="148"/>
      <c r="AA111" s="148"/>
      <c r="AB111" s="148"/>
      <c r="AC111" s="148"/>
      <c r="AD111" s="150"/>
      <c r="AE111" s="151"/>
      <c r="AF111" s="152"/>
      <c r="AG111" s="153"/>
      <c r="AH111" s="154"/>
      <c r="AJ111" s="390"/>
    </row>
    <row r="112" spans="1:36" s="141" customFormat="1">
      <c r="A112" s="42"/>
      <c r="B112" s="41"/>
      <c r="C112" s="276"/>
      <c r="D112" s="277"/>
      <c r="E112" s="276"/>
      <c r="F112" s="276"/>
      <c r="G112" s="278"/>
      <c r="H112" s="41"/>
      <c r="I112" s="41"/>
      <c r="J112" s="279"/>
      <c r="K112" s="279"/>
      <c r="L112" s="279"/>
      <c r="M112" s="140"/>
      <c r="O112" s="142"/>
      <c r="P112" s="142"/>
      <c r="Q112" s="41"/>
      <c r="R112" s="41"/>
      <c r="S112" s="41"/>
      <c r="T112" s="148"/>
      <c r="U112" s="148"/>
      <c r="V112" s="148"/>
      <c r="W112" s="148"/>
      <c r="X112" s="149"/>
      <c r="Y112" s="148"/>
      <c r="Z112" s="148"/>
      <c r="AA112" s="148"/>
      <c r="AB112" s="148"/>
      <c r="AC112" s="148"/>
      <c r="AD112" s="150"/>
      <c r="AE112" s="151"/>
      <c r="AF112" s="152"/>
      <c r="AG112" s="153"/>
      <c r="AH112" s="154"/>
      <c r="AJ112" s="390"/>
    </row>
    <row r="113" spans="1:36" s="141" customFormat="1">
      <c r="A113" s="42"/>
      <c r="B113" s="41"/>
      <c r="C113" s="276"/>
      <c r="D113" s="277"/>
      <c r="E113" s="276"/>
      <c r="F113" s="276"/>
      <c r="G113" s="278"/>
      <c r="H113" s="41"/>
      <c r="I113" s="41"/>
      <c r="J113" s="279"/>
      <c r="K113" s="279"/>
      <c r="L113" s="279"/>
      <c r="M113" s="140"/>
      <c r="O113" s="142"/>
      <c r="P113" s="142"/>
      <c r="Q113" s="41"/>
      <c r="R113" s="41"/>
      <c r="S113" s="41"/>
      <c r="T113" s="148"/>
      <c r="U113" s="148"/>
      <c r="V113" s="148"/>
      <c r="W113" s="148"/>
      <c r="X113" s="149"/>
      <c r="Y113" s="148"/>
      <c r="Z113" s="148"/>
      <c r="AA113" s="148"/>
      <c r="AB113" s="148"/>
      <c r="AC113" s="148"/>
      <c r="AD113" s="150"/>
      <c r="AE113" s="151"/>
      <c r="AF113" s="152"/>
      <c r="AG113" s="153"/>
      <c r="AH113" s="154"/>
      <c r="AJ113" s="390"/>
    </row>
    <row r="114" spans="1:36" s="141" customFormat="1">
      <c r="A114" s="42"/>
      <c r="B114" s="41"/>
      <c r="C114" s="276"/>
      <c r="D114" s="277"/>
      <c r="E114" s="276"/>
      <c r="F114" s="276"/>
      <c r="G114" s="278"/>
      <c r="H114" s="41"/>
      <c r="I114" s="41"/>
      <c r="J114" s="279"/>
      <c r="K114" s="279"/>
      <c r="L114" s="279"/>
      <c r="M114" s="140"/>
      <c r="O114" s="142"/>
      <c r="P114" s="142"/>
      <c r="Q114" s="41"/>
      <c r="R114" s="41"/>
      <c r="S114" s="41"/>
      <c r="T114" s="148"/>
      <c r="U114" s="148"/>
      <c r="V114" s="148"/>
      <c r="W114" s="148"/>
      <c r="X114" s="149"/>
      <c r="Y114" s="148"/>
      <c r="Z114" s="148"/>
      <c r="AA114" s="148"/>
      <c r="AB114" s="148"/>
      <c r="AC114" s="148"/>
      <c r="AD114" s="150"/>
      <c r="AE114" s="151"/>
      <c r="AF114" s="152"/>
      <c r="AG114" s="153"/>
      <c r="AH114" s="154"/>
      <c r="AJ114" s="390"/>
    </row>
    <row r="115" spans="1:36" s="141" customFormat="1">
      <c r="A115" s="42"/>
      <c r="B115" s="41"/>
      <c r="C115" s="276"/>
      <c r="D115" s="277"/>
      <c r="E115" s="276"/>
      <c r="F115" s="276"/>
      <c r="G115" s="278"/>
      <c r="H115" s="41"/>
      <c r="I115" s="41"/>
      <c r="J115" s="279"/>
      <c r="K115" s="279"/>
      <c r="L115" s="279"/>
      <c r="M115" s="140"/>
      <c r="O115" s="142"/>
      <c r="P115" s="142"/>
      <c r="Q115" s="41"/>
      <c r="R115" s="41"/>
      <c r="S115" s="41"/>
      <c r="T115" s="148"/>
      <c r="U115" s="148"/>
      <c r="V115" s="148"/>
      <c r="W115" s="148"/>
      <c r="X115" s="149"/>
      <c r="Y115" s="148"/>
      <c r="Z115" s="148"/>
      <c r="AA115" s="148"/>
      <c r="AB115" s="148"/>
      <c r="AC115" s="148"/>
      <c r="AD115" s="150"/>
      <c r="AE115" s="151"/>
      <c r="AF115" s="152"/>
      <c r="AG115" s="153"/>
      <c r="AH115" s="154"/>
      <c r="AJ115" s="390"/>
    </row>
    <row r="116" spans="1:36" s="141" customFormat="1">
      <c r="A116" s="42"/>
      <c r="B116" s="41"/>
      <c r="C116" s="276"/>
      <c r="D116" s="277"/>
      <c r="E116" s="276"/>
      <c r="F116" s="276"/>
      <c r="G116" s="278"/>
      <c r="H116" s="41"/>
      <c r="I116" s="41"/>
      <c r="J116" s="279"/>
      <c r="K116" s="279"/>
      <c r="L116" s="279"/>
      <c r="M116" s="140"/>
      <c r="O116" s="142"/>
      <c r="P116" s="142"/>
      <c r="Q116" s="41"/>
      <c r="R116" s="41"/>
      <c r="S116" s="41"/>
      <c r="T116" s="148"/>
      <c r="U116" s="148"/>
      <c r="V116" s="148"/>
      <c r="W116" s="148"/>
      <c r="X116" s="149"/>
      <c r="Y116" s="148"/>
      <c r="Z116" s="148"/>
      <c r="AA116" s="148"/>
      <c r="AB116" s="148"/>
      <c r="AC116" s="148"/>
      <c r="AD116" s="150"/>
      <c r="AE116" s="151"/>
      <c r="AF116" s="152"/>
      <c r="AG116" s="153"/>
      <c r="AH116" s="154"/>
      <c r="AJ116" s="390"/>
    </row>
    <row r="117" spans="1:36" s="141" customFormat="1">
      <c r="A117" s="42"/>
      <c r="B117" s="41"/>
      <c r="C117" s="276"/>
      <c r="D117" s="277"/>
      <c r="E117" s="276"/>
      <c r="F117" s="276"/>
      <c r="G117" s="278"/>
      <c r="H117" s="41"/>
      <c r="I117" s="41"/>
      <c r="J117" s="279"/>
      <c r="K117" s="279"/>
      <c r="L117" s="279"/>
      <c r="M117" s="140"/>
      <c r="O117" s="142"/>
      <c r="P117" s="142"/>
      <c r="Q117" s="41"/>
      <c r="R117" s="41"/>
      <c r="S117" s="41"/>
      <c r="T117" s="148"/>
      <c r="U117" s="148"/>
      <c r="V117" s="148"/>
      <c r="W117" s="148"/>
      <c r="X117" s="149"/>
      <c r="Y117" s="148"/>
      <c r="Z117" s="148"/>
      <c r="AA117" s="148"/>
      <c r="AB117" s="148"/>
      <c r="AC117" s="148"/>
      <c r="AD117" s="150"/>
      <c r="AE117" s="151"/>
      <c r="AF117" s="152"/>
      <c r="AG117" s="153"/>
      <c r="AH117" s="154"/>
      <c r="AJ117" s="390"/>
    </row>
    <row r="118" spans="1:36" s="141" customFormat="1">
      <c r="A118" s="42"/>
      <c r="B118" s="41"/>
      <c r="C118" s="276"/>
      <c r="D118" s="277"/>
      <c r="E118" s="276"/>
      <c r="F118" s="276"/>
      <c r="G118" s="278"/>
      <c r="H118" s="41"/>
      <c r="I118" s="41"/>
      <c r="J118" s="279"/>
      <c r="K118" s="279"/>
      <c r="L118" s="279"/>
      <c r="M118" s="140"/>
      <c r="O118" s="142"/>
      <c r="P118" s="142"/>
      <c r="Q118" s="41"/>
      <c r="R118" s="41"/>
      <c r="S118" s="41"/>
      <c r="T118" s="148"/>
      <c r="U118" s="148"/>
      <c r="V118" s="148"/>
      <c r="W118" s="148"/>
      <c r="X118" s="149"/>
      <c r="Y118" s="148"/>
      <c r="Z118" s="148"/>
      <c r="AA118" s="148"/>
      <c r="AB118" s="148"/>
      <c r="AC118" s="148"/>
      <c r="AD118" s="150"/>
      <c r="AE118" s="151"/>
      <c r="AF118" s="152"/>
      <c r="AG118" s="153"/>
      <c r="AH118" s="154"/>
      <c r="AJ118" s="390"/>
    </row>
    <row r="119" spans="1:36" s="141" customFormat="1">
      <c r="A119" s="42"/>
      <c r="B119" s="41"/>
      <c r="C119" s="276"/>
      <c r="D119" s="277"/>
      <c r="E119" s="276"/>
      <c r="F119" s="276"/>
      <c r="G119" s="278"/>
      <c r="H119" s="41"/>
      <c r="I119" s="41"/>
      <c r="J119" s="279"/>
      <c r="K119" s="279"/>
      <c r="L119" s="279"/>
      <c r="M119" s="140"/>
      <c r="O119" s="142"/>
      <c r="P119" s="142"/>
      <c r="Q119" s="41"/>
      <c r="R119" s="41"/>
      <c r="S119" s="41"/>
      <c r="T119" s="148"/>
      <c r="U119" s="148"/>
      <c r="V119" s="148"/>
      <c r="W119" s="148"/>
      <c r="X119" s="149"/>
      <c r="Y119" s="148"/>
      <c r="Z119" s="148"/>
      <c r="AA119" s="148"/>
      <c r="AB119" s="148"/>
      <c r="AC119" s="148"/>
      <c r="AD119" s="150"/>
      <c r="AE119" s="151"/>
      <c r="AF119" s="152"/>
      <c r="AG119" s="153"/>
      <c r="AH119" s="154"/>
      <c r="AJ119" s="390"/>
    </row>
    <row r="120" spans="1:36" s="141" customFormat="1">
      <c r="A120" s="42"/>
      <c r="B120" s="41"/>
      <c r="C120" s="276"/>
      <c r="D120" s="277"/>
      <c r="E120" s="276"/>
      <c r="F120" s="276"/>
      <c r="G120" s="278"/>
      <c r="H120" s="41"/>
      <c r="I120" s="41"/>
      <c r="J120" s="279"/>
      <c r="K120" s="279"/>
      <c r="L120" s="279"/>
      <c r="M120" s="140"/>
      <c r="O120" s="142"/>
      <c r="P120" s="142"/>
      <c r="Q120" s="41"/>
      <c r="R120" s="41"/>
      <c r="S120" s="41"/>
      <c r="T120" s="148"/>
      <c r="U120" s="148"/>
      <c r="V120" s="148"/>
      <c r="W120" s="148"/>
      <c r="X120" s="149"/>
      <c r="Y120" s="148"/>
      <c r="Z120" s="148"/>
      <c r="AA120" s="148"/>
      <c r="AB120" s="148"/>
      <c r="AC120" s="148"/>
      <c r="AD120" s="150"/>
      <c r="AE120" s="151"/>
      <c r="AF120" s="152"/>
      <c r="AG120" s="153"/>
      <c r="AH120" s="154"/>
      <c r="AJ120" s="390"/>
    </row>
    <row r="121" spans="1:36" s="141" customFormat="1">
      <c r="A121" s="42"/>
      <c r="B121" s="41"/>
      <c r="C121" s="276"/>
      <c r="D121" s="277"/>
      <c r="E121" s="276"/>
      <c r="F121" s="276"/>
      <c r="G121" s="278"/>
      <c r="H121" s="41"/>
      <c r="I121" s="41"/>
      <c r="J121" s="279"/>
      <c r="K121" s="279"/>
      <c r="L121" s="279"/>
      <c r="M121" s="140"/>
      <c r="O121" s="142"/>
      <c r="P121" s="142"/>
      <c r="Q121" s="41"/>
      <c r="R121" s="41"/>
      <c r="S121" s="41"/>
      <c r="T121" s="148"/>
      <c r="U121" s="148"/>
      <c r="V121" s="148"/>
      <c r="W121" s="148"/>
      <c r="X121" s="149"/>
      <c r="Y121" s="148"/>
      <c r="Z121" s="148"/>
      <c r="AA121" s="148"/>
      <c r="AB121" s="148"/>
      <c r="AC121" s="148"/>
      <c r="AD121" s="150"/>
      <c r="AE121" s="151"/>
      <c r="AF121" s="152"/>
      <c r="AG121" s="153"/>
      <c r="AH121" s="154"/>
      <c r="AJ121" s="390"/>
    </row>
    <row r="122" spans="1:36" s="141" customFormat="1">
      <c r="A122" s="42"/>
      <c r="B122" s="41"/>
      <c r="C122" s="276"/>
      <c r="D122" s="277"/>
      <c r="E122" s="276"/>
      <c r="F122" s="276"/>
      <c r="G122" s="278"/>
      <c r="H122" s="41"/>
      <c r="I122" s="41"/>
      <c r="J122" s="279"/>
      <c r="K122" s="279"/>
      <c r="L122" s="279"/>
      <c r="M122" s="140"/>
      <c r="O122" s="142"/>
      <c r="P122" s="142"/>
      <c r="Q122" s="41"/>
      <c r="R122" s="41"/>
      <c r="S122" s="41"/>
      <c r="T122" s="148"/>
      <c r="U122" s="148"/>
      <c r="V122" s="148"/>
      <c r="W122" s="148"/>
      <c r="X122" s="149"/>
      <c r="Y122" s="148"/>
      <c r="Z122" s="148"/>
      <c r="AA122" s="148"/>
      <c r="AB122" s="148"/>
      <c r="AC122" s="148"/>
      <c r="AD122" s="150"/>
      <c r="AE122" s="151"/>
      <c r="AF122" s="152"/>
      <c r="AG122" s="153"/>
      <c r="AH122" s="154"/>
      <c r="AJ122" s="390"/>
    </row>
    <row r="123" spans="1:36" s="141" customFormat="1">
      <c r="A123" s="42"/>
      <c r="B123" s="41"/>
      <c r="C123" s="276"/>
      <c r="D123" s="277"/>
      <c r="E123" s="276"/>
      <c r="F123" s="276"/>
      <c r="G123" s="278"/>
      <c r="H123" s="41"/>
      <c r="I123" s="41"/>
      <c r="J123" s="279"/>
      <c r="K123" s="279"/>
      <c r="L123" s="279"/>
      <c r="M123" s="140"/>
      <c r="O123" s="142"/>
      <c r="P123" s="142"/>
      <c r="Q123" s="41"/>
      <c r="R123" s="41"/>
      <c r="S123" s="41"/>
      <c r="T123" s="148"/>
      <c r="U123" s="148"/>
      <c r="V123" s="148"/>
      <c r="W123" s="148"/>
      <c r="X123" s="149"/>
      <c r="Y123" s="148"/>
      <c r="Z123" s="148"/>
      <c r="AA123" s="148"/>
      <c r="AB123" s="148"/>
      <c r="AC123" s="148"/>
      <c r="AD123" s="150"/>
      <c r="AE123" s="151"/>
      <c r="AF123" s="152"/>
      <c r="AG123" s="153"/>
      <c r="AH123" s="154"/>
      <c r="AJ123" s="390"/>
    </row>
    <row r="124" spans="1:36" s="141" customFormat="1">
      <c r="A124" s="42"/>
      <c r="B124" s="41"/>
      <c r="C124" s="276"/>
      <c r="D124" s="277"/>
      <c r="E124" s="276"/>
      <c r="F124" s="276"/>
      <c r="G124" s="278"/>
      <c r="H124" s="41"/>
      <c r="I124" s="41"/>
      <c r="J124" s="279"/>
      <c r="K124" s="279"/>
      <c r="L124" s="279"/>
      <c r="M124" s="140"/>
      <c r="O124" s="142"/>
      <c r="P124" s="142"/>
      <c r="Q124" s="41"/>
      <c r="R124" s="41"/>
      <c r="S124" s="41"/>
      <c r="T124" s="148"/>
      <c r="U124" s="148"/>
      <c r="V124" s="148"/>
      <c r="W124" s="148"/>
      <c r="X124" s="149"/>
      <c r="Y124" s="148"/>
      <c r="Z124" s="148"/>
      <c r="AA124" s="148"/>
      <c r="AB124" s="148"/>
      <c r="AC124" s="148"/>
      <c r="AD124" s="150"/>
      <c r="AE124" s="151"/>
      <c r="AF124" s="152"/>
      <c r="AG124" s="153"/>
      <c r="AH124" s="154"/>
      <c r="AJ124" s="390"/>
    </row>
    <row r="125" spans="1:36" s="141" customFormat="1">
      <c r="A125" s="42"/>
      <c r="B125" s="41"/>
      <c r="C125" s="276"/>
      <c r="D125" s="277"/>
      <c r="E125" s="276"/>
      <c r="F125" s="276"/>
      <c r="G125" s="278"/>
      <c r="H125" s="41"/>
      <c r="I125" s="41"/>
      <c r="J125" s="279"/>
      <c r="K125" s="279"/>
      <c r="L125" s="279"/>
      <c r="M125" s="140"/>
      <c r="O125" s="142"/>
      <c r="P125" s="142"/>
      <c r="Q125" s="41"/>
      <c r="R125" s="41"/>
      <c r="S125" s="41"/>
      <c r="T125" s="148"/>
      <c r="U125" s="148"/>
      <c r="V125" s="148"/>
      <c r="W125" s="148"/>
      <c r="X125" s="149"/>
      <c r="Y125" s="148"/>
      <c r="Z125" s="148"/>
      <c r="AA125" s="148"/>
      <c r="AB125" s="148"/>
      <c r="AC125" s="148"/>
      <c r="AD125" s="150"/>
      <c r="AE125" s="151"/>
      <c r="AF125" s="152"/>
      <c r="AG125" s="153"/>
      <c r="AH125" s="154"/>
      <c r="AJ125" s="390"/>
    </row>
    <row r="126" spans="1:36" s="141" customFormat="1">
      <c r="A126" s="42"/>
      <c r="B126" s="41"/>
      <c r="C126" s="276"/>
      <c r="D126" s="277"/>
      <c r="E126" s="276"/>
      <c r="F126" s="276"/>
      <c r="G126" s="278"/>
      <c r="H126" s="41"/>
      <c r="I126" s="41"/>
      <c r="J126" s="279"/>
      <c r="K126" s="279"/>
      <c r="L126" s="279"/>
      <c r="M126" s="140"/>
      <c r="O126" s="142"/>
      <c r="P126" s="142"/>
      <c r="Q126" s="41"/>
      <c r="R126" s="41"/>
      <c r="S126" s="41"/>
      <c r="T126" s="148"/>
      <c r="U126" s="148"/>
      <c r="V126" s="148"/>
      <c r="W126" s="148"/>
      <c r="X126" s="149"/>
      <c r="Y126" s="148"/>
      <c r="Z126" s="148"/>
      <c r="AA126" s="148"/>
      <c r="AB126" s="148"/>
      <c r="AC126" s="148"/>
      <c r="AD126" s="150"/>
      <c r="AE126" s="151"/>
      <c r="AF126" s="152"/>
      <c r="AG126" s="153"/>
      <c r="AH126" s="154"/>
      <c r="AJ126" s="390"/>
    </row>
    <row r="127" spans="1:36" s="141" customFormat="1">
      <c r="A127" s="42"/>
      <c r="B127" s="41"/>
      <c r="C127" s="276"/>
      <c r="D127" s="277"/>
      <c r="E127" s="276"/>
      <c r="F127" s="276"/>
      <c r="G127" s="278"/>
      <c r="H127" s="41"/>
      <c r="I127" s="41"/>
      <c r="J127" s="279"/>
      <c r="K127" s="279"/>
      <c r="L127" s="279"/>
      <c r="M127" s="140"/>
      <c r="O127" s="142"/>
      <c r="P127" s="142"/>
      <c r="Q127" s="41"/>
      <c r="R127" s="41"/>
      <c r="S127" s="41"/>
      <c r="T127" s="148"/>
      <c r="U127" s="148"/>
      <c r="V127" s="148"/>
      <c r="W127" s="148"/>
      <c r="X127" s="149"/>
      <c r="Y127" s="148"/>
      <c r="Z127" s="148"/>
      <c r="AA127" s="148"/>
      <c r="AB127" s="148"/>
      <c r="AC127" s="148"/>
      <c r="AD127" s="150"/>
      <c r="AE127" s="151"/>
      <c r="AF127" s="152"/>
      <c r="AG127" s="153"/>
      <c r="AH127" s="154"/>
      <c r="AJ127" s="390"/>
    </row>
    <row r="128" spans="1:36" s="141" customFormat="1">
      <c r="A128" s="42"/>
      <c r="B128" s="41"/>
      <c r="C128" s="276"/>
      <c r="D128" s="277"/>
      <c r="E128" s="276"/>
      <c r="F128" s="276"/>
      <c r="G128" s="278"/>
      <c r="H128" s="41"/>
      <c r="I128" s="41"/>
      <c r="J128" s="279"/>
      <c r="K128" s="279"/>
      <c r="L128" s="279"/>
      <c r="M128" s="140"/>
      <c r="O128" s="142"/>
      <c r="P128" s="142"/>
      <c r="Q128" s="41"/>
      <c r="R128" s="41"/>
      <c r="S128" s="41"/>
      <c r="T128" s="148"/>
      <c r="U128" s="148"/>
      <c r="V128" s="148"/>
      <c r="W128" s="148"/>
      <c r="X128" s="149"/>
      <c r="Y128" s="148"/>
      <c r="Z128" s="148"/>
      <c r="AA128" s="148"/>
      <c r="AB128" s="148"/>
      <c r="AC128" s="148"/>
      <c r="AD128" s="150"/>
      <c r="AE128" s="151"/>
      <c r="AF128" s="152"/>
      <c r="AG128" s="153"/>
      <c r="AH128" s="154"/>
      <c r="AJ128" s="390"/>
    </row>
    <row r="129" spans="1:36" s="141" customFormat="1">
      <c r="A129" s="42"/>
      <c r="B129" s="41"/>
      <c r="C129" s="276"/>
      <c r="D129" s="277"/>
      <c r="E129" s="276"/>
      <c r="F129" s="276"/>
      <c r="G129" s="278"/>
      <c r="H129" s="41"/>
      <c r="I129" s="41"/>
      <c r="J129" s="279"/>
      <c r="K129" s="279"/>
      <c r="L129" s="279"/>
      <c r="M129" s="140"/>
      <c r="O129" s="142"/>
      <c r="P129" s="142"/>
      <c r="Q129" s="41"/>
      <c r="R129" s="41"/>
      <c r="S129" s="41"/>
      <c r="T129" s="148"/>
      <c r="U129" s="148"/>
      <c r="V129" s="148"/>
      <c r="W129" s="148"/>
      <c r="X129" s="149"/>
      <c r="Y129" s="148"/>
      <c r="Z129" s="148"/>
      <c r="AA129" s="148"/>
      <c r="AB129" s="148"/>
      <c r="AC129" s="148"/>
      <c r="AD129" s="150"/>
      <c r="AE129" s="151"/>
      <c r="AF129" s="152"/>
      <c r="AG129" s="153"/>
      <c r="AH129" s="154"/>
      <c r="AJ129" s="390"/>
    </row>
    <row r="130" spans="1:36" s="141" customFormat="1">
      <c r="A130" s="42"/>
      <c r="B130" s="41"/>
      <c r="C130" s="276"/>
      <c r="D130" s="277"/>
      <c r="E130" s="276"/>
      <c r="F130" s="276"/>
      <c r="G130" s="278"/>
      <c r="H130" s="41"/>
      <c r="I130" s="41"/>
      <c r="J130" s="279"/>
      <c r="K130" s="279"/>
      <c r="L130" s="279"/>
      <c r="M130" s="140"/>
      <c r="O130" s="142"/>
      <c r="P130" s="142"/>
      <c r="Q130" s="41"/>
      <c r="R130" s="41"/>
      <c r="S130" s="41"/>
      <c r="T130" s="148"/>
      <c r="U130" s="148"/>
      <c r="V130" s="148"/>
      <c r="W130" s="148"/>
      <c r="X130" s="149"/>
      <c r="Y130" s="148"/>
      <c r="Z130" s="148"/>
      <c r="AA130" s="148"/>
      <c r="AB130" s="148"/>
      <c r="AC130" s="148"/>
      <c r="AD130" s="150"/>
      <c r="AE130" s="151"/>
      <c r="AF130" s="152"/>
      <c r="AG130" s="153"/>
      <c r="AH130" s="154"/>
      <c r="AJ130" s="390"/>
    </row>
    <row r="131" spans="1:36" s="141" customFormat="1">
      <c r="A131" s="42"/>
      <c r="B131" s="41"/>
      <c r="C131" s="276"/>
      <c r="D131" s="277"/>
      <c r="E131" s="276"/>
      <c r="F131" s="276"/>
      <c r="G131" s="278"/>
      <c r="H131" s="41"/>
      <c r="I131" s="41"/>
      <c r="J131" s="279"/>
      <c r="K131" s="279"/>
      <c r="L131" s="279"/>
      <c r="M131" s="140"/>
      <c r="O131" s="142"/>
      <c r="P131" s="142"/>
      <c r="Q131" s="41"/>
      <c r="R131" s="41"/>
      <c r="S131" s="41"/>
      <c r="T131" s="148"/>
      <c r="U131" s="148"/>
      <c r="V131" s="148"/>
      <c r="W131" s="148"/>
      <c r="X131" s="149"/>
      <c r="Y131" s="148"/>
      <c r="Z131" s="148"/>
      <c r="AA131" s="148"/>
      <c r="AB131" s="148"/>
      <c r="AC131" s="148"/>
      <c r="AD131" s="150"/>
      <c r="AE131" s="151"/>
      <c r="AF131" s="152"/>
      <c r="AG131" s="153"/>
      <c r="AH131" s="154"/>
      <c r="AJ131" s="390"/>
    </row>
    <row r="132" spans="1:36" s="141" customFormat="1">
      <c r="A132" s="42"/>
      <c r="B132" s="41"/>
      <c r="C132" s="276"/>
      <c r="D132" s="277"/>
      <c r="E132" s="276"/>
      <c r="F132" s="276"/>
      <c r="G132" s="278"/>
      <c r="H132" s="41"/>
      <c r="I132" s="41"/>
      <c r="J132" s="279"/>
      <c r="K132" s="279"/>
      <c r="L132" s="279"/>
      <c r="M132" s="140"/>
      <c r="O132" s="142"/>
      <c r="P132" s="142"/>
      <c r="Q132" s="41"/>
      <c r="R132" s="41"/>
      <c r="S132" s="41"/>
      <c r="T132" s="148"/>
      <c r="U132" s="148"/>
      <c r="V132" s="148"/>
      <c r="W132" s="148"/>
      <c r="X132" s="149"/>
      <c r="Y132" s="148"/>
      <c r="Z132" s="148"/>
      <c r="AA132" s="148"/>
      <c r="AB132" s="148"/>
      <c r="AC132" s="148"/>
      <c r="AD132" s="150"/>
      <c r="AE132" s="151"/>
      <c r="AF132" s="152"/>
      <c r="AG132" s="153"/>
      <c r="AH132" s="154"/>
      <c r="AJ132" s="390"/>
    </row>
    <row r="133" spans="1:36" s="141" customFormat="1">
      <c r="A133" s="42"/>
      <c r="B133" s="41"/>
      <c r="C133" s="276"/>
      <c r="D133" s="277"/>
      <c r="E133" s="276"/>
      <c r="F133" s="276"/>
      <c r="G133" s="278"/>
      <c r="H133" s="41"/>
      <c r="I133" s="41"/>
      <c r="J133" s="279"/>
      <c r="K133" s="279"/>
      <c r="L133" s="279"/>
      <c r="M133" s="140"/>
      <c r="O133" s="142"/>
      <c r="P133" s="142"/>
      <c r="Q133" s="41"/>
      <c r="R133" s="41"/>
      <c r="S133" s="41"/>
      <c r="T133" s="148"/>
      <c r="U133" s="148"/>
      <c r="V133" s="148"/>
      <c r="W133" s="148"/>
      <c r="X133" s="149"/>
      <c r="Y133" s="148"/>
      <c r="Z133" s="148"/>
      <c r="AA133" s="148"/>
      <c r="AB133" s="148"/>
      <c r="AC133" s="148"/>
      <c r="AD133" s="150"/>
      <c r="AE133" s="151"/>
      <c r="AF133" s="152"/>
      <c r="AG133" s="153"/>
      <c r="AH133" s="154"/>
      <c r="AJ133" s="390"/>
    </row>
    <row r="134" spans="1:36" s="141" customFormat="1">
      <c r="A134" s="42"/>
      <c r="B134" s="41"/>
      <c r="C134" s="276"/>
      <c r="D134" s="277"/>
      <c r="E134" s="276"/>
      <c r="F134" s="276"/>
      <c r="G134" s="278"/>
      <c r="H134" s="41"/>
      <c r="I134" s="41"/>
      <c r="J134" s="279"/>
      <c r="K134" s="279"/>
      <c r="L134" s="279"/>
      <c r="M134" s="140"/>
      <c r="O134" s="142"/>
      <c r="P134" s="142"/>
      <c r="Q134" s="41"/>
      <c r="R134" s="41"/>
      <c r="S134" s="41"/>
      <c r="T134" s="148"/>
      <c r="U134" s="148"/>
      <c r="V134" s="148"/>
      <c r="W134" s="148"/>
      <c r="X134" s="149"/>
      <c r="Y134" s="148"/>
      <c r="Z134" s="148"/>
      <c r="AA134" s="148"/>
      <c r="AB134" s="148"/>
      <c r="AC134" s="148"/>
      <c r="AD134" s="150"/>
      <c r="AE134" s="151"/>
      <c r="AF134" s="152"/>
      <c r="AG134" s="153"/>
      <c r="AH134" s="154"/>
      <c r="AJ134" s="390"/>
    </row>
    <row r="135" spans="1:36" s="141" customFormat="1">
      <c r="A135" s="42"/>
      <c r="B135" s="41"/>
      <c r="C135" s="276"/>
      <c r="D135" s="277"/>
      <c r="E135" s="276"/>
      <c r="F135" s="276"/>
      <c r="G135" s="278"/>
      <c r="H135" s="41"/>
      <c r="I135" s="41"/>
      <c r="J135" s="279"/>
      <c r="K135" s="279"/>
      <c r="L135" s="279"/>
      <c r="M135" s="140"/>
      <c r="O135" s="142"/>
      <c r="P135" s="142"/>
      <c r="Q135" s="41"/>
      <c r="R135" s="41"/>
      <c r="S135" s="41"/>
      <c r="T135" s="148"/>
      <c r="U135" s="148"/>
      <c r="V135" s="148"/>
      <c r="W135" s="148"/>
      <c r="X135" s="149"/>
      <c r="Y135" s="148"/>
      <c r="Z135" s="148"/>
      <c r="AA135" s="148"/>
      <c r="AB135" s="148"/>
      <c r="AC135" s="148"/>
      <c r="AD135" s="150"/>
      <c r="AE135" s="151"/>
      <c r="AF135" s="152"/>
      <c r="AG135" s="153"/>
      <c r="AH135" s="154"/>
      <c r="AJ135" s="390"/>
    </row>
    <row r="136" spans="1:36" s="141" customFormat="1">
      <c r="A136" s="42"/>
      <c r="B136" s="41"/>
      <c r="C136" s="276"/>
      <c r="D136" s="277"/>
      <c r="E136" s="276"/>
      <c r="F136" s="276"/>
      <c r="G136" s="278"/>
      <c r="H136" s="41"/>
      <c r="I136" s="41"/>
      <c r="J136" s="279"/>
      <c r="K136" s="279"/>
      <c r="L136" s="279"/>
      <c r="M136" s="140"/>
      <c r="O136" s="142"/>
      <c r="P136" s="142"/>
      <c r="Q136" s="41"/>
      <c r="R136" s="41"/>
      <c r="S136" s="41"/>
      <c r="T136" s="148"/>
      <c r="U136" s="148"/>
      <c r="V136" s="148"/>
      <c r="W136" s="148"/>
      <c r="X136" s="149"/>
      <c r="Y136" s="148"/>
      <c r="Z136" s="148"/>
      <c r="AA136" s="148"/>
      <c r="AB136" s="148"/>
      <c r="AC136" s="148"/>
      <c r="AD136" s="150"/>
      <c r="AE136" s="151"/>
      <c r="AF136" s="152"/>
      <c r="AG136" s="153"/>
      <c r="AH136" s="154"/>
      <c r="AJ136" s="390"/>
    </row>
    <row r="137" spans="1:36" s="141" customFormat="1">
      <c r="A137" s="42"/>
      <c r="B137" s="41"/>
      <c r="C137" s="276"/>
      <c r="D137" s="277"/>
      <c r="E137" s="276"/>
      <c r="F137" s="276"/>
      <c r="G137" s="278"/>
      <c r="H137" s="41"/>
      <c r="I137" s="41"/>
      <c r="J137" s="279"/>
      <c r="K137" s="279"/>
      <c r="L137" s="279"/>
      <c r="M137" s="140"/>
      <c r="O137" s="142"/>
      <c r="P137" s="142"/>
      <c r="Q137" s="41"/>
      <c r="R137" s="41"/>
      <c r="S137" s="41"/>
      <c r="T137" s="148"/>
      <c r="U137" s="148"/>
      <c r="V137" s="148"/>
      <c r="W137" s="148"/>
      <c r="X137" s="149"/>
      <c r="Y137" s="148"/>
      <c r="Z137" s="148"/>
      <c r="AA137" s="148"/>
      <c r="AB137" s="148"/>
      <c r="AC137" s="148"/>
      <c r="AD137" s="150"/>
      <c r="AE137" s="151"/>
      <c r="AF137" s="152"/>
      <c r="AG137" s="153"/>
      <c r="AH137" s="154"/>
      <c r="AJ137" s="390"/>
    </row>
    <row r="138" spans="1:36" s="141" customFormat="1">
      <c r="A138" s="42"/>
      <c r="B138" s="41"/>
      <c r="C138" s="276"/>
      <c r="D138" s="277"/>
      <c r="E138" s="276"/>
      <c r="F138" s="276"/>
      <c r="G138" s="278"/>
      <c r="H138" s="41"/>
      <c r="I138" s="41"/>
      <c r="J138" s="279"/>
      <c r="K138" s="279"/>
      <c r="L138" s="279"/>
      <c r="M138" s="140"/>
      <c r="O138" s="142"/>
      <c r="P138" s="142"/>
      <c r="Q138" s="41"/>
      <c r="R138" s="41"/>
      <c r="S138" s="41"/>
      <c r="T138" s="148"/>
      <c r="U138" s="148"/>
      <c r="V138" s="148"/>
      <c r="W138" s="148"/>
      <c r="X138" s="149"/>
      <c r="Y138" s="148"/>
      <c r="Z138" s="148"/>
      <c r="AA138" s="148"/>
      <c r="AB138" s="148"/>
      <c r="AC138" s="148"/>
      <c r="AD138" s="150"/>
      <c r="AE138" s="151"/>
      <c r="AF138" s="152"/>
      <c r="AG138" s="153"/>
      <c r="AH138" s="154"/>
      <c r="AJ138" s="390"/>
    </row>
    <row r="139" spans="1:36" s="141" customFormat="1">
      <c r="A139" s="42"/>
      <c r="B139" s="41"/>
      <c r="C139" s="276"/>
      <c r="D139" s="277"/>
      <c r="E139" s="276"/>
      <c r="F139" s="276"/>
      <c r="G139" s="278"/>
      <c r="H139" s="41"/>
      <c r="I139" s="41"/>
      <c r="J139" s="279"/>
      <c r="K139" s="279"/>
      <c r="L139" s="279"/>
      <c r="M139" s="140"/>
      <c r="O139" s="142"/>
      <c r="P139" s="142"/>
      <c r="Q139" s="41"/>
      <c r="R139" s="41"/>
      <c r="S139" s="41"/>
      <c r="T139" s="148"/>
      <c r="U139" s="148"/>
      <c r="V139" s="148"/>
      <c r="W139" s="148"/>
      <c r="X139" s="149"/>
      <c r="Y139" s="148"/>
      <c r="Z139" s="148"/>
      <c r="AA139" s="148"/>
      <c r="AB139" s="148"/>
      <c r="AC139" s="148"/>
      <c r="AD139" s="150"/>
      <c r="AE139" s="151"/>
      <c r="AF139" s="152"/>
      <c r="AG139" s="153"/>
      <c r="AH139" s="154"/>
      <c r="AJ139" s="390"/>
    </row>
    <row r="140" spans="1:36" s="141" customFormat="1">
      <c r="A140" s="42"/>
      <c r="B140" s="41"/>
      <c r="C140" s="276"/>
      <c r="D140" s="277"/>
      <c r="E140" s="276"/>
      <c r="F140" s="276"/>
      <c r="G140" s="278"/>
      <c r="H140" s="41"/>
      <c r="I140" s="41"/>
      <c r="J140" s="279"/>
      <c r="K140" s="279"/>
      <c r="L140" s="279"/>
      <c r="M140" s="140"/>
      <c r="O140" s="142"/>
      <c r="P140" s="142"/>
      <c r="Q140" s="41"/>
      <c r="R140" s="41"/>
      <c r="S140" s="41"/>
      <c r="T140" s="148"/>
      <c r="U140" s="148"/>
      <c r="V140" s="148"/>
      <c r="W140" s="148"/>
      <c r="X140" s="149"/>
      <c r="Y140" s="148"/>
      <c r="Z140" s="148"/>
      <c r="AA140" s="148"/>
      <c r="AB140" s="148"/>
      <c r="AC140" s="148"/>
      <c r="AD140" s="150"/>
      <c r="AE140" s="151"/>
      <c r="AF140" s="152"/>
      <c r="AG140" s="153"/>
      <c r="AH140" s="154"/>
      <c r="AJ140" s="390"/>
    </row>
    <row r="141" spans="1:36" s="141" customFormat="1">
      <c r="A141" s="42"/>
      <c r="B141" s="41"/>
      <c r="C141" s="276"/>
      <c r="D141" s="277"/>
      <c r="E141" s="276"/>
      <c r="F141" s="276"/>
      <c r="G141" s="278"/>
      <c r="H141" s="41"/>
      <c r="I141" s="41"/>
      <c r="J141" s="279"/>
      <c r="K141" s="279"/>
      <c r="L141" s="279"/>
      <c r="M141" s="140"/>
      <c r="O141" s="142"/>
      <c r="P141" s="142"/>
      <c r="Q141" s="41"/>
      <c r="R141" s="41"/>
      <c r="S141" s="41"/>
      <c r="T141" s="148"/>
      <c r="U141" s="148"/>
      <c r="V141" s="148"/>
      <c r="W141" s="148"/>
      <c r="X141" s="149"/>
      <c r="Y141" s="148"/>
      <c r="Z141" s="148"/>
      <c r="AA141" s="148"/>
      <c r="AB141" s="148"/>
      <c r="AC141" s="148"/>
      <c r="AD141" s="150"/>
      <c r="AE141" s="151"/>
      <c r="AF141" s="152"/>
      <c r="AG141" s="153"/>
      <c r="AH141" s="154"/>
      <c r="AJ141" s="390"/>
    </row>
    <row r="142" spans="1:36" s="141" customFormat="1">
      <c r="A142" s="42"/>
      <c r="B142" s="41"/>
      <c r="C142" s="276"/>
      <c r="D142" s="277"/>
      <c r="E142" s="276"/>
      <c r="F142" s="276"/>
      <c r="G142" s="278"/>
      <c r="H142" s="41"/>
      <c r="I142" s="41"/>
      <c r="J142" s="279"/>
      <c r="K142" s="279"/>
      <c r="L142" s="279"/>
      <c r="M142" s="140"/>
      <c r="O142" s="142"/>
      <c r="P142" s="142"/>
      <c r="Q142" s="41"/>
      <c r="R142" s="41"/>
      <c r="S142" s="41"/>
      <c r="T142" s="148"/>
      <c r="U142" s="148"/>
      <c r="V142" s="148"/>
      <c r="W142" s="148"/>
      <c r="X142" s="149"/>
      <c r="Y142" s="148"/>
      <c r="Z142" s="148"/>
      <c r="AA142" s="148"/>
      <c r="AB142" s="148"/>
      <c r="AC142" s="148"/>
      <c r="AD142" s="150"/>
      <c r="AE142" s="151"/>
      <c r="AF142" s="152"/>
      <c r="AG142" s="153"/>
      <c r="AH142" s="154"/>
      <c r="AJ142" s="390"/>
    </row>
    <row r="143" spans="1:36" s="141" customFormat="1">
      <c r="A143" s="42"/>
      <c r="B143" s="41"/>
      <c r="C143" s="276"/>
      <c r="D143" s="277"/>
      <c r="E143" s="276"/>
      <c r="F143" s="276"/>
      <c r="G143" s="278"/>
      <c r="H143" s="41"/>
      <c r="I143" s="41"/>
      <c r="J143" s="279"/>
      <c r="K143" s="279"/>
      <c r="L143" s="279"/>
      <c r="M143" s="140"/>
      <c r="O143" s="142"/>
      <c r="P143" s="142"/>
      <c r="Q143" s="41"/>
      <c r="R143" s="41"/>
      <c r="S143" s="41"/>
      <c r="T143" s="148"/>
      <c r="U143" s="148"/>
      <c r="V143" s="148"/>
      <c r="W143" s="148"/>
      <c r="X143" s="149"/>
      <c r="Y143" s="148"/>
      <c r="Z143" s="148"/>
      <c r="AA143" s="148"/>
      <c r="AB143" s="148"/>
      <c r="AC143" s="148"/>
      <c r="AD143" s="150"/>
      <c r="AE143" s="151"/>
      <c r="AF143" s="152"/>
      <c r="AG143" s="153"/>
      <c r="AH143" s="154"/>
      <c r="AJ143" s="390"/>
    </row>
    <row r="144" spans="1:36" s="141" customFormat="1">
      <c r="A144" s="42"/>
      <c r="B144" s="41"/>
      <c r="C144" s="276"/>
      <c r="D144" s="277"/>
      <c r="E144" s="276"/>
      <c r="F144" s="276"/>
      <c r="G144" s="278"/>
      <c r="H144" s="41"/>
      <c r="I144" s="41"/>
      <c r="J144" s="279"/>
      <c r="K144" s="279"/>
      <c r="L144" s="279"/>
      <c r="M144" s="140"/>
      <c r="O144" s="142"/>
      <c r="P144" s="142"/>
      <c r="Q144" s="41"/>
      <c r="R144" s="41"/>
      <c r="S144" s="41"/>
      <c r="T144" s="148"/>
      <c r="U144" s="148"/>
      <c r="V144" s="148"/>
      <c r="W144" s="148"/>
      <c r="X144" s="149"/>
      <c r="Y144" s="148"/>
      <c r="Z144" s="148"/>
      <c r="AA144" s="148"/>
      <c r="AB144" s="148"/>
      <c r="AC144" s="148"/>
      <c r="AD144" s="150"/>
      <c r="AE144" s="151"/>
      <c r="AF144" s="152"/>
      <c r="AG144" s="153"/>
      <c r="AH144" s="154"/>
      <c r="AJ144" s="390"/>
    </row>
    <row r="145" spans="1:36" s="141" customFormat="1">
      <c r="A145" s="42"/>
      <c r="B145" s="41"/>
      <c r="C145" s="276"/>
      <c r="D145" s="277"/>
      <c r="E145" s="276"/>
      <c r="F145" s="276"/>
      <c r="G145" s="278"/>
      <c r="H145" s="41"/>
      <c r="I145" s="41"/>
      <c r="J145" s="279"/>
      <c r="K145" s="279"/>
      <c r="L145" s="279"/>
      <c r="M145" s="140"/>
      <c r="O145" s="142"/>
      <c r="P145" s="142"/>
      <c r="Q145" s="41"/>
      <c r="R145" s="41"/>
      <c r="S145" s="41"/>
      <c r="T145" s="148"/>
      <c r="U145" s="148"/>
      <c r="V145" s="148"/>
      <c r="W145" s="148"/>
      <c r="X145" s="149"/>
      <c r="Y145" s="148"/>
      <c r="Z145" s="148"/>
      <c r="AA145" s="148"/>
      <c r="AB145" s="148"/>
      <c r="AC145" s="148"/>
      <c r="AD145" s="150"/>
      <c r="AE145" s="151"/>
      <c r="AF145" s="152"/>
      <c r="AG145" s="153"/>
      <c r="AH145" s="154"/>
      <c r="AJ145" s="390"/>
    </row>
    <row r="146" spans="1:36" s="141" customFormat="1">
      <c r="A146" s="42"/>
      <c r="B146" s="41"/>
      <c r="C146" s="276"/>
      <c r="D146" s="277"/>
      <c r="E146" s="276"/>
      <c r="F146" s="276"/>
      <c r="G146" s="278"/>
      <c r="H146" s="41"/>
      <c r="I146" s="41"/>
      <c r="J146" s="279"/>
      <c r="K146" s="279"/>
      <c r="L146" s="279"/>
      <c r="M146" s="140"/>
      <c r="O146" s="142"/>
      <c r="P146" s="142"/>
      <c r="Q146" s="41"/>
      <c r="R146" s="41"/>
      <c r="S146" s="41"/>
      <c r="T146" s="148"/>
      <c r="U146" s="148"/>
      <c r="V146" s="148"/>
      <c r="W146" s="148"/>
      <c r="X146" s="149"/>
      <c r="Y146" s="148"/>
      <c r="Z146" s="148"/>
      <c r="AA146" s="148"/>
      <c r="AB146" s="148"/>
      <c r="AC146" s="148"/>
      <c r="AD146" s="150"/>
      <c r="AE146" s="151"/>
      <c r="AF146" s="152"/>
      <c r="AG146" s="153"/>
      <c r="AH146" s="154"/>
      <c r="AJ146" s="390"/>
    </row>
    <row r="147" spans="1:36" s="141" customFormat="1">
      <c r="A147" s="42"/>
      <c r="B147" s="41"/>
      <c r="C147" s="276"/>
      <c r="D147" s="277"/>
      <c r="E147" s="276"/>
      <c r="F147" s="276"/>
      <c r="G147" s="278"/>
      <c r="H147" s="41"/>
      <c r="I147" s="41"/>
      <c r="J147" s="279"/>
      <c r="K147" s="279"/>
      <c r="L147" s="279"/>
      <c r="M147" s="140"/>
      <c r="O147" s="142"/>
      <c r="P147" s="142"/>
      <c r="Q147" s="41"/>
      <c r="R147" s="41"/>
      <c r="S147" s="41"/>
      <c r="T147" s="148"/>
      <c r="U147" s="148"/>
      <c r="V147" s="148"/>
      <c r="W147" s="148"/>
      <c r="X147" s="149"/>
      <c r="Y147" s="148"/>
      <c r="Z147" s="148"/>
      <c r="AA147" s="148"/>
      <c r="AB147" s="148"/>
      <c r="AC147" s="148"/>
      <c r="AD147" s="150"/>
      <c r="AE147" s="151"/>
      <c r="AF147" s="152"/>
      <c r="AG147" s="153"/>
      <c r="AH147" s="154"/>
      <c r="AJ147" s="390"/>
    </row>
    <row r="148" spans="1:36" s="141" customFormat="1">
      <c r="A148" s="42"/>
      <c r="B148" s="41"/>
      <c r="C148" s="276"/>
      <c r="D148" s="277"/>
      <c r="E148" s="276"/>
      <c r="F148" s="276"/>
      <c r="G148" s="278"/>
      <c r="H148" s="41"/>
      <c r="I148" s="41"/>
      <c r="J148" s="279"/>
      <c r="K148" s="279"/>
      <c r="L148" s="279"/>
      <c r="M148" s="140"/>
      <c r="O148" s="142"/>
      <c r="P148" s="142"/>
      <c r="Q148" s="41"/>
      <c r="R148" s="41"/>
      <c r="S148" s="41"/>
      <c r="T148" s="148"/>
      <c r="U148" s="148"/>
      <c r="V148" s="148"/>
      <c r="W148" s="148"/>
      <c r="X148" s="149"/>
      <c r="Y148" s="148"/>
      <c r="Z148" s="148"/>
      <c r="AA148" s="148"/>
      <c r="AB148" s="148"/>
      <c r="AC148" s="148"/>
      <c r="AD148" s="150"/>
      <c r="AE148" s="151"/>
      <c r="AF148" s="152"/>
      <c r="AG148" s="153"/>
      <c r="AH148" s="154"/>
      <c r="AJ148" s="390"/>
    </row>
    <row r="149" spans="1:36" s="141" customFormat="1">
      <c r="A149" s="42"/>
      <c r="B149" s="41"/>
      <c r="C149" s="276"/>
      <c r="D149" s="277"/>
      <c r="E149" s="276"/>
      <c r="F149" s="276"/>
      <c r="G149" s="278"/>
      <c r="H149" s="41"/>
      <c r="I149" s="41"/>
      <c r="J149" s="279"/>
      <c r="K149" s="279"/>
      <c r="L149" s="279"/>
      <c r="M149" s="140"/>
      <c r="O149" s="142"/>
      <c r="P149" s="142"/>
      <c r="Q149" s="41"/>
      <c r="R149" s="41"/>
      <c r="S149" s="41"/>
      <c r="T149" s="148"/>
      <c r="U149" s="148"/>
      <c r="V149" s="148"/>
      <c r="W149" s="148"/>
      <c r="X149" s="149"/>
      <c r="Y149" s="148"/>
      <c r="Z149" s="148"/>
      <c r="AA149" s="148"/>
      <c r="AB149" s="148"/>
      <c r="AC149" s="148"/>
      <c r="AD149" s="150"/>
      <c r="AE149" s="151"/>
      <c r="AF149" s="152"/>
      <c r="AG149" s="153"/>
      <c r="AH149" s="154"/>
      <c r="AJ149" s="390"/>
    </row>
    <row r="150" spans="1:36" s="141" customFormat="1">
      <c r="A150" s="42"/>
      <c r="B150" s="41"/>
      <c r="C150" s="276"/>
      <c r="D150" s="277"/>
      <c r="E150" s="276"/>
      <c r="F150" s="276"/>
      <c r="G150" s="278"/>
      <c r="H150" s="41"/>
      <c r="I150" s="41"/>
      <c r="J150" s="279"/>
      <c r="K150" s="279"/>
      <c r="L150" s="279"/>
      <c r="M150" s="140"/>
      <c r="O150" s="142"/>
      <c r="P150" s="142"/>
      <c r="Q150" s="41"/>
      <c r="R150" s="41"/>
      <c r="S150" s="41"/>
      <c r="T150" s="148"/>
      <c r="U150" s="148"/>
      <c r="V150" s="148"/>
      <c r="W150" s="148"/>
      <c r="X150" s="149"/>
      <c r="Y150" s="148"/>
      <c r="Z150" s="148"/>
      <c r="AA150" s="148"/>
      <c r="AB150" s="148"/>
      <c r="AC150" s="148"/>
      <c r="AD150" s="150"/>
      <c r="AE150" s="151"/>
      <c r="AF150" s="152"/>
      <c r="AG150" s="153"/>
      <c r="AH150" s="154"/>
      <c r="AJ150" s="390"/>
    </row>
    <row r="151" spans="1:36" s="141" customFormat="1">
      <c r="A151" s="42"/>
      <c r="B151" s="41"/>
      <c r="C151" s="276"/>
      <c r="D151" s="277"/>
      <c r="E151" s="276"/>
      <c r="F151" s="276"/>
      <c r="G151" s="278"/>
      <c r="H151" s="41"/>
      <c r="I151" s="41"/>
      <c r="J151" s="279"/>
      <c r="K151" s="279"/>
      <c r="L151" s="279"/>
      <c r="M151" s="140"/>
      <c r="O151" s="142"/>
      <c r="P151" s="142"/>
      <c r="Q151" s="41"/>
      <c r="R151" s="41"/>
      <c r="S151" s="41"/>
      <c r="T151" s="148"/>
      <c r="U151" s="148"/>
      <c r="V151" s="148"/>
      <c r="W151" s="148"/>
      <c r="X151" s="149"/>
      <c r="Y151" s="148"/>
      <c r="Z151" s="148"/>
      <c r="AA151" s="148"/>
      <c r="AB151" s="148"/>
      <c r="AC151" s="148"/>
      <c r="AD151" s="150"/>
      <c r="AE151" s="151"/>
      <c r="AF151" s="152"/>
      <c r="AG151" s="153"/>
      <c r="AH151" s="154"/>
      <c r="AJ151" s="390"/>
    </row>
    <row r="152" spans="1:36" s="141" customFormat="1">
      <c r="A152" s="42"/>
      <c r="B152" s="41"/>
      <c r="C152" s="276"/>
      <c r="D152" s="277"/>
      <c r="E152" s="276"/>
      <c r="F152" s="276"/>
      <c r="G152" s="278"/>
      <c r="H152" s="41"/>
      <c r="I152" s="41"/>
      <c r="J152" s="279"/>
      <c r="K152" s="279"/>
      <c r="L152" s="279"/>
      <c r="M152" s="140"/>
      <c r="O152" s="142"/>
      <c r="P152" s="142"/>
      <c r="Q152" s="41"/>
      <c r="R152" s="41"/>
      <c r="S152" s="41"/>
      <c r="T152" s="148"/>
      <c r="U152" s="148"/>
      <c r="V152" s="148"/>
      <c r="W152" s="148"/>
      <c r="X152" s="149"/>
      <c r="Y152" s="148"/>
      <c r="Z152" s="148"/>
      <c r="AA152" s="148"/>
      <c r="AB152" s="148"/>
      <c r="AC152" s="148"/>
      <c r="AD152" s="150"/>
      <c r="AE152" s="151"/>
      <c r="AF152" s="152"/>
      <c r="AG152" s="153"/>
      <c r="AH152" s="154"/>
      <c r="AJ152" s="390"/>
    </row>
    <row r="153" spans="1:36" s="141" customFormat="1">
      <c r="A153" s="42"/>
      <c r="B153" s="41"/>
      <c r="C153" s="276"/>
      <c r="D153" s="277"/>
      <c r="E153" s="276"/>
      <c r="F153" s="276"/>
      <c r="G153" s="278"/>
      <c r="H153" s="41"/>
      <c r="I153" s="41"/>
      <c r="J153" s="279"/>
      <c r="K153" s="279"/>
      <c r="L153" s="279"/>
      <c r="M153" s="140"/>
      <c r="O153" s="142"/>
      <c r="P153" s="142"/>
      <c r="Q153" s="41"/>
      <c r="R153" s="41"/>
      <c r="S153" s="41"/>
      <c r="T153" s="148"/>
      <c r="U153" s="148"/>
      <c r="V153" s="148"/>
      <c r="W153" s="148"/>
      <c r="X153" s="149"/>
      <c r="Y153" s="148"/>
      <c r="Z153" s="148"/>
      <c r="AA153" s="148"/>
      <c r="AB153" s="148"/>
      <c r="AC153" s="148"/>
      <c r="AD153" s="150"/>
      <c r="AE153" s="151"/>
      <c r="AF153" s="152"/>
      <c r="AG153" s="153"/>
      <c r="AH153" s="154"/>
      <c r="AJ153" s="390"/>
    </row>
    <row r="154" spans="1:36" s="141" customFormat="1">
      <c r="A154" s="42"/>
      <c r="B154" s="41"/>
      <c r="C154" s="276"/>
      <c r="D154" s="277"/>
      <c r="E154" s="276"/>
      <c r="F154" s="276"/>
      <c r="G154" s="278"/>
      <c r="H154" s="41"/>
      <c r="I154" s="41"/>
      <c r="J154" s="279"/>
      <c r="K154" s="279"/>
      <c r="L154" s="279"/>
      <c r="M154" s="140"/>
      <c r="O154" s="142"/>
      <c r="P154" s="142"/>
      <c r="Q154" s="41"/>
      <c r="R154" s="41"/>
      <c r="S154" s="41"/>
      <c r="T154" s="148"/>
      <c r="U154" s="148"/>
      <c r="V154" s="148"/>
      <c r="W154" s="148"/>
      <c r="X154" s="149"/>
      <c r="Y154" s="148"/>
      <c r="Z154" s="148"/>
      <c r="AA154" s="148"/>
      <c r="AB154" s="148"/>
      <c r="AC154" s="148"/>
      <c r="AD154" s="150"/>
      <c r="AE154" s="151"/>
      <c r="AF154" s="152"/>
      <c r="AG154" s="153"/>
      <c r="AH154" s="154"/>
      <c r="AJ154" s="390"/>
    </row>
    <row r="155" spans="1:36" s="141" customFormat="1">
      <c r="A155" s="42"/>
      <c r="B155" s="41"/>
      <c r="C155" s="276"/>
      <c r="D155" s="277"/>
      <c r="E155" s="276"/>
      <c r="F155" s="276"/>
      <c r="G155" s="278"/>
      <c r="H155" s="41"/>
      <c r="I155" s="41"/>
      <c r="J155" s="279"/>
      <c r="K155" s="279"/>
      <c r="L155" s="279"/>
      <c r="M155" s="140"/>
      <c r="O155" s="142"/>
      <c r="P155" s="142"/>
      <c r="Q155" s="41"/>
      <c r="R155" s="41"/>
      <c r="S155" s="41"/>
      <c r="T155" s="148"/>
      <c r="U155" s="148"/>
      <c r="V155" s="148"/>
      <c r="W155" s="148"/>
      <c r="X155" s="149"/>
      <c r="Y155" s="148"/>
      <c r="Z155" s="148"/>
      <c r="AA155" s="148"/>
      <c r="AB155" s="148"/>
      <c r="AC155" s="148"/>
      <c r="AD155" s="150"/>
      <c r="AE155" s="151"/>
      <c r="AF155" s="152"/>
      <c r="AG155" s="153"/>
      <c r="AH155" s="154"/>
      <c r="AJ155" s="390"/>
    </row>
    <row r="156" spans="1:36" s="141" customFormat="1">
      <c r="A156" s="42"/>
      <c r="B156" s="41"/>
      <c r="C156" s="276"/>
      <c r="D156" s="277"/>
      <c r="E156" s="276"/>
      <c r="F156" s="276"/>
      <c r="G156" s="278"/>
      <c r="H156" s="41"/>
      <c r="I156" s="41"/>
      <c r="J156" s="279"/>
      <c r="K156" s="279"/>
      <c r="L156" s="279"/>
      <c r="M156" s="140"/>
      <c r="O156" s="142"/>
      <c r="P156" s="142"/>
      <c r="Q156" s="41"/>
      <c r="R156" s="41"/>
      <c r="S156" s="41"/>
      <c r="T156" s="148"/>
      <c r="U156" s="148"/>
      <c r="V156" s="148"/>
      <c r="W156" s="148"/>
      <c r="X156" s="149"/>
      <c r="Y156" s="148"/>
      <c r="Z156" s="148"/>
      <c r="AA156" s="148"/>
      <c r="AB156" s="148"/>
      <c r="AC156" s="148"/>
      <c r="AD156" s="150"/>
      <c r="AE156" s="151"/>
      <c r="AF156" s="152"/>
      <c r="AG156" s="153"/>
      <c r="AH156" s="154"/>
      <c r="AJ156" s="390"/>
    </row>
    <row r="157" spans="1:36" s="141" customFormat="1">
      <c r="A157" s="42"/>
      <c r="B157" s="41"/>
      <c r="C157" s="276"/>
      <c r="D157" s="277"/>
      <c r="E157" s="276"/>
      <c r="F157" s="276"/>
      <c r="G157" s="278"/>
      <c r="H157" s="41"/>
      <c r="I157" s="41"/>
      <c r="J157" s="279"/>
      <c r="K157" s="279"/>
      <c r="L157" s="279"/>
      <c r="M157" s="140"/>
      <c r="O157" s="142"/>
      <c r="P157" s="142"/>
      <c r="Q157" s="41"/>
      <c r="R157" s="41"/>
      <c r="S157" s="41"/>
      <c r="T157" s="148"/>
      <c r="U157" s="148"/>
      <c r="V157" s="148"/>
      <c r="W157" s="148"/>
      <c r="X157" s="149"/>
      <c r="Y157" s="148"/>
      <c r="Z157" s="148"/>
      <c r="AA157" s="148"/>
      <c r="AB157" s="148"/>
      <c r="AC157" s="148"/>
      <c r="AD157" s="150"/>
      <c r="AE157" s="151"/>
      <c r="AF157" s="152"/>
      <c r="AG157" s="153"/>
      <c r="AH157" s="154"/>
      <c r="AJ157" s="390"/>
    </row>
    <row r="158" spans="1:36" s="141" customFormat="1">
      <c r="A158" s="42"/>
      <c r="B158" s="41"/>
      <c r="C158" s="276"/>
      <c r="D158" s="277"/>
      <c r="E158" s="276"/>
      <c r="F158" s="276"/>
      <c r="G158" s="278"/>
      <c r="H158" s="41"/>
      <c r="I158" s="41"/>
      <c r="J158" s="279"/>
      <c r="K158" s="279"/>
      <c r="L158" s="279"/>
      <c r="M158" s="140"/>
      <c r="O158" s="142"/>
      <c r="P158" s="142"/>
      <c r="Q158" s="41"/>
      <c r="R158" s="41"/>
      <c r="S158" s="41"/>
      <c r="T158" s="148"/>
      <c r="U158" s="148"/>
      <c r="V158" s="148"/>
      <c r="W158" s="148"/>
      <c r="X158" s="149"/>
      <c r="Y158" s="148"/>
      <c r="Z158" s="148"/>
      <c r="AA158" s="148"/>
      <c r="AB158" s="148"/>
      <c r="AC158" s="148"/>
      <c r="AD158" s="150"/>
      <c r="AE158" s="151"/>
      <c r="AF158" s="152"/>
      <c r="AG158" s="153"/>
      <c r="AH158" s="154"/>
      <c r="AJ158" s="390"/>
    </row>
    <row r="159" spans="1:36" s="141" customFormat="1">
      <c r="A159" s="42"/>
      <c r="B159" s="41"/>
      <c r="C159" s="276"/>
      <c r="D159" s="277"/>
      <c r="E159" s="276"/>
      <c r="F159" s="276"/>
      <c r="G159" s="278"/>
      <c r="H159" s="41"/>
      <c r="I159" s="41"/>
      <c r="J159" s="279"/>
      <c r="K159" s="279"/>
      <c r="L159" s="279"/>
      <c r="M159" s="140"/>
      <c r="O159" s="142"/>
      <c r="P159" s="142"/>
      <c r="Q159" s="41"/>
      <c r="R159" s="41"/>
      <c r="S159" s="41"/>
      <c r="T159" s="148"/>
      <c r="U159" s="148"/>
      <c r="V159" s="148"/>
      <c r="W159" s="148"/>
      <c r="X159" s="149"/>
      <c r="Y159" s="148"/>
      <c r="Z159" s="148"/>
      <c r="AA159" s="148"/>
      <c r="AB159" s="148"/>
      <c r="AC159" s="148"/>
      <c r="AD159" s="150"/>
      <c r="AE159" s="151"/>
      <c r="AF159" s="152"/>
      <c r="AG159" s="153"/>
      <c r="AH159" s="154"/>
      <c r="AJ159" s="390"/>
    </row>
    <row r="160" spans="1:36" s="141" customFormat="1">
      <c r="A160" s="42"/>
      <c r="B160" s="41"/>
      <c r="C160" s="276"/>
      <c r="D160" s="277"/>
      <c r="E160" s="276"/>
      <c r="F160" s="276"/>
      <c r="G160" s="278"/>
      <c r="H160" s="41"/>
      <c r="I160" s="41"/>
      <c r="J160" s="279"/>
      <c r="K160" s="279"/>
      <c r="L160" s="279"/>
      <c r="M160" s="140"/>
      <c r="O160" s="142"/>
      <c r="P160" s="142"/>
      <c r="Q160" s="41"/>
      <c r="R160" s="41"/>
      <c r="S160" s="41"/>
      <c r="T160" s="148"/>
      <c r="U160" s="148"/>
      <c r="V160" s="148"/>
      <c r="W160" s="148"/>
      <c r="X160" s="149"/>
      <c r="Y160" s="148"/>
      <c r="Z160" s="148"/>
      <c r="AA160" s="148"/>
      <c r="AB160" s="148"/>
      <c r="AC160" s="148"/>
      <c r="AD160" s="150"/>
      <c r="AE160" s="151"/>
      <c r="AF160" s="152"/>
      <c r="AG160" s="153"/>
      <c r="AH160" s="154"/>
      <c r="AJ160" s="390"/>
    </row>
    <row r="161" spans="1:36" s="141" customFormat="1">
      <c r="A161" s="42"/>
      <c r="B161" s="41"/>
      <c r="C161" s="276"/>
      <c r="D161" s="277"/>
      <c r="E161" s="276"/>
      <c r="F161" s="276"/>
      <c r="G161" s="278"/>
      <c r="H161" s="41"/>
      <c r="I161" s="41"/>
      <c r="J161" s="279"/>
      <c r="K161" s="279"/>
      <c r="L161" s="279"/>
      <c r="M161" s="140"/>
      <c r="O161" s="142"/>
      <c r="P161" s="142"/>
      <c r="Q161" s="41"/>
      <c r="R161" s="41"/>
      <c r="S161" s="41"/>
      <c r="T161" s="148"/>
      <c r="U161" s="148"/>
      <c r="V161" s="148"/>
      <c r="W161" s="148"/>
      <c r="X161" s="149"/>
      <c r="Y161" s="148"/>
      <c r="Z161" s="148"/>
      <c r="AA161" s="148"/>
      <c r="AB161" s="148"/>
      <c r="AC161" s="148"/>
      <c r="AD161" s="150"/>
      <c r="AE161" s="151"/>
      <c r="AF161" s="152"/>
      <c r="AG161" s="153"/>
      <c r="AH161" s="154"/>
      <c r="AJ161" s="390"/>
    </row>
    <row r="162" spans="1:36" s="141" customFormat="1">
      <c r="A162" s="42"/>
      <c r="B162" s="41"/>
      <c r="C162" s="276"/>
      <c r="D162" s="277"/>
      <c r="E162" s="276"/>
      <c r="F162" s="276"/>
      <c r="G162" s="278"/>
      <c r="H162" s="41"/>
      <c r="I162" s="41"/>
      <c r="J162" s="279"/>
      <c r="K162" s="279"/>
      <c r="L162" s="279"/>
      <c r="M162" s="140"/>
      <c r="O162" s="142"/>
      <c r="P162" s="142"/>
      <c r="Q162" s="41"/>
      <c r="R162" s="41"/>
      <c r="S162" s="41"/>
      <c r="T162" s="148"/>
      <c r="U162" s="148"/>
      <c r="V162" s="148"/>
      <c r="W162" s="148"/>
      <c r="X162" s="149"/>
      <c r="Y162" s="148"/>
      <c r="Z162" s="148"/>
      <c r="AA162" s="148"/>
      <c r="AB162" s="148"/>
      <c r="AC162" s="148"/>
      <c r="AD162" s="150"/>
      <c r="AE162" s="151"/>
      <c r="AF162" s="152"/>
      <c r="AG162" s="153"/>
      <c r="AH162" s="154"/>
      <c r="AJ162" s="390"/>
    </row>
    <row r="163" spans="1:36" s="141" customFormat="1">
      <c r="A163" s="42"/>
      <c r="B163" s="41"/>
      <c r="C163" s="276"/>
      <c r="D163" s="277"/>
      <c r="E163" s="276"/>
      <c r="F163" s="276"/>
      <c r="G163" s="278"/>
      <c r="H163" s="41"/>
      <c r="I163" s="41"/>
      <c r="J163" s="279"/>
      <c r="K163" s="279"/>
      <c r="L163" s="279"/>
      <c r="M163" s="140"/>
      <c r="O163" s="142"/>
      <c r="P163" s="142"/>
      <c r="Q163" s="41"/>
      <c r="R163" s="41"/>
      <c r="S163" s="41"/>
      <c r="T163" s="148"/>
      <c r="U163" s="148"/>
      <c r="V163" s="148"/>
      <c r="W163" s="148"/>
      <c r="X163" s="149"/>
      <c r="Y163" s="148"/>
      <c r="Z163" s="148"/>
      <c r="AA163" s="148"/>
      <c r="AB163" s="148"/>
      <c r="AC163" s="148"/>
      <c r="AD163" s="150"/>
      <c r="AE163" s="151"/>
      <c r="AF163" s="152"/>
      <c r="AG163" s="153"/>
      <c r="AH163" s="154"/>
      <c r="AJ163" s="390"/>
    </row>
    <row r="164" spans="1:36" s="141" customFormat="1">
      <c r="A164" s="42"/>
      <c r="B164" s="41"/>
      <c r="C164" s="276"/>
      <c r="D164" s="277"/>
      <c r="E164" s="276"/>
      <c r="F164" s="276"/>
      <c r="G164" s="278"/>
      <c r="H164" s="41"/>
      <c r="I164" s="41"/>
      <c r="J164" s="279"/>
      <c r="K164" s="279"/>
      <c r="L164" s="279"/>
      <c r="M164" s="140"/>
      <c r="O164" s="142"/>
      <c r="P164" s="142"/>
      <c r="Q164" s="41"/>
      <c r="R164" s="41"/>
      <c r="S164" s="41"/>
      <c r="T164" s="148"/>
      <c r="U164" s="148"/>
      <c r="V164" s="148"/>
      <c r="W164" s="148"/>
      <c r="X164" s="149"/>
      <c r="Y164" s="148"/>
      <c r="Z164" s="148"/>
      <c r="AA164" s="148"/>
      <c r="AB164" s="148"/>
      <c r="AC164" s="148"/>
      <c r="AD164" s="150"/>
      <c r="AE164" s="151"/>
      <c r="AF164" s="152"/>
      <c r="AG164" s="153"/>
      <c r="AH164" s="154"/>
      <c r="AJ164" s="390"/>
    </row>
    <row r="165" spans="1:36" s="141" customFormat="1">
      <c r="A165" s="42"/>
      <c r="B165" s="41"/>
      <c r="C165" s="276"/>
      <c r="D165" s="277"/>
      <c r="E165" s="276"/>
      <c r="F165" s="276"/>
      <c r="G165" s="278"/>
      <c r="H165" s="41"/>
      <c r="I165" s="41"/>
      <c r="J165" s="279"/>
      <c r="K165" s="279"/>
      <c r="L165" s="279"/>
      <c r="M165" s="140"/>
      <c r="O165" s="142"/>
      <c r="P165" s="142"/>
      <c r="Q165" s="41"/>
      <c r="R165" s="41"/>
      <c r="S165" s="41"/>
      <c r="T165" s="148"/>
      <c r="U165" s="148"/>
      <c r="V165" s="148"/>
      <c r="W165" s="148"/>
      <c r="X165" s="149"/>
      <c r="Y165" s="148"/>
      <c r="Z165" s="148"/>
      <c r="AA165" s="148"/>
      <c r="AB165" s="148"/>
      <c r="AC165" s="148"/>
      <c r="AD165" s="150"/>
      <c r="AE165" s="151"/>
      <c r="AF165" s="152"/>
      <c r="AG165" s="153"/>
      <c r="AH165" s="154"/>
      <c r="AJ165" s="390"/>
    </row>
    <row r="166" spans="1:36" s="141" customFormat="1">
      <c r="A166" s="42"/>
      <c r="B166" s="41"/>
      <c r="C166" s="276"/>
      <c r="D166" s="277"/>
      <c r="E166" s="276"/>
      <c r="F166" s="276"/>
      <c r="G166" s="278"/>
      <c r="H166" s="41"/>
      <c r="I166" s="41"/>
      <c r="J166" s="279"/>
      <c r="K166" s="279"/>
      <c r="L166" s="279"/>
      <c r="M166" s="140"/>
      <c r="O166" s="142"/>
      <c r="P166" s="142"/>
      <c r="Q166" s="41"/>
      <c r="R166" s="41"/>
      <c r="S166" s="41"/>
      <c r="T166" s="148"/>
      <c r="U166" s="148"/>
      <c r="V166" s="148"/>
      <c r="W166" s="148"/>
      <c r="X166" s="149"/>
      <c r="Y166" s="148"/>
      <c r="Z166" s="148"/>
      <c r="AA166" s="148"/>
      <c r="AB166" s="148"/>
      <c r="AC166" s="148"/>
      <c r="AD166" s="150"/>
      <c r="AE166" s="151"/>
      <c r="AF166" s="152"/>
      <c r="AG166" s="153"/>
      <c r="AH166" s="154"/>
      <c r="AJ166" s="390"/>
    </row>
    <row r="167" spans="1:36" s="141" customFormat="1">
      <c r="A167" s="42"/>
      <c r="B167" s="41"/>
      <c r="C167" s="276"/>
      <c r="D167" s="277"/>
      <c r="E167" s="276"/>
      <c r="F167" s="276"/>
      <c r="G167" s="278"/>
      <c r="H167" s="41"/>
      <c r="I167" s="41"/>
      <c r="J167" s="279"/>
      <c r="K167" s="279"/>
      <c r="L167" s="279"/>
      <c r="M167" s="140"/>
      <c r="O167" s="142"/>
      <c r="P167" s="142"/>
      <c r="Q167" s="41"/>
      <c r="R167" s="41"/>
      <c r="S167" s="41"/>
      <c r="T167" s="148"/>
      <c r="U167" s="148"/>
      <c r="V167" s="148"/>
      <c r="W167" s="148"/>
      <c r="X167" s="149"/>
      <c r="Y167" s="148"/>
      <c r="Z167" s="148"/>
      <c r="AA167" s="148"/>
      <c r="AB167" s="148"/>
      <c r="AC167" s="148"/>
      <c r="AD167" s="150"/>
      <c r="AE167" s="151"/>
      <c r="AF167" s="152"/>
      <c r="AG167" s="153"/>
      <c r="AH167" s="154"/>
      <c r="AJ167" s="390"/>
    </row>
    <row r="168" spans="1:36" s="141" customFormat="1">
      <c r="A168" s="42"/>
      <c r="B168" s="41"/>
      <c r="C168" s="276"/>
      <c r="D168" s="277"/>
      <c r="E168" s="276"/>
      <c r="F168" s="276"/>
      <c r="G168" s="278"/>
      <c r="H168" s="41"/>
      <c r="I168" s="41"/>
      <c r="J168" s="279"/>
      <c r="K168" s="279"/>
      <c r="L168" s="279"/>
      <c r="M168" s="140"/>
      <c r="O168" s="142"/>
      <c r="P168" s="142"/>
      <c r="Q168" s="41"/>
      <c r="R168" s="41"/>
      <c r="S168" s="41"/>
      <c r="T168" s="148"/>
      <c r="U168" s="148"/>
      <c r="V168" s="148"/>
      <c r="W168" s="148"/>
      <c r="X168" s="149"/>
      <c r="Y168" s="148"/>
      <c r="Z168" s="148"/>
      <c r="AA168" s="148"/>
      <c r="AB168" s="148"/>
      <c r="AC168" s="148"/>
      <c r="AD168" s="150"/>
      <c r="AE168" s="151"/>
      <c r="AF168" s="152"/>
      <c r="AG168" s="153"/>
      <c r="AH168" s="154"/>
      <c r="AJ168" s="390"/>
    </row>
    <row r="169" spans="1:36" s="141" customFormat="1">
      <c r="A169" s="42"/>
      <c r="B169" s="41"/>
      <c r="C169" s="276"/>
      <c r="D169" s="277"/>
      <c r="E169" s="276"/>
      <c r="F169" s="276"/>
      <c r="G169" s="278"/>
      <c r="H169" s="41"/>
      <c r="I169" s="41"/>
      <c r="J169" s="279"/>
      <c r="K169" s="279"/>
      <c r="L169" s="279"/>
      <c r="M169" s="140"/>
      <c r="O169" s="142"/>
      <c r="P169" s="142"/>
      <c r="Q169" s="41"/>
      <c r="R169" s="41"/>
      <c r="S169" s="41"/>
      <c r="T169" s="148"/>
      <c r="U169" s="148"/>
      <c r="V169" s="148"/>
      <c r="W169" s="148"/>
      <c r="X169" s="149"/>
      <c r="Y169" s="148"/>
      <c r="Z169" s="148"/>
      <c r="AA169" s="148"/>
      <c r="AB169" s="148"/>
      <c r="AC169" s="148"/>
      <c r="AD169" s="150"/>
      <c r="AE169" s="151"/>
      <c r="AF169" s="152"/>
      <c r="AG169" s="153"/>
      <c r="AH169" s="154"/>
      <c r="AJ169" s="390"/>
    </row>
    <row r="170" spans="1:36" s="141" customFormat="1">
      <c r="A170" s="42"/>
      <c r="B170" s="41"/>
      <c r="C170" s="276"/>
      <c r="D170" s="277"/>
      <c r="E170" s="276"/>
      <c r="F170" s="276"/>
      <c r="G170" s="278"/>
      <c r="H170" s="41"/>
      <c r="I170" s="41"/>
      <c r="J170" s="279"/>
      <c r="K170" s="279"/>
      <c r="L170" s="279"/>
      <c r="M170" s="140"/>
      <c r="O170" s="142"/>
      <c r="P170" s="142"/>
      <c r="Q170" s="41"/>
      <c r="R170" s="41"/>
      <c r="S170" s="41"/>
      <c r="T170" s="148"/>
      <c r="U170" s="148"/>
      <c r="V170" s="148"/>
      <c r="W170" s="148"/>
      <c r="X170" s="149"/>
      <c r="Y170" s="148"/>
      <c r="Z170" s="148"/>
      <c r="AA170" s="148"/>
      <c r="AB170" s="148"/>
      <c r="AC170" s="148"/>
      <c r="AD170" s="150"/>
      <c r="AE170" s="151"/>
      <c r="AF170" s="152"/>
      <c r="AG170" s="153"/>
      <c r="AH170" s="154"/>
      <c r="AJ170" s="390"/>
    </row>
    <row r="171" spans="1:36" s="141" customFormat="1">
      <c r="A171" s="42"/>
      <c r="B171" s="41"/>
      <c r="C171" s="276"/>
      <c r="D171" s="277"/>
      <c r="E171" s="276"/>
      <c r="F171" s="276"/>
      <c r="G171" s="278"/>
      <c r="H171" s="41"/>
      <c r="I171" s="41"/>
      <c r="J171" s="279"/>
      <c r="K171" s="279"/>
      <c r="L171" s="279"/>
      <c r="M171" s="140"/>
      <c r="O171" s="142"/>
      <c r="P171" s="142"/>
      <c r="Q171" s="41"/>
      <c r="R171" s="41"/>
      <c r="S171" s="41"/>
      <c r="T171" s="148"/>
      <c r="U171" s="148"/>
      <c r="V171" s="148"/>
      <c r="W171" s="148"/>
      <c r="X171" s="149"/>
      <c r="Y171" s="148"/>
      <c r="Z171" s="148"/>
      <c r="AA171" s="148"/>
      <c r="AB171" s="148"/>
      <c r="AC171" s="148"/>
      <c r="AD171" s="150"/>
      <c r="AE171" s="151"/>
      <c r="AF171" s="152"/>
      <c r="AG171" s="153"/>
      <c r="AH171" s="154"/>
      <c r="AJ171" s="390"/>
    </row>
    <row r="172" spans="1:36" s="141" customFormat="1">
      <c r="A172" s="42"/>
      <c r="B172" s="41"/>
      <c r="C172" s="276"/>
      <c r="D172" s="277"/>
      <c r="E172" s="276"/>
      <c r="F172" s="276"/>
      <c r="G172" s="278"/>
      <c r="H172" s="41"/>
      <c r="I172" s="41"/>
      <c r="J172" s="279"/>
      <c r="K172" s="279"/>
      <c r="L172" s="279"/>
      <c r="M172" s="140"/>
      <c r="O172" s="142"/>
      <c r="P172" s="142"/>
      <c r="Q172" s="41"/>
      <c r="R172" s="41"/>
      <c r="S172" s="41"/>
      <c r="T172" s="148"/>
      <c r="U172" s="148"/>
      <c r="V172" s="148"/>
      <c r="W172" s="148"/>
      <c r="X172" s="149"/>
      <c r="Y172" s="148"/>
      <c r="Z172" s="148"/>
      <c r="AA172" s="148"/>
      <c r="AB172" s="148"/>
      <c r="AC172" s="148"/>
      <c r="AD172" s="150"/>
      <c r="AE172" s="151"/>
      <c r="AF172" s="152"/>
      <c r="AG172" s="153"/>
      <c r="AH172" s="154"/>
      <c r="AJ172" s="390"/>
    </row>
    <row r="173" spans="1:36" s="141" customFormat="1">
      <c r="A173" s="42"/>
      <c r="B173" s="41"/>
      <c r="C173" s="276"/>
      <c r="D173" s="277"/>
      <c r="E173" s="276"/>
      <c r="F173" s="276"/>
      <c r="G173" s="278"/>
      <c r="H173" s="41"/>
      <c r="I173" s="41"/>
      <c r="J173" s="279"/>
      <c r="K173" s="279"/>
      <c r="L173" s="279"/>
      <c r="M173" s="140"/>
      <c r="O173" s="142"/>
      <c r="P173" s="142"/>
      <c r="Q173" s="41"/>
      <c r="R173" s="41"/>
      <c r="S173" s="41"/>
      <c r="T173" s="148"/>
      <c r="U173" s="148"/>
      <c r="V173" s="148"/>
      <c r="W173" s="148"/>
      <c r="X173" s="149"/>
      <c r="Y173" s="148"/>
      <c r="Z173" s="148"/>
      <c r="AA173" s="148"/>
      <c r="AB173" s="148"/>
      <c r="AC173" s="148"/>
      <c r="AD173" s="150"/>
      <c r="AE173" s="151"/>
      <c r="AF173" s="152"/>
      <c r="AG173" s="153"/>
      <c r="AH173" s="154"/>
      <c r="AJ173" s="390"/>
    </row>
    <row r="174" spans="1:36" s="141" customFormat="1">
      <c r="A174" s="42"/>
      <c r="B174" s="41"/>
      <c r="C174" s="276"/>
      <c r="D174" s="277"/>
      <c r="E174" s="276"/>
      <c r="F174" s="276"/>
      <c r="G174" s="278"/>
      <c r="H174" s="41"/>
      <c r="I174" s="41"/>
      <c r="J174" s="279"/>
      <c r="K174" s="279"/>
      <c r="L174" s="279"/>
      <c r="M174" s="140"/>
      <c r="O174" s="142"/>
      <c r="P174" s="142"/>
      <c r="Q174" s="41"/>
      <c r="R174" s="41"/>
      <c r="S174" s="41"/>
      <c r="T174" s="148"/>
      <c r="U174" s="148"/>
      <c r="V174" s="148"/>
      <c r="W174" s="148"/>
      <c r="X174" s="149"/>
      <c r="Y174" s="148"/>
      <c r="Z174" s="148"/>
      <c r="AA174" s="148"/>
      <c r="AB174" s="148"/>
      <c r="AC174" s="148"/>
      <c r="AD174" s="150"/>
      <c r="AE174" s="151"/>
      <c r="AF174" s="152"/>
      <c r="AG174" s="153"/>
      <c r="AH174" s="154"/>
      <c r="AJ174" s="390"/>
    </row>
    <row r="175" spans="1:36" s="141" customFormat="1">
      <c r="A175" s="42"/>
      <c r="B175" s="41"/>
      <c r="C175" s="276"/>
      <c r="D175" s="277"/>
      <c r="E175" s="276"/>
      <c r="F175" s="276"/>
      <c r="G175" s="278"/>
      <c r="H175" s="41"/>
      <c r="I175" s="41"/>
      <c r="J175" s="279"/>
      <c r="K175" s="279"/>
      <c r="L175" s="279"/>
      <c r="M175" s="140"/>
      <c r="O175" s="142"/>
      <c r="P175" s="142"/>
      <c r="Q175" s="41"/>
      <c r="R175" s="41"/>
      <c r="S175" s="41"/>
      <c r="T175" s="148"/>
      <c r="U175" s="148"/>
      <c r="V175" s="148"/>
      <c r="W175" s="148"/>
      <c r="X175" s="149"/>
      <c r="Y175" s="148"/>
      <c r="Z175" s="148"/>
      <c r="AA175" s="148"/>
      <c r="AB175" s="148"/>
      <c r="AC175" s="148"/>
      <c r="AD175" s="150"/>
      <c r="AE175" s="151"/>
      <c r="AF175" s="152"/>
      <c r="AG175" s="153"/>
      <c r="AH175" s="154"/>
      <c r="AJ175" s="390"/>
    </row>
    <row r="176" spans="1:36" s="141" customFormat="1">
      <c r="A176" s="42"/>
      <c r="B176" s="41"/>
      <c r="C176" s="276"/>
      <c r="D176" s="277"/>
      <c r="E176" s="276"/>
      <c r="F176" s="276"/>
      <c r="G176" s="278"/>
      <c r="H176" s="41"/>
      <c r="I176" s="41"/>
      <c r="J176" s="279"/>
      <c r="K176" s="279"/>
      <c r="L176" s="279"/>
      <c r="M176" s="140"/>
      <c r="O176" s="142"/>
      <c r="P176" s="142"/>
      <c r="Q176" s="41"/>
      <c r="R176" s="41"/>
      <c r="S176" s="41"/>
      <c r="T176" s="148"/>
      <c r="U176" s="148"/>
      <c r="V176" s="148"/>
      <c r="W176" s="148"/>
      <c r="X176" s="149"/>
      <c r="Y176" s="148"/>
      <c r="Z176" s="148"/>
      <c r="AA176" s="148"/>
      <c r="AB176" s="148"/>
      <c r="AC176" s="148"/>
      <c r="AD176" s="150"/>
      <c r="AE176" s="151"/>
      <c r="AF176" s="152"/>
      <c r="AG176" s="153"/>
      <c r="AH176" s="154"/>
      <c r="AJ176" s="390"/>
    </row>
    <row r="177" spans="1:36" s="141" customFormat="1">
      <c r="A177" s="42"/>
      <c r="B177" s="41"/>
      <c r="C177" s="276"/>
      <c r="D177" s="277"/>
      <c r="E177" s="276"/>
      <c r="F177" s="276"/>
      <c r="G177" s="278"/>
      <c r="H177" s="41"/>
      <c r="I177" s="41"/>
      <c r="J177" s="279"/>
      <c r="K177" s="279"/>
      <c r="L177" s="279"/>
      <c r="M177" s="140"/>
      <c r="O177" s="142"/>
      <c r="P177" s="142"/>
      <c r="Q177" s="41"/>
      <c r="R177" s="41"/>
      <c r="S177" s="41"/>
      <c r="T177" s="148"/>
      <c r="U177" s="148"/>
      <c r="V177" s="148"/>
      <c r="W177" s="148"/>
      <c r="X177" s="149"/>
      <c r="Y177" s="148"/>
      <c r="Z177" s="148"/>
      <c r="AA177" s="148"/>
      <c r="AB177" s="148"/>
      <c r="AC177" s="148"/>
      <c r="AD177" s="150"/>
      <c r="AE177" s="151"/>
      <c r="AF177" s="152"/>
      <c r="AG177" s="153"/>
      <c r="AH177" s="154"/>
      <c r="AJ177" s="390"/>
    </row>
    <row r="178" spans="1:36" s="141" customFormat="1">
      <c r="A178" s="42"/>
      <c r="B178" s="41"/>
      <c r="C178" s="276"/>
      <c r="D178" s="277"/>
      <c r="E178" s="276"/>
      <c r="F178" s="276"/>
      <c r="G178" s="278"/>
      <c r="H178" s="41"/>
      <c r="I178" s="41"/>
      <c r="J178" s="279"/>
      <c r="K178" s="279"/>
      <c r="L178" s="279"/>
      <c r="M178" s="140"/>
      <c r="O178" s="142"/>
      <c r="P178" s="142"/>
      <c r="Q178" s="41"/>
      <c r="R178" s="41"/>
      <c r="S178" s="41"/>
      <c r="T178" s="148"/>
      <c r="U178" s="148"/>
      <c r="V178" s="148"/>
      <c r="W178" s="148"/>
      <c r="X178" s="149"/>
      <c r="Y178" s="148"/>
      <c r="Z178" s="148"/>
      <c r="AA178" s="148"/>
      <c r="AB178" s="148"/>
      <c r="AC178" s="148"/>
      <c r="AD178" s="150"/>
      <c r="AE178" s="151"/>
      <c r="AF178" s="152"/>
      <c r="AG178" s="153"/>
      <c r="AH178" s="154"/>
      <c r="AJ178" s="390"/>
    </row>
    <row r="179" spans="1:36" s="141" customFormat="1">
      <c r="A179" s="42"/>
      <c r="B179" s="41"/>
      <c r="C179" s="276"/>
      <c r="D179" s="277"/>
      <c r="E179" s="276"/>
      <c r="F179" s="276"/>
      <c r="G179" s="278"/>
      <c r="H179" s="41"/>
      <c r="I179" s="41"/>
      <c r="J179" s="279"/>
      <c r="K179" s="279"/>
      <c r="L179" s="279"/>
      <c r="M179" s="140"/>
      <c r="O179" s="142"/>
      <c r="P179" s="142"/>
      <c r="Q179" s="41"/>
      <c r="R179" s="41"/>
      <c r="S179" s="41"/>
      <c r="T179" s="148"/>
      <c r="U179" s="148"/>
      <c r="V179" s="148"/>
      <c r="W179" s="148"/>
      <c r="X179" s="149"/>
      <c r="Y179" s="148"/>
      <c r="Z179" s="148"/>
      <c r="AA179" s="148"/>
      <c r="AB179" s="148"/>
      <c r="AC179" s="148"/>
      <c r="AD179" s="150"/>
      <c r="AE179" s="151"/>
      <c r="AF179" s="152"/>
      <c r="AG179" s="153"/>
      <c r="AH179" s="154"/>
      <c r="AJ179" s="390"/>
    </row>
    <row r="180" spans="1:36" s="141" customFormat="1">
      <c r="A180" s="42"/>
      <c r="B180" s="41"/>
      <c r="C180" s="276"/>
      <c r="D180" s="277"/>
      <c r="E180" s="276"/>
      <c r="F180" s="276"/>
      <c r="G180" s="278"/>
      <c r="H180" s="41"/>
      <c r="I180" s="41"/>
      <c r="J180" s="279"/>
      <c r="K180" s="279"/>
      <c r="L180" s="279"/>
      <c r="M180" s="140"/>
      <c r="O180" s="142"/>
      <c r="P180" s="142"/>
      <c r="Q180" s="41"/>
      <c r="R180" s="41"/>
      <c r="S180" s="41"/>
      <c r="T180" s="148"/>
      <c r="U180" s="148"/>
      <c r="V180" s="148"/>
      <c r="W180" s="148"/>
      <c r="X180" s="149"/>
      <c r="Y180" s="148"/>
      <c r="Z180" s="148"/>
      <c r="AA180" s="148"/>
      <c r="AB180" s="148"/>
      <c r="AC180" s="148"/>
      <c r="AD180" s="150"/>
      <c r="AE180" s="151"/>
      <c r="AF180" s="152"/>
      <c r="AG180" s="153"/>
      <c r="AH180" s="154"/>
      <c r="AJ180" s="390"/>
    </row>
    <row r="181" spans="1:36" s="141" customFormat="1">
      <c r="A181" s="42"/>
      <c r="B181" s="41"/>
      <c r="C181" s="276"/>
      <c r="D181" s="277"/>
      <c r="E181" s="276"/>
      <c r="F181" s="276"/>
      <c r="G181" s="278"/>
      <c r="H181" s="41"/>
      <c r="I181" s="41"/>
      <c r="J181" s="279"/>
      <c r="K181" s="279"/>
      <c r="L181" s="279"/>
      <c r="M181" s="140"/>
      <c r="O181" s="142"/>
      <c r="P181" s="142"/>
      <c r="Q181" s="41"/>
      <c r="R181" s="41"/>
      <c r="S181" s="41"/>
      <c r="T181" s="148"/>
      <c r="U181" s="148"/>
      <c r="V181" s="148"/>
      <c r="W181" s="148"/>
      <c r="X181" s="149"/>
      <c r="Y181" s="148"/>
      <c r="Z181" s="148"/>
      <c r="AA181" s="148"/>
      <c r="AB181" s="148"/>
      <c r="AC181" s="148"/>
      <c r="AD181" s="150"/>
      <c r="AE181" s="151"/>
      <c r="AF181" s="152"/>
      <c r="AG181" s="153"/>
      <c r="AH181" s="154"/>
      <c r="AJ181" s="390"/>
    </row>
    <row r="182" spans="1:36" s="141" customFormat="1">
      <c r="A182" s="42"/>
      <c r="B182" s="41"/>
      <c r="C182" s="276"/>
      <c r="D182" s="277"/>
      <c r="E182" s="276"/>
      <c r="F182" s="276"/>
      <c r="G182" s="278"/>
      <c r="H182" s="41"/>
      <c r="I182" s="41"/>
      <c r="J182" s="279"/>
      <c r="K182" s="279"/>
      <c r="L182" s="279"/>
      <c r="M182" s="140"/>
      <c r="O182" s="142"/>
      <c r="P182" s="142"/>
      <c r="Q182" s="41"/>
      <c r="R182" s="41"/>
      <c r="S182" s="41"/>
      <c r="T182" s="148"/>
      <c r="U182" s="148"/>
      <c r="V182" s="148"/>
      <c r="W182" s="148"/>
      <c r="X182" s="149"/>
      <c r="Y182" s="148"/>
      <c r="Z182" s="148"/>
      <c r="AA182" s="148"/>
      <c r="AB182" s="148"/>
      <c r="AC182" s="148"/>
      <c r="AD182" s="150"/>
      <c r="AE182" s="151"/>
      <c r="AF182" s="152"/>
      <c r="AG182" s="153"/>
      <c r="AH182" s="154"/>
      <c r="AJ182" s="390"/>
    </row>
    <row r="183" spans="1:36" s="141" customFormat="1">
      <c r="A183" s="42"/>
      <c r="B183" s="41"/>
      <c r="C183" s="276"/>
      <c r="D183" s="277"/>
      <c r="E183" s="276"/>
      <c r="F183" s="276"/>
      <c r="G183" s="278"/>
      <c r="H183" s="41"/>
      <c r="I183" s="41"/>
      <c r="J183" s="279"/>
      <c r="K183" s="279"/>
      <c r="L183" s="279"/>
      <c r="M183" s="140"/>
      <c r="O183" s="142"/>
      <c r="P183" s="142"/>
      <c r="Q183" s="41"/>
      <c r="R183" s="41"/>
      <c r="S183" s="41"/>
      <c r="T183" s="148"/>
      <c r="U183" s="148"/>
      <c r="V183" s="148"/>
      <c r="W183" s="148"/>
      <c r="X183" s="149"/>
      <c r="Y183" s="148"/>
      <c r="Z183" s="148"/>
      <c r="AA183" s="148"/>
      <c r="AB183" s="148"/>
      <c r="AC183" s="148"/>
      <c r="AD183" s="150"/>
      <c r="AE183" s="151"/>
      <c r="AF183" s="152"/>
      <c r="AG183" s="153"/>
      <c r="AH183" s="154"/>
      <c r="AJ183" s="390"/>
    </row>
    <row r="184" spans="1:36" s="141" customFormat="1">
      <c r="A184" s="42"/>
      <c r="B184" s="41"/>
      <c r="C184" s="276"/>
      <c r="D184" s="277"/>
      <c r="E184" s="276"/>
      <c r="F184" s="276"/>
      <c r="G184" s="278"/>
      <c r="H184" s="41"/>
      <c r="I184" s="41"/>
      <c r="J184" s="279"/>
      <c r="K184" s="279"/>
      <c r="L184" s="279"/>
      <c r="M184" s="140"/>
      <c r="O184" s="142"/>
      <c r="P184" s="142"/>
      <c r="Q184" s="41"/>
      <c r="R184" s="41"/>
      <c r="S184" s="41"/>
      <c r="T184" s="148"/>
      <c r="U184" s="148"/>
      <c r="V184" s="148"/>
      <c r="W184" s="148"/>
      <c r="X184" s="149"/>
      <c r="Y184" s="148"/>
      <c r="Z184" s="148"/>
      <c r="AA184" s="148"/>
      <c r="AB184" s="148"/>
      <c r="AC184" s="148"/>
      <c r="AD184" s="150"/>
      <c r="AE184" s="151"/>
      <c r="AF184" s="152"/>
      <c r="AG184" s="153"/>
      <c r="AH184" s="154"/>
      <c r="AJ184" s="390"/>
    </row>
    <row r="185" spans="1:36" s="141" customFormat="1">
      <c r="A185" s="42"/>
      <c r="B185" s="41"/>
      <c r="C185" s="276"/>
      <c r="D185" s="277"/>
      <c r="E185" s="276"/>
      <c r="F185" s="276"/>
      <c r="G185" s="278"/>
      <c r="H185" s="41"/>
      <c r="I185" s="41"/>
      <c r="J185" s="279"/>
      <c r="K185" s="279"/>
      <c r="L185" s="279"/>
      <c r="M185" s="140"/>
      <c r="O185" s="142"/>
      <c r="P185" s="142"/>
      <c r="Q185" s="41"/>
      <c r="R185" s="41"/>
      <c r="S185" s="41"/>
      <c r="T185" s="148"/>
      <c r="U185" s="148"/>
      <c r="V185" s="148"/>
      <c r="W185" s="148"/>
      <c r="X185" s="149"/>
      <c r="Y185" s="148"/>
      <c r="Z185" s="148"/>
      <c r="AA185" s="148"/>
      <c r="AB185" s="148"/>
      <c r="AC185" s="148"/>
      <c r="AD185" s="150"/>
      <c r="AE185" s="151"/>
      <c r="AF185" s="152"/>
      <c r="AG185" s="153"/>
      <c r="AH185" s="154"/>
      <c r="AJ185" s="390"/>
    </row>
    <row r="186" spans="1:36" s="141" customFormat="1">
      <c r="A186" s="42"/>
      <c r="B186" s="41"/>
      <c r="C186" s="276"/>
      <c r="D186" s="277"/>
      <c r="E186" s="276"/>
      <c r="F186" s="276"/>
      <c r="G186" s="278"/>
      <c r="H186" s="41"/>
      <c r="I186" s="41"/>
      <c r="J186" s="279"/>
      <c r="K186" s="279"/>
      <c r="L186" s="279"/>
      <c r="M186" s="140"/>
      <c r="O186" s="142"/>
      <c r="P186" s="142"/>
      <c r="Q186" s="41"/>
      <c r="R186" s="41"/>
      <c r="S186" s="41"/>
      <c r="T186" s="148"/>
      <c r="U186" s="148"/>
      <c r="V186" s="148"/>
      <c r="W186" s="148"/>
      <c r="X186" s="149"/>
      <c r="Y186" s="148"/>
      <c r="Z186" s="148"/>
      <c r="AA186" s="148"/>
      <c r="AB186" s="148"/>
      <c r="AC186" s="148"/>
      <c r="AD186" s="150"/>
      <c r="AE186" s="151"/>
      <c r="AF186" s="152"/>
      <c r="AG186" s="153"/>
      <c r="AH186" s="154"/>
      <c r="AJ186" s="390"/>
    </row>
    <row r="187" spans="1:36" s="141" customFormat="1">
      <c r="A187" s="42"/>
      <c r="B187" s="41"/>
      <c r="C187" s="276"/>
      <c r="D187" s="277"/>
      <c r="E187" s="276"/>
      <c r="F187" s="276"/>
      <c r="G187" s="278"/>
      <c r="H187" s="41"/>
      <c r="I187" s="41"/>
      <c r="J187" s="279"/>
      <c r="K187" s="279"/>
      <c r="L187" s="279"/>
      <c r="M187" s="140"/>
      <c r="O187" s="142"/>
      <c r="P187" s="142"/>
      <c r="Q187" s="41"/>
      <c r="R187" s="41"/>
      <c r="S187" s="41"/>
      <c r="T187" s="148"/>
      <c r="U187" s="148"/>
      <c r="V187" s="148"/>
      <c r="W187" s="148"/>
      <c r="X187" s="149"/>
      <c r="Y187" s="148"/>
      <c r="Z187" s="148"/>
      <c r="AA187" s="148"/>
      <c r="AB187" s="148"/>
      <c r="AC187" s="148"/>
      <c r="AD187" s="150"/>
      <c r="AE187" s="151"/>
      <c r="AF187" s="152"/>
      <c r="AG187" s="153"/>
      <c r="AH187" s="154"/>
      <c r="AJ187" s="390"/>
    </row>
    <row r="188" spans="1:36" s="141" customFormat="1">
      <c r="A188" s="42"/>
      <c r="B188" s="41"/>
      <c r="C188" s="276"/>
      <c r="D188" s="277"/>
      <c r="E188" s="276"/>
      <c r="F188" s="276"/>
      <c r="G188" s="278"/>
      <c r="H188" s="41"/>
      <c r="I188" s="41"/>
      <c r="J188" s="279"/>
      <c r="K188" s="279"/>
      <c r="L188" s="279"/>
      <c r="M188" s="140"/>
      <c r="O188" s="142"/>
      <c r="P188" s="142"/>
      <c r="Q188" s="41"/>
      <c r="R188" s="41"/>
      <c r="S188" s="41"/>
      <c r="T188" s="148"/>
      <c r="U188" s="148"/>
      <c r="V188" s="148"/>
      <c r="W188" s="148"/>
      <c r="X188" s="149"/>
      <c r="Y188" s="148"/>
      <c r="Z188" s="148"/>
      <c r="AA188" s="148"/>
      <c r="AB188" s="148"/>
      <c r="AC188" s="148"/>
      <c r="AD188" s="150"/>
      <c r="AE188" s="151"/>
      <c r="AF188" s="152"/>
      <c r="AG188" s="153"/>
      <c r="AH188" s="154"/>
      <c r="AJ188" s="390"/>
    </row>
    <row r="189" spans="1:36" s="141" customFormat="1">
      <c r="A189" s="42"/>
      <c r="B189" s="41"/>
      <c r="C189" s="276"/>
      <c r="D189" s="277"/>
      <c r="E189" s="276"/>
      <c r="F189" s="276"/>
      <c r="G189" s="278"/>
      <c r="H189" s="41"/>
      <c r="I189" s="41"/>
      <c r="J189" s="279"/>
      <c r="K189" s="279"/>
      <c r="L189" s="279"/>
      <c r="M189" s="140"/>
      <c r="O189" s="142"/>
      <c r="P189" s="142"/>
      <c r="Q189" s="41"/>
      <c r="R189" s="41"/>
      <c r="S189" s="41"/>
      <c r="T189" s="148"/>
      <c r="U189" s="148"/>
      <c r="V189" s="148"/>
      <c r="W189" s="148"/>
      <c r="X189" s="149"/>
      <c r="Y189" s="148"/>
      <c r="Z189" s="148"/>
      <c r="AA189" s="148"/>
      <c r="AB189" s="148"/>
      <c r="AC189" s="148"/>
      <c r="AD189" s="150"/>
      <c r="AE189" s="151"/>
      <c r="AF189" s="152"/>
      <c r="AG189" s="153"/>
      <c r="AH189" s="154"/>
      <c r="AJ189" s="390"/>
    </row>
    <row r="190" spans="1:36" s="141" customFormat="1">
      <c r="A190" s="42"/>
      <c r="B190" s="41"/>
      <c r="C190" s="276"/>
      <c r="D190" s="277"/>
      <c r="E190" s="276"/>
      <c r="F190" s="276"/>
      <c r="G190" s="278"/>
      <c r="H190" s="41"/>
      <c r="I190" s="41"/>
      <c r="J190" s="279"/>
      <c r="K190" s="279"/>
      <c r="L190" s="279"/>
      <c r="M190" s="140"/>
      <c r="O190" s="142"/>
      <c r="P190" s="142"/>
      <c r="Q190" s="41"/>
      <c r="R190" s="41"/>
      <c r="S190" s="41"/>
      <c r="T190" s="148"/>
      <c r="U190" s="148"/>
      <c r="V190" s="148"/>
      <c r="W190" s="148"/>
      <c r="X190" s="149"/>
      <c r="Y190" s="148"/>
      <c r="Z190" s="148"/>
      <c r="AA190" s="148"/>
      <c r="AB190" s="148"/>
      <c r="AC190" s="148"/>
      <c r="AD190" s="150"/>
      <c r="AE190" s="151"/>
      <c r="AF190" s="152"/>
      <c r="AG190" s="153"/>
      <c r="AH190" s="154"/>
      <c r="AJ190" s="390"/>
    </row>
    <row r="191" spans="1:36" s="141" customFormat="1">
      <c r="A191" s="42"/>
      <c r="B191" s="41"/>
      <c r="C191" s="276"/>
      <c r="D191" s="277"/>
      <c r="E191" s="276"/>
      <c r="F191" s="276"/>
      <c r="G191" s="278"/>
      <c r="H191" s="41"/>
      <c r="I191" s="41"/>
      <c r="J191" s="279"/>
      <c r="K191" s="279"/>
      <c r="L191" s="279"/>
      <c r="M191" s="140"/>
      <c r="O191" s="142"/>
      <c r="P191" s="142"/>
      <c r="Q191" s="41"/>
      <c r="R191" s="41"/>
      <c r="S191" s="41"/>
      <c r="T191" s="148"/>
      <c r="U191" s="148"/>
      <c r="V191" s="148"/>
      <c r="W191" s="148"/>
      <c r="X191" s="149"/>
      <c r="Y191" s="148"/>
      <c r="Z191" s="148"/>
      <c r="AA191" s="148"/>
      <c r="AB191" s="148"/>
      <c r="AC191" s="148"/>
      <c r="AD191" s="150"/>
      <c r="AE191" s="151"/>
      <c r="AF191" s="152"/>
      <c r="AG191" s="153"/>
      <c r="AH191" s="154"/>
      <c r="AJ191" s="390"/>
    </row>
    <row r="192" spans="1:36" s="141" customFormat="1">
      <c r="A192" s="42"/>
      <c r="B192" s="41"/>
      <c r="C192" s="276"/>
      <c r="D192" s="277"/>
      <c r="E192" s="276"/>
      <c r="F192" s="276"/>
      <c r="G192" s="278"/>
      <c r="H192" s="41"/>
      <c r="I192" s="41"/>
      <c r="J192" s="279"/>
      <c r="K192" s="279"/>
      <c r="L192" s="279"/>
      <c r="M192" s="140"/>
      <c r="O192" s="142"/>
      <c r="P192" s="142"/>
      <c r="Q192" s="41"/>
      <c r="R192" s="41"/>
      <c r="S192" s="41"/>
      <c r="T192" s="148"/>
      <c r="U192" s="148"/>
      <c r="V192" s="148"/>
      <c r="W192" s="148"/>
      <c r="X192" s="149"/>
      <c r="Y192" s="148"/>
      <c r="Z192" s="148"/>
      <c r="AA192" s="148"/>
      <c r="AB192" s="148"/>
      <c r="AC192" s="148"/>
      <c r="AD192" s="150"/>
      <c r="AE192" s="151"/>
      <c r="AF192" s="152"/>
      <c r="AG192" s="153"/>
      <c r="AH192" s="154"/>
      <c r="AJ192" s="390"/>
    </row>
    <row r="193" spans="1:36" s="141" customFormat="1">
      <c r="A193" s="42"/>
      <c r="B193" s="41"/>
      <c r="C193" s="276"/>
      <c r="D193" s="277"/>
      <c r="E193" s="276"/>
      <c r="F193" s="276"/>
      <c r="G193" s="278"/>
      <c r="H193" s="41"/>
      <c r="I193" s="41"/>
      <c r="J193" s="279"/>
      <c r="K193" s="279"/>
      <c r="L193" s="279"/>
      <c r="M193" s="140"/>
      <c r="O193" s="142"/>
      <c r="P193" s="142"/>
      <c r="Q193" s="41"/>
      <c r="R193" s="41"/>
      <c r="S193" s="41"/>
      <c r="T193" s="148"/>
      <c r="U193" s="148"/>
      <c r="V193" s="148"/>
      <c r="W193" s="148"/>
      <c r="X193" s="149"/>
      <c r="Y193" s="148"/>
      <c r="Z193" s="148"/>
      <c r="AA193" s="148"/>
      <c r="AB193" s="148"/>
      <c r="AC193" s="148"/>
      <c r="AD193" s="150"/>
      <c r="AE193" s="151"/>
      <c r="AF193" s="152"/>
      <c r="AG193" s="153"/>
      <c r="AH193" s="154"/>
      <c r="AJ193" s="390"/>
    </row>
    <row r="194" spans="1:36" s="141" customFormat="1">
      <c r="A194" s="42"/>
      <c r="B194" s="41"/>
      <c r="C194" s="276"/>
      <c r="D194" s="277"/>
      <c r="E194" s="276"/>
      <c r="F194" s="276"/>
      <c r="G194" s="278"/>
      <c r="H194" s="41"/>
      <c r="I194" s="41"/>
      <c r="J194" s="279"/>
      <c r="K194" s="279"/>
      <c r="L194" s="279"/>
      <c r="M194" s="140"/>
      <c r="O194" s="142"/>
      <c r="P194" s="142"/>
      <c r="Q194" s="41"/>
      <c r="R194" s="41"/>
      <c r="S194" s="41"/>
      <c r="T194" s="148"/>
      <c r="U194" s="148"/>
      <c r="V194" s="148"/>
      <c r="W194" s="148"/>
      <c r="X194" s="149"/>
      <c r="Y194" s="148"/>
      <c r="Z194" s="148"/>
      <c r="AA194" s="148"/>
      <c r="AB194" s="148"/>
      <c r="AC194" s="148"/>
      <c r="AD194" s="150"/>
      <c r="AE194" s="151"/>
      <c r="AF194" s="152"/>
      <c r="AG194" s="153"/>
      <c r="AH194" s="154"/>
      <c r="AJ194" s="390"/>
    </row>
    <row r="195" spans="1:36" s="141" customFormat="1">
      <c r="A195" s="42"/>
      <c r="B195" s="41"/>
      <c r="C195" s="276"/>
      <c r="D195" s="277"/>
      <c r="E195" s="276"/>
      <c r="F195" s="276"/>
      <c r="G195" s="278"/>
      <c r="H195" s="41"/>
      <c r="I195" s="41"/>
      <c r="J195" s="279"/>
      <c r="K195" s="279"/>
      <c r="L195" s="279"/>
      <c r="M195" s="140"/>
      <c r="O195" s="142"/>
      <c r="P195" s="142"/>
      <c r="Q195" s="41"/>
      <c r="R195" s="41"/>
      <c r="S195" s="41"/>
      <c r="T195" s="148"/>
      <c r="U195" s="148"/>
      <c r="V195" s="148"/>
      <c r="W195" s="148"/>
      <c r="X195" s="149"/>
      <c r="Y195" s="148"/>
      <c r="Z195" s="148"/>
      <c r="AA195" s="148"/>
      <c r="AB195" s="148"/>
      <c r="AC195" s="148"/>
      <c r="AD195" s="150"/>
      <c r="AE195" s="151"/>
      <c r="AF195" s="152"/>
      <c r="AG195" s="153"/>
      <c r="AH195" s="154"/>
      <c r="AJ195" s="390"/>
    </row>
    <row r="196" spans="1:36" s="141" customFormat="1">
      <c r="A196" s="42"/>
      <c r="B196" s="41"/>
      <c r="C196" s="276"/>
      <c r="D196" s="277"/>
      <c r="E196" s="276"/>
      <c r="F196" s="276"/>
      <c r="G196" s="278"/>
      <c r="H196" s="41"/>
      <c r="I196" s="41"/>
      <c r="J196" s="279"/>
      <c r="K196" s="279"/>
      <c r="L196" s="279"/>
      <c r="M196" s="140"/>
      <c r="O196" s="142"/>
      <c r="P196" s="142"/>
      <c r="Q196" s="41"/>
      <c r="R196" s="41"/>
      <c r="S196" s="41"/>
      <c r="T196" s="148"/>
      <c r="U196" s="148"/>
      <c r="V196" s="148"/>
      <c r="W196" s="148"/>
      <c r="X196" s="149"/>
      <c r="Y196" s="148"/>
      <c r="Z196" s="148"/>
      <c r="AA196" s="148"/>
      <c r="AB196" s="148"/>
      <c r="AC196" s="148"/>
      <c r="AD196" s="150"/>
      <c r="AE196" s="151"/>
      <c r="AF196" s="152"/>
      <c r="AG196" s="153"/>
      <c r="AH196" s="154"/>
      <c r="AJ196" s="390"/>
    </row>
    <row r="197" spans="1:36" s="141" customFormat="1">
      <c r="A197" s="42"/>
      <c r="B197" s="41"/>
      <c r="C197" s="276"/>
      <c r="D197" s="277"/>
      <c r="E197" s="276"/>
      <c r="F197" s="276"/>
      <c r="G197" s="278"/>
      <c r="H197" s="41"/>
      <c r="I197" s="41"/>
      <c r="J197" s="279"/>
      <c r="K197" s="279"/>
      <c r="L197" s="279"/>
      <c r="M197" s="140"/>
      <c r="O197" s="142"/>
      <c r="P197" s="142"/>
      <c r="Q197" s="41"/>
      <c r="R197" s="41"/>
      <c r="S197" s="41"/>
      <c r="T197" s="148"/>
      <c r="U197" s="148"/>
      <c r="V197" s="148"/>
      <c r="W197" s="148"/>
      <c r="X197" s="149"/>
      <c r="Y197" s="148"/>
      <c r="Z197" s="148"/>
      <c r="AA197" s="148"/>
      <c r="AB197" s="148"/>
      <c r="AC197" s="148"/>
      <c r="AD197" s="150"/>
      <c r="AE197" s="151"/>
      <c r="AF197" s="152"/>
      <c r="AG197" s="153"/>
      <c r="AH197" s="154"/>
      <c r="AJ197" s="390"/>
    </row>
    <row r="198" spans="1:36" s="141" customFormat="1">
      <c r="A198" s="42"/>
      <c r="B198" s="41"/>
      <c r="C198" s="276"/>
      <c r="D198" s="277"/>
      <c r="E198" s="276"/>
      <c r="F198" s="276"/>
      <c r="G198" s="278"/>
      <c r="H198" s="41"/>
      <c r="I198" s="41"/>
      <c r="J198" s="279"/>
      <c r="K198" s="279"/>
      <c r="L198" s="279"/>
      <c r="M198" s="140"/>
      <c r="O198" s="142"/>
      <c r="P198" s="142"/>
      <c r="Q198" s="41"/>
      <c r="R198" s="41"/>
      <c r="S198" s="41"/>
      <c r="T198" s="148"/>
      <c r="U198" s="148"/>
      <c r="V198" s="148"/>
      <c r="W198" s="148"/>
      <c r="X198" s="149"/>
      <c r="Y198" s="148"/>
      <c r="Z198" s="148"/>
      <c r="AA198" s="148"/>
      <c r="AB198" s="148"/>
      <c r="AC198" s="148"/>
      <c r="AD198" s="150"/>
      <c r="AE198" s="151"/>
      <c r="AF198" s="152"/>
      <c r="AG198" s="153"/>
      <c r="AH198" s="154"/>
      <c r="AJ198" s="390"/>
    </row>
    <row r="199" spans="1:36" s="141" customFormat="1">
      <c r="A199" s="42"/>
      <c r="B199" s="41"/>
      <c r="C199" s="276"/>
      <c r="D199" s="277"/>
      <c r="E199" s="276"/>
      <c r="F199" s="276"/>
      <c r="G199" s="278"/>
      <c r="H199" s="41"/>
      <c r="I199" s="41"/>
      <c r="J199" s="279"/>
      <c r="K199" s="279"/>
      <c r="L199" s="279"/>
      <c r="M199" s="140"/>
      <c r="O199" s="142"/>
      <c r="P199" s="142"/>
      <c r="Q199" s="41"/>
      <c r="R199" s="41"/>
      <c r="S199" s="41"/>
      <c r="T199" s="148"/>
      <c r="U199" s="148"/>
      <c r="V199" s="148"/>
      <c r="W199" s="148"/>
      <c r="X199" s="149"/>
      <c r="Y199" s="148"/>
      <c r="Z199" s="148"/>
      <c r="AA199" s="148"/>
      <c r="AB199" s="148"/>
      <c r="AC199" s="148"/>
      <c r="AD199" s="150"/>
      <c r="AE199" s="151"/>
      <c r="AF199" s="152"/>
      <c r="AG199" s="153"/>
      <c r="AH199" s="154"/>
      <c r="AJ199" s="390"/>
    </row>
    <row r="200" spans="1:36" s="141" customFormat="1">
      <c r="A200" s="42"/>
      <c r="B200" s="41"/>
      <c r="C200" s="276"/>
      <c r="D200" s="277"/>
      <c r="E200" s="276"/>
      <c r="F200" s="276"/>
      <c r="G200" s="278"/>
      <c r="H200" s="41"/>
      <c r="I200" s="41"/>
      <c r="J200" s="279"/>
      <c r="K200" s="279"/>
      <c r="L200" s="279"/>
      <c r="M200" s="140"/>
      <c r="O200" s="142"/>
      <c r="P200" s="142"/>
      <c r="Q200" s="41"/>
      <c r="R200" s="41"/>
      <c r="S200" s="41"/>
      <c r="T200" s="148"/>
      <c r="U200" s="148"/>
      <c r="V200" s="148"/>
      <c r="W200" s="148"/>
      <c r="X200" s="149"/>
      <c r="Y200" s="148"/>
      <c r="Z200" s="148"/>
      <c r="AA200" s="148"/>
      <c r="AB200" s="148"/>
      <c r="AC200" s="148"/>
      <c r="AD200" s="150"/>
      <c r="AE200" s="151"/>
      <c r="AF200" s="152"/>
      <c r="AG200" s="153"/>
      <c r="AH200" s="154"/>
      <c r="AJ200" s="390"/>
    </row>
    <row r="201" spans="1:36" s="141" customFormat="1">
      <c r="A201" s="42"/>
      <c r="B201" s="41"/>
      <c r="C201" s="276"/>
      <c r="D201" s="277"/>
      <c r="E201" s="276"/>
      <c r="F201" s="276"/>
      <c r="G201" s="278"/>
      <c r="H201" s="41"/>
      <c r="I201" s="41"/>
      <c r="J201" s="279"/>
      <c r="K201" s="279"/>
      <c r="L201" s="279"/>
      <c r="M201" s="140"/>
      <c r="O201" s="142"/>
      <c r="P201" s="142"/>
      <c r="Q201" s="41"/>
      <c r="R201" s="41"/>
      <c r="S201" s="41"/>
      <c r="T201" s="148"/>
      <c r="U201" s="148"/>
      <c r="V201" s="148"/>
      <c r="W201" s="148"/>
      <c r="X201" s="149"/>
      <c r="Y201" s="148"/>
      <c r="Z201" s="148"/>
      <c r="AA201" s="148"/>
      <c r="AB201" s="148"/>
      <c r="AC201" s="148"/>
      <c r="AD201" s="150"/>
      <c r="AE201" s="151"/>
      <c r="AF201" s="152"/>
      <c r="AG201" s="153"/>
      <c r="AH201" s="154"/>
      <c r="AJ201" s="390"/>
    </row>
    <row r="202" spans="1:36" s="141" customFormat="1">
      <c r="A202" s="42"/>
      <c r="B202" s="41"/>
      <c r="C202" s="276"/>
      <c r="D202" s="277"/>
      <c r="E202" s="276"/>
      <c r="F202" s="276"/>
      <c r="G202" s="278"/>
      <c r="H202" s="41"/>
      <c r="I202" s="41"/>
      <c r="J202" s="279"/>
      <c r="K202" s="279"/>
      <c r="L202" s="279"/>
      <c r="M202" s="140"/>
      <c r="O202" s="142"/>
      <c r="P202" s="142"/>
      <c r="Q202" s="41"/>
      <c r="R202" s="41"/>
      <c r="S202" s="41"/>
      <c r="T202" s="148"/>
      <c r="U202" s="148"/>
      <c r="V202" s="148"/>
      <c r="W202" s="148"/>
      <c r="X202" s="149"/>
      <c r="Y202" s="148"/>
      <c r="Z202" s="148"/>
      <c r="AA202" s="148"/>
      <c r="AB202" s="148"/>
      <c r="AC202" s="148"/>
      <c r="AD202" s="150"/>
      <c r="AE202" s="151"/>
      <c r="AF202" s="152"/>
      <c r="AG202" s="153"/>
      <c r="AH202" s="154"/>
      <c r="AJ202" s="390"/>
    </row>
    <row r="203" spans="1:36" s="141" customFormat="1">
      <c r="A203" s="42"/>
      <c r="B203" s="41"/>
      <c r="C203" s="276"/>
      <c r="D203" s="277"/>
      <c r="E203" s="276"/>
      <c r="F203" s="276"/>
      <c r="G203" s="278"/>
      <c r="H203" s="41"/>
      <c r="I203" s="41"/>
      <c r="J203" s="279"/>
      <c r="K203" s="279"/>
      <c r="L203" s="279"/>
      <c r="M203" s="140"/>
      <c r="O203" s="142"/>
      <c r="P203" s="142"/>
      <c r="Q203" s="41"/>
      <c r="R203" s="41"/>
      <c r="S203" s="41"/>
      <c r="T203" s="148"/>
      <c r="U203" s="148"/>
      <c r="V203" s="148"/>
      <c r="W203" s="148"/>
      <c r="X203" s="149"/>
      <c r="Y203" s="148"/>
      <c r="Z203" s="148"/>
      <c r="AA203" s="148"/>
      <c r="AB203" s="148"/>
      <c r="AC203" s="148"/>
      <c r="AD203" s="150"/>
      <c r="AE203" s="151"/>
      <c r="AF203" s="152"/>
      <c r="AG203" s="153"/>
      <c r="AH203" s="154"/>
      <c r="AJ203" s="390"/>
    </row>
    <row r="204" spans="1:36" s="141" customFormat="1">
      <c r="A204" s="42"/>
      <c r="B204" s="41"/>
      <c r="C204" s="276"/>
      <c r="D204" s="277"/>
      <c r="E204" s="276"/>
      <c r="F204" s="276"/>
      <c r="G204" s="278"/>
      <c r="H204" s="41"/>
      <c r="I204" s="41"/>
      <c r="J204" s="279"/>
      <c r="K204" s="279"/>
      <c r="L204" s="279"/>
      <c r="M204" s="140"/>
      <c r="O204" s="142"/>
      <c r="P204" s="142"/>
      <c r="Q204" s="41"/>
      <c r="R204" s="41"/>
      <c r="S204" s="41"/>
      <c r="T204" s="148"/>
      <c r="U204" s="148"/>
      <c r="V204" s="148"/>
      <c r="W204" s="148"/>
      <c r="X204" s="149"/>
      <c r="Y204" s="148"/>
      <c r="Z204" s="148"/>
      <c r="AA204" s="148"/>
      <c r="AB204" s="148"/>
      <c r="AC204" s="148"/>
      <c r="AD204" s="150"/>
      <c r="AE204" s="151"/>
      <c r="AF204" s="152"/>
      <c r="AG204" s="153"/>
      <c r="AH204" s="154"/>
      <c r="AJ204" s="390"/>
    </row>
    <row r="205" spans="1:36" s="141" customFormat="1">
      <c r="A205" s="42"/>
      <c r="B205" s="41"/>
      <c r="C205" s="276"/>
      <c r="D205" s="277"/>
      <c r="E205" s="276"/>
      <c r="F205" s="276"/>
      <c r="G205" s="278"/>
      <c r="H205" s="41"/>
      <c r="I205" s="41"/>
      <c r="J205" s="279"/>
      <c r="K205" s="279"/>
      <c r="L205" s="279"/>
      <c r="M205" s="140"/>
      <c r="O205" s="142"/>
      <c r="P205" s="142"/>
      <c r="Q205" s="41"/>
      <c r="R205" s="41"/>
      <c r="S205" s="41"/>
      <c r="T205" s="148"/>
      <c r="U205" s="148"/>
      <c r="V205" s="148"/>
      <c r="W205" s="148"/>
      <c r="X205" s="149"/>
      <c r="Y205" s="148"/>
      <c r="Z205" s="148"/>
      <c r="AA205" s="148"/>
      <c r="AB205" s="148"/>
      <c r="AC205" s="148"/>
      <c r="AD205" s="150"/>
      <c r="AE205" s="151"/>
      <c r="AF205" s="152"/>
      <c r="AG205" s="153"/>
      <c r="AH205" s="154"/>
      <c r="AJ205" s="390"/>
    </row>
    <row r="206" spans="1:36" s="141" customFormat="1">
      <c r="A206" s="42"/>
      <c r="B206" s="41"/>
      <c r="C206" s="276"/>
      <c r="D206" s="277"/>
      <c r="E206" s="276"/>
      <c r="F206" s="276"/>
      <c r="G206" s="278"/>
      <c r="H206" s="41"/>
      <c r="I206" s="41"/>
      <c r="J206" s="279"/>
      <c r="K206" s="279"/>
      <c r="L206" s="279"/>
      <c r="M206" s="140"/>
      <c r="O206" s="142"/>
      <c r="P206" s="142"/>
      <c r="Q206" s="41"/>
      <c r="R206" s="41"/>
      <c r="S206" s="41"/>
      <c r="T206" s="148"/>
      <c r="U206" s="148"/>
      <c r="V206" s="148"/>
      <c r="W206" s="148"/>
      <c r="X206" s="149"/>
      <c r="Y206" s="148"/>
      <c r="Z206" s="148"/>
      <c r="AA206" s="148"/>
      <c r="AB206" s="148"/>
      <c r="AC206" s="148"/>
      <c r="AD206" s="150"/>
      <c r="AE206" s="151"/>
      <c r="AF206" s="152"/>
      <c r="AG206" s="153"/>
      <c r="AH206" s="154"/>
      <c r="AJ206" s="390"/>
    </row>
    <row r="207" spans="1:36" s="141" customFormat="1">
      <c r="A207" s="42"/>
      <c r="B207" s="41"/>
      <c r="C207" s="276"/>
      <c r="D207" s="277"/>
      <c r="E207" s="276"/>
      <c r="F207" s="276"/>
      <c r="G207" s="278"/>
      <c r="H207" s="41"/>
      <c r="I207" s="41"/>
      <c r="J207" s="279"/>
      <c r="K207" s="279"/>
      <c r="L207" s="279"/>
      <c r="M207" s="140"/>
      <c r="O207" s="142"/>
      <c r="P207" s="142"/>
      <c r="Q207" s="41"/>
      <c r="R207" s="41"/>
      <c r="S207" s="41"/>
      <c r="T207" s="148"/>
      <c r="U207" s="148"/>
      <c r="V207" s="148"/>
      <c r="W207" s="148"/>
      <c r="X207" s="149"/>
      <c r="Y207" s="148"/>
      <c r="Z207" s="148"/>
      <c r="AA207" s="148"/>
      <c r="AB207" s="148"/>
      <c r="AC207" s="148"/>
      <c r="AD207" s="150"/>
      <c r="AE207" s="151"/>
      <c r="AF207" s="152"/>
      <c r="AG207" s="153"/>
      <c r="AH207" s="154"/>
      <c r="AJ207" s="390"/>
    </row>
    <row r="208" spans="1:36" s="141" customFormat="1">
      <c r="A208" s="42"/>
      <c r="B208" s="41"/>
      <c r="C208" s="276"/>
      <c r="D208" s="277"/>
      <c r="E208" s="276"/>
      <c r="F208" s="276"/>
      <c r="G208" s="278"/>
      <c r="H208" s="41"/>
      <c r="I208" s="41"/>
      <c r="J208" s="279"/>
      <c r="K208" s="279"/>
      <c r="L208" s="279"/>
      <c r="M208" s="140"/>
      <c r="O208" s="142"/>
      <c r="P208" s="142"/>
      <c r="Q208" s="41"/>
      <c r="R208" s="41"/>
      <c r="S208" s="41"/>
      <c r="T208" s="148"/>
      <c r="U208" s="148"/>
      <c r="V208" s="148"/>
      <c r="W208" s="148"/>
      <c r="X208" s="149"/>
      <c r="Y208" s="148"/>
      <c r="Z208" s="148"/>
      <c r="AA208" s="148"/>
      <c r="AB208" s="148"/>
      <c r="AC208" s="148"/>
      <c r="AD208" s="150"/>
      <c r="AE208" s="151"/>
      <c r="AF208" s="152"/>
      <c r="AG208" s="153"/>
      <c r="AH208" s="154"/>
      <c r="AJ208" s="390"/>
    </row>
    <row r="209" spans="1:36" s="141" customFormat="1">
      <c r="A209" s="42"/>
      <c r="B209" s="41"/>
      <c r="C209" s="276"/>
      <c r="D209" s="277"/>
      <c r="E209" s="276"/>
      <c r="F209" s="276"/>
      <c r="G209" s="278"/>
      <c r="H209" s="41"/>
      <c r="I209" s="41"/>
      <c r="J209" s="279"/>
      <c r="K209" s="279"/>
      <c r="L209" s="279"/>
      <c r="M209" s="140"/>
      <c r="O209" s="142"/>
      <c r="P209" s="142"/>
      <c r="Q209" s="41"/>
      <c r="R209" s="41"/>
      <c r="S209" s="41"/>
      <c r="T209" s="148"/>
      <c r="U209" s="148"/>
      <c r="V209" s="148"/>
      <c r="W209" s="148"/>
      <c r="X209" s="149"/>
      <c r="Y209" s="148"/>
      <c r="Z209" s="148"/>
      <c r="AA209" s="148"/>
      <c r="AB209" s="148"/>
      <c r="AC209" s="148"/>
      <c r="AD209" s="150"/>
      <c r="AE209" s="151"/>
      <c r="AF209" s="152"/>
      <c r="AG209" s="153"/>
      <c r="AH209" s="154"/>
      <c r="AJ209" s="390"/>
    </row>
    <row r="210" spans="1:36" s="141" customFormat="1">
      <c r="A210" s="42"/>
      <c r="B210" s="41"/>
      <c r="C210" s="276"/>
      <c r="D210" s="277"/>
      <c r="E210" s="276"/>
      <c r="F210" s="276"/>
      <c r="G210" s="278"/>
      <c r="H210" s="41"/>
      <c r="I210" s="41"/>
      <c r="J210" s="279"/>
      <c r="K210" s="279"/>
      <c r="L210" s="279"/>
      <c r="M210" s="140"/>
      <c r="O210" s="142"/>
      <c r="P210" s="142"/>
      <c r="Q210" s="41"/>
      <c r="R210" s="41"/>
      <c r="S210" s="41"/>
      <c r="T210" s="148"/>
      <c r="U210" s="148"/>
      <c r="V210" s="148"/>
      <c r="W210" s="148"/>
      <c r="X210" s="149"/>
      <c r="Y210" s="148"/>
      <c r="Z210" s="148"/>
      <c r="AA210" s="148"/>
      <c r="AB210" s="148"/>
      <c r="AC210" s="148"/>
      <c r="AD210" s="150"/>
      <c r="AE210" s="151"/>
      <c r="AF210" s="152"/>
      <c r="AG210" s="153"/>
      <c r="AH210" s="154"/>
      <c r="AJ210" s="390"/>
    </row>
    <row r="211" spans="1:36" s="141" customFormat="1">
      <c r="A211" s="42"/>
      <c r="B211" s="41"/>
      <c r="C211" s="276"/>
      <c r="D211" s="277"/>
      <c r="E211" s="276"/>
      <c r="F211" s="276"/>
      <c r="G211" s="278"/>
      <c r="H211" s="41"/>
      <c r="I211" s="41"/>
      <c r="J211" s="279"/>
      <c r="K211" s="279"/>
      <c r="L211" s="279"/>
      <c r="M211" s="140"/>
      <c r="O211" s="142"/>
      <c r="P211" s="142"/>
      <c r="Q211" s="41"/>
      <c r="R211" s="41"/>
      <c r="S211" s="41"/>
      <c r="T211" s="148"/>
      <c r="U211" s="148"/>
      <c r="V211" s="148"/>
      <c r="W211" s="148"/>
      <c r="X211" s="149"/>
      <c r="Y211" s="148"/>
      <c r="Z211" s="148"/>
      <c r="AA211" s="148"/>
      <c r="AB211" s="148"/>
      <c r="AC211" s="148"/>
      <c r="AD211" s="150"/>
      <c r="AE211" s="151"/>
      <c r="AF211" s="152"/>
      <c r="AG211" s="153"/>
      <c r="AH211" s="154"/>
      <c r="AJ211" s="390"/>
    </row>
    <row r="212" spans="1:36" s="141" customFormat="1">
      <c r="A212" s="42"/>
      <c r="B212" s="41"/>
      <c r="C212" s="276"/>
      <c r="D212" s="277"/>
      <c r="E212" s="276"/>
      <c r="F212" s="276"/>
      <c r="G212" s="278"/>
      <c r="H212" s="41"/>
      <c r="I212" s="41"/>
      <c r="J212" s="279"/>
      <c r="K212" s="279"/>
      <c r="L212" s="279"/>
      <c r="M212" s="140"/>
      <c r="O212" s="142"/>
      <c r="P212" s="142"/>
      <c r="Q212" s="41"/>
      <c r="R212" s="41"/>
      <c r="S212" s="41"/>
      <c r="T212" s="148"/>
      <c r="U212" s="148"/>
      <c r="V212" s="148"/>
      <c r="W212" s="148"/>
      <c r="X212" s="149"/>
      <c r="Y212" s="148"/>
      <c r="Z212" s="148"/>
      <c r="AA212" s="148"/>
      <c r="AB212" s="148"/>
      <c r="AC212" s="148"/>
      <c r="AD212" s="150"/>
      <c r="AE212" s="151"/>
      <c r="AF212" s="152"/>
      <c r="AG212" s="153"/>
      <c r="AH212" s="154"/>
      <c r="AJ212" s="390"/>
    </row>
    <row r="213" spans="1:36" s="141" customFormat="1">
      <c r="A213" s="42"/>
      <c r="B213" s="41"/>
      <c r="C213" s="276"/>
      <c r="D213" s="277"/>
      <c r="E213" s="276"/>
      <c r="F213" s="276"/>
      <c r="G213" s="278"/>
      <c r="H213" s="41"/>
      <c r="I213" s="41"/>
      <c r="J213" s="279"/>
      <c r="K213" s="279"/>
      <c r="L213" s="279"/>
      <c r="M213" s="140"/>
      <c r="O213" s="142"/>
      <c r="P213" s="142"/>
      <c r="Q213" s="41"/>
      <c r="R213" s="41"/>
      <c r="S213" s="41"/>
      <c r="T213" s="148"/>
      <c r="U213" s="148"/>
      <c r="V213" s="148"/>
      <c r="W213" s="148"/>
      <c r="X213" s="149"/>
      <c r="Y213" s="148"/>
      <c r="Z213" s="148"/>
      <c r="AA213" s="148"/>
      <c r="AB213" s="148"/>
      <c r="AC213" s="148"/>
      <c r="AD213" s="150"/>
      <c r="AE213" s="151"/>
      <c r="AF213" s="152"/>
      <c r="AG213" s="153"/>
      <c r="AH213" s="154"/>
      <c r="AJ213" s="390"/>
    </row>
    <row r="214" spans="1:36" s="141" customFormat="1">
      <c r="A214" s="42"/>
      <c r="B214" s="41"/>
      <c r="C214" s="276"/>
      <c r="D214" s="277"/>
      <c r="E214" s="276"/>
      <c r="F214" s="276"/>
      <c r="G214" s="278"/>
      <c r="H214" s="41"/>
      <c r="I214" s="41"/>
      <c r="J214" s="279"/>
      <c r="K214" s="279"/>
      <c r="L214" s="279"/>
      <c r="M214" s="140"/>
      <c r="O214" s="142"/>
      <c r="P214" s="142"/>
      <c r="Q214" s="41"/>
      <c r="R214" s="41"/>
      <c r="S214" s="41"/>
      <c r="T214" s="148"/>
      <c r="U214" s="148"/>
      <c r="V214" s="148"/>
      <c r="W214" s="148"/>
      <c r="X214" s="149"/>
      <c r="Y214" s="148"/>
      <c r="Z214" s="148"/>
      <c r="AA214" s="148"/>
      <c r="AB214" s="148"/>
      <c r="AC214" s="148"/>
      <c r="AD214" s="150"/>
      <c r="AE214" s="151"/>
      <c r="AF214" s="152"/>
      <c r="AG214" s="153"/>
      <c r="AH214" s="154"/>
      <c r="AJ214" s="390"/>
    </row>
    <row r="215" spans="1:36" s="141" customFormat="1">
      <c r="A215" s="42"/>
      <c r="B215" s="41"/>
      <c r="C215" s="276"/>
      <c r="D215" s="277"/>
      <c r="E215" s="276"/>
      <c r="F215" s="276"/>
      <c r="G215" s="278"/>
      <c r="H215" s="41"/>
      <c r="I215" s="41"/>
      <c r="J215" s="279"/>
      <c r="K215" s="279"/>
      <c r="L215" s="279"/>
      <c r="M215" s="140"/>
      <c r="O215" s="142"/>
      <c r="P215" s="142"/>
      <c r="Q215" s="41"/>
      <c r="R215" s="41"/>
      <c r="S215" s="41"/>
      <c r="T215" s="148"/>
      <c r="U215" s="148"/>
      <c r="V215" s="148"/>
      <c r="W215" s="148"/>
      <c r="X215" s="149"/>
      <c r="Y215" s="148"/>
      <c r="Z215" s="148"/>
      <c r="AA215" s="148"/>
      <c r="AB215" s="148"/>
      <c r="AC215" s="148"/>
      <c r="AD215" s="150"/>
      <c r="AE215" s="151"/>
      <c r="AF215" s="152"/>
      <c r="AG215" s="153"/>
      <c r="AH215" s="154"/>
      <c r="AJ215" s="390"/>
    </row>
    <row r="216" spans="1:36" s="141" customFormat="1">
      <c r="A216" s="42"/>
      <c r="B216" s="41"/>
      <c r="C216" s="276"/>
      <c r="D216" s="277"/>
      <c r="E216" s="276"/>
      <c r="F216" s="276"/>
      <c r="G216" s="278"/>
      <c r="H216" s="41"/>
      <c r="I216" s="41"/>
      <c r="J216" s="279"/>
      <c r="K216" s="279"/>
      <c r="L216" s="279"/>
      <c r="M216" s="140"/>
      <c r="O216" s="142"/>
      <c r="P216" s="142"/>
      <c r="Q216" s="41"/>
      <c r="R216" s="41"/>
      <c r="S216" s="41"/>
      <c r="T216" s="148"/>
      <c r="U216" s="148"/>
      <c r="V216" s="148"/>
      <c r="W216" s="148"/>
      <c r="X216" s="149"/>
      <c r="Y216" s="148"/>
      <c r="Z216" s="148"/>
      <c r="AA216" s="148"/>
      <c r="AB216" s="148"/>
      <c r="AC216" s="148"/>
      <c r="AD216" s="150"/>
      <c r="AE216" s="151"/>
      <c r="AF216" s="152"/>
      <c r="AG216" s="153"/>
      <c r="AH216" s="154"/>
      <c r="AJ216" s="390"/>
    </row>
    <row r="217" spans="1:36" s="141" customFormat="1">
      <c r="A217" s="42"/>
      <c r="B217" s="41"/>
      <c r="C217" s="276"/>
      <c r="D217" s="277"/>
      <c r="E217" s="276"/>
      <c r="F217" s="276"/>
      <c r="G217" s="278"/>
      <c r="H217" s="41"/>
      <c r="I217" s="41"/>
      <c r="J217" s="279"/>
      <c r="K217" s="279"/>
      <c r="L217" s="279"/>
      <c r="M217" s="140"/>
      <c r="O217" s="142"/>
      <c r="P217" s="142"/>
      <c r="Q217" s="41"/>
      <c r="R217" s="41"/>
      <c r="S217" s="41"/>
      <c r="T217" s="148"/>
      <c r="U217" s="148"/>
      <c r="V217" s="148"/>
      <c r="W217" s="148"/>
      <c r="X217" s="149"/>
      <c r="Y217" s="148"/>
      <c r="Z217" s="148"/>
      <c r="AA217" s="148"/>
      <c r="AB217" s="148"/>
      <c r="AC217" s="148"/>
      <c r="AD217" s="150"/>
      <c r="AE217" s="151"/>
      <c r="AF217" s="152"/>
      <c r="AG217" s="153"/>
      <c r="AH217" s="154"/>
      <c r="AJ217" s="390"/>
    </row>
    <row r="218" spans="1:36" s="141" customFormat="1">
      <c r="A218" s="42"/>
      <c r="B218" s="41"/>
      <c r="C218" s="276"/>
      <c r="D218" s="277"/>
      <c r="E218" s="276"/>
      <c r="F218" s="276"/>
      <c r="G218" s="278"/>
      <c r="H218" s="41"/>
      <c r="I218" s="41"/>
      <c r="J218" s="279"/>
      <c r="K218" s="279"/>
      <c r="L218" s="279"/>
      <c r="M218" s="140"/>
      <c r="O218" s="142"/>
      <c r="P218" s="142"/>
      <c r="Q218" s="41"/>
      <c r="R218" s="41"/>
      <c r="S218" s="41"/>
      <c r="T218" s="148"/>
      <c r="U218" s="148"/>
      <c r="V218" s="148"/>
      <c r="W218" s="148"/>
      <c r="X218" s="149"/>
      <c r="Y218" s="148"/>
      <c r="Z218" s="148"/>
      <c r="AA218" s="148"/>
      <c r="AB218" s="148"/>
      <c r="AC218" s="148"/>
      <c r="AD218" s="150"/>
      <c r="AE218" s="151"/>
      <c r="AF218" s="152"/>
      <c r="AG218" s="153"/>
      <c r="AH218" s="154"/>
      <c r="AJ218" s="390"/>
    </row>
    <row r="219" spans="1:36" s="141" customFormat="1">
      <c r="A219" s="42"/>
      <c r="B219" s="41"/>
      <c r="C219" s="276"/>
      <c r="D219" s="277"/>
      <c r="E219" s="276"/>
      <c r="F219" s="276"/>
      <c r="G219" s="278"/>
      <c r="H219" s="41"/>
      <c r="I219" s="41"/>
      <c r="J219" s="279"/>
      <c r="K219" s="279"/>
      <c r="L219" s="279"/>
      <c r="M219" s="140"/>
      <c r="O219" s="142"/>
      <c r="P219" s="142"/>
      <c r="Q219" s="41"/>
      <c r="R219" s="41"/>
      <c r="S219" s="41"/>
      <c r="T219" s="148"/>
      <c r="U219" s="148"/>
      <c r="V219" s="148"/>
      <c r="W219" s="148"/>
      <c r="X219" s="149"/>
      <c r="Y219" s="148"/>
      <c r="Z219" s="148"/>
      <c r="AA219" s="148"/>
      <c r="AB219" s="148"/>
      <c r="AC219" s="148"/>
      <c r="AD219" s="150"/>
      <c r="AE219" s="151"/>
      <c r="AF219" s="152"/>
      <c r="AG219" s="153"/>
      <c r="AH219" s="154"/>
      <c r="AJ219" s="390"/>
    </row>
    <row r="220" spans="1:36" s="141" customFormat="1">
      <c r="A220" s="42"/>
      <c r="B220" s="41"/>
      <c r="C220" s="276"/>
      <c r="D220" s="277"/>
      <c r="E220" s="276"/>
      <c r="F220" s="276"/>
      <c r="G220" s="278"/>
      <c r="H220" s="41"/>
      <c r="I220" s="41"/>
      <c r="J220" s="279"/>
      <c r="K220" s="279"/>
      <c r="L220" s="279"/>
      <c r="M220" s="140"/>
      <c r="O220" s="142"/>
      <c r="P220" s="142"/>
      <c r="Q220" s="41"/>
      <c r="R220" s="41"/>
      <c r="S220" s="41"/>
      <c r="T220" s="148"/>
      <c r="U220" s="148"/>
      <c r="V220" s="148"/>
      <c r="W220" s="148"/>
      <c r="X220" s="149"/>
      <c r="Y220" s="148"/>
      <c r="Z220" s="148"/>
      <c r="AA220" s="148"/>
      <c r="AB220" s="148"/>
      <c r="AC220" s="148"/>
      <c r="AD220" s="150"/>
      <c r="AE220" s="151"/>
      <c r="AF220" s="152"/>
      <c r="AG220" s="153"/>
      <c r="AH220" s="154"/>
      <c r="AJ220" s="390"/>
    </row>
    <row r="221" spans="1:36" s="141" customFormat="1">
      <c r="A221" s="42"/>
      <c r="B221" s="41"/>
      <c r="C221" s="276"/>
      <c r="D221" s="277"/>
      <c r="E221" s="276"/>
      <c r="F221" s="276"/>
      <c r="G221" s="278"/>
      <c r="H221" s="41"/>
      <c r="I221" s="41"/>
      <c r="J221" s="279"/>
      <c r="K221" s="279"/>
      <c r="L221" s="279"/>
      <c r="M221" s="140"/>
      <c r="O221" s="142"/>
      <c r="P221" s="142"/>
      <c r="Q221" s="41"/>
      <c r="R221" s="41"/>
      <c r="S221" s="41"/>
      <c r="T221" s="148"/>
      <c r="U221" s="148"/>
      <c r="V221" s="148"/>
      <c r="W221" s="148"/>
      <c r="X221" s="149"/>
      <c r="Y221" s="148"/>
      <c r="Z221" s="148"/>
      <c r="AA221" s="148"/>
      <c r="AB221" s="148"/>
      <c r="AC221" s="148"/>
      <c r="AD221" s="150"/>
      <c r="AE221" s="151"/>
      <c r="AF221" s="152"/>
      <c r="AG221" s="153"/>
      <c r="AH221" s="154"/>
      <c r="AJ221" s="390"/>
    </row>
    <row r="222" spans="1:36" s="141" customFormat="1">
      <c r="A222" s="42"/>
      <c r="B222" s="41"/>
      <c r="C222" s="276"/>
      <c r="D222" s="277"/>
      <c r="E222" s="276"/>
      <c r="F222" s="276"/>
      <c r="G222" s="278"/>
      <c r="H222" s="41"/>
      <c r="I222" s="41"/>
      <c r="J222" s="279"/>
      <c r="K222" s="279"/>
      <c r="L222" s="279"/>
      <c r="M222" s="140"/>
      <c r="O222" s="142"/>
      <c r="P222" s="142"/>
      <c r="Q222" s="41"/>
      <c r="R222" s="41"/>
      <c r="S222" s="41"/>
      <c r="T222" s="148"/>
      <c r="U222" s="148"/>
      <c r="V222" s="148"/>
      <c r="W222" s="148"/>
      <c r="X222" s="149"/>
      <c r="Y222" s="148"/>
      <c r="Z222" s="148"/>
      <c r="AA222" s="148"/>
      <c r="AB222" s="148"/>
      <c r="AC222" s="148"/>
      <c r="AD222" s="150"/>
      <c r="AE222" s="151"/>
      <c r="AF222" s="152"/>
      <c r="AG222" s="153"/>
      <c r="AH222" s="154"/>
      <c r="AJ222" s="390"/>
    </row>
    <row r="223" spans="1:36" s="141" customFormat="1">
      <c r="A223" s="42"/>
      <c r="B223" s="41"/>
      <c r="C223" s="276"/>
      <c r="D223" s="277"/>
      <c r="E223" s="276"/>
      <c r="F223" s="276"/>
      <c r="G223" s="278"/>
      <c r="H223" s="41"/>
      <c r="I223" s="41"/>
      <c r="J223" s="279"/>
      <c r="K223" s="279"/>
      <c r="L223" s="279"/>
      <c r="M223" s="140"/>
      <c r="O223" s="142"/>
      <c r="P223" s="142"/>
      <c r="Q223" s="41"/>
      <c r="R223" s="41"/>
      <c r="S223" s="41"/>
      <c r="T223" s="148"/>
      <c r="U223" s="148"/>
      <c r="V223" s="148"/>
      <c r="W223" s="148"/>
      <c r="X223" s="149"/>
      <c r="Y223" s="148"/>
      <c r="Z223" s="148"/>
      <c r="AA223" s="148"/>
      <c r="AB223" s="148"/>
      <c r="AC223" s="148"/>
      <c r="AD223" s="150"/>
      <c r="AE223" s="151"/>
      <c r="AF223" s="152"/>
      <c r="AG223" s="153"/>
      <c r="AH223" s="154"/>
      <c r="AJ223" s="390"/>
    </row>
    <row r="224" spans="1:36" s="141" customFormat="1">
      <c r="A224" s="42"/>
      <c r="B224" s="41"/>
      <c r="C224" s="276"/>
      <c r="D224" s="277"/>
      <c r="E224" s="276"/>
      <c r="F224" s="276"/>
      <c r="G224" s="278"/>
      <c r="H224" s="41"/>
      <c r="I224" s="41"/>
      <c r="J224" s="279"/>
      <c r="K224" s="279"/>
      <c r="L224" s="279"/>
      <c r="M224" s="140"/>
      <c r="O224" s="142"/>
      <c r="P224" s="142"/>
      <c r="Q224" s="41"/>
      <c r="R224" s="41"/>
      <c r="S224" s="41"/>
      <c r="T224" s="148"/>
      <c r="U224" s="148"/>
      <c r="V224" s="148"/>
      <c r="W224" s="148"/>
      <c r="X224" s="149"/>
      <c r="Y224" s="148"/>
      <c r="Z224" s="148"/>
      <c r="AA224" s="148"/>
      <c r="AB224" s="148"/>
      <c r="AC224" s="148"/>
      <c r="AD224" s="150"/>
      <c r="AE224" s="151"/>
      <c r="AF224" s="152"/>
      <c r="AG224" s="153"/>
      <c r="AH224" s="154"/>
      <c r="AJ224" s="390"/>
    </row>
    <row r="225" spans="1:36" s="141" customFormat="1">
      <c r="A225" s="42"/>
      <c r="B225" s="41"/>
      <c r="C225" s="276"/>
      <c r="D225" s="277"/>
      <c r="E225" s="276"/>
      <c r="F225" s="276"/>
      <c r="G225" s="278"/>
      <c r="H225" s="41"/>
      <c r="I225" s="41"/>
      <c r="J225" s="279"/>
      <c r="K225" s="279"/>
      <c r="L225" s="279"/>
      <c r="M225" s="140"/>
      <c r="O225" s="142"/>
      <c r="P225" s="142"/>
      <c r="Q225" s="41"/>
      <c r="R225" s="41"/>
      <c r="S225" s="41"/>
      <c r="T225" s="148"/>
      <c r="U225" s="148"/>
      <c r="V225" s="148"/>
      <c r="W225" s="148"/>
      <c r="X225" s="149"/>
      <c r="Y225" s="148"/>
      <c r="Z225" s="148"/>
      <c r="AA225" s="148"/>
      <c r="AB225" s="148"/>
      <c r="AC225" s="148"/>
      <c r="AD225" s="150"/>
      <c r="AE225" s="151"/>
      <c r="AF225" s="152"/>
      <c r="AG225" s="153"/>
      <c r="AH225" s="154"/>
      <c r="AJ225" s="390"/>
    </row>
    <row r="226" spans="1:36" s="141" customFormat="1">
      <c r="A226" s="42"/>
      <c r="B226" s="41"/>
      <c r="C226" s="276"/>
      <c r="D226" s="277"/>
      <c r="E226" s="276"/>
      <c r="F226" s="276"/>
      <c r="G226" s="278"/>
      <c r="H226" s="41"/>
      <c r="I226" s="41"/>
      <c r="J226" s="279"/>
      <c r="K226" s="279"/>
      <c r="L226" s="279"/>
      <c r="M226" s="140"/>
      <c r="O226" s="142"/>
      <c r="P226" s="142"/>
      <c r="Q226" s="41"/>
      <c r="R226" s="41"/>
      <c r="S226" s="41"/>
      <c r="T226" s="148"/>
      <c r="U226" s="148"/>
      <c r="V226" s="148"/>
      <c r="W226" s="148"/>
      <c r="X226" s="149"/>
      <c r="Y226" s="148"/>
      <c r="Z226" s="148"/>
      <c r="AA226" s="148"/>
      <c r="AB226" s="148"/>
      <c r="AC226" s="148"/>
      <c r="AD226" s="150"/>
      <c r="AE226" s="151"/>
      <c r="AF226" s="152"/>
      <c r="AG226" s="153"/>
      <c r="AH226" s="154"/>
      <c r="AJ226" s="390"/>
    </row>
    <row r="227" spans="1:36" s="141" customFormat="1">
      <c r="A227" s="42"/>
      <c r="B227" s="41"/>
      <c r="C227" s="276"/>
      <c r="D227" s="277"/>
      <c r="E227" s="276"/>
      <c r="F227" s="276"/>
      <c r="G227" s="278"/>
      <c r="H227" s="41"/>
      <c r="I227" s="41"/>
      <c r="J227" s="279"/>
      <c r="K227" s="279"/>
      <c r="L227" s="279"/>
      <c r="M227" s="140"/>
      <c r="O227" s="142"/>
      <c r="P227" s="142"/>
      <c r="Q227" s="41"/>
      <c r="R227" s="41"/>
      <c r="S227" s="41"/>
      <c r="T227" s="148"/>
      <c r="U227" s="148"/>
      <c r="V227" s="148"/>
      <c r="W227" s="148"/>
      <c r="X227" s="149"/>
      <c r="Y227" s="148"/>
      <c r="Z227" s="148"/>
      <c r="AA227" s="148"/>
      <c r="AB227" s="148"/>
      <c r="AC227" s="148"/>
      <c r="AD227" s="150"/>
      <c r="AE227" s="151"/>
      <c r="AF227" s="152"/>
      <c r="AG227" s="153"/>
      <c r="AH227" s="154"/>
      <c r="AJ227" s="390"/>
    </row>
    <row r="228" spans="1:36" s="141" customFormat="1">
      <c r="A228" s="42"/>
      <c r="B228" s="41"/>
      <c r="C228" s="276"/>
      <c r="D228" s="277"/>
      <c r="E228" s="276"/>
      <c r="F228" s="276"/>
      <c r="G228" s="278"/>
      <c r="H228" s="41"/>
      <c r="I228" s="41"/>
      <c r="J228" s="279"/>
      <c r="K228" s="279"/>
      <c r="L228" s="279"/>
      <c r="M228" s="140"/>
      <c r="O228" s="142"/>
      <c r="P228" s="142"/>
      <c r="Q228" s="41"/>
      <c r="R228" s="41"/>
      <c r="S228" s="41"/>
      <c r="T228" s="148"/>
      <c r="U228" s="148"/>
      <c r="V228" s="148"/>
      <c r="W228" s="148"/>
      <c r="X228" s="149"/>
      <c r="Y228" s="148"/>
      <c r="Z228" s="148"/>
      <c r="AA228" s="148"/>
      <c r="AB228" s="148"/>
      <c r="AC228" s="148"/>
      <c r="AD228" s="150"/>
      <c r="AE228" s="151"/>
      <c r="AF228" s="152"/>
      <c r="AG228" s="153"/>
      <c r="AH228" s="154"/>
      <c r="AJ228" s="390"/>
    </row>
    <row r="229" spans="1:36" s="141" customFormat="1">
      <c r="A229" s="42"/>
      <c r="B229" s="41"/>
      <c r="C229" s="276"/>
      <c r="D229" s="277"/>
      <c r="E229" s="276"/>
      <c r="F229" s="276"/>
      <c r="G229" s="278"/>
      <c r="H229" s="41"/>
      <c r="I229" s="41"/>
      <c r="J229" s="279"/>
      <c r="K229" s="279"/>
      <c r="L229" s="279"/>
      <c r="M229" s="140"/>
      <c r="O229" s="142"/>
      <c r="P229" s="142"/>
      <c r="Q229" s="41"/>
      <c r="R229" s="41"/>
      <c r="S229" s="41"/>
      <c r="T229" s="148"/>
      <c r="U229" s="148"/>
      <c r="V229" s="148"/>
      <c r="W229" s="148"/>
      <c r="X229" s="149"/>
      <c r="Y229" s="148"/>
      <c r="Z229" s="148"/>
      <c r="AA229" s="148"/>
      <c r="AB229" s="148"/>
      <c r="AC229" s="148"/>
      <c r="AD229" s="150"/>
      <c r="AE229" s="151"/>
      <c r="AF229" s="152"/>
      <c r="AG229" s="153"/>
      <c r="AH229" s="154"/>
      <c r="AJ229" s="390"/>
    </row>
    <row r="230" spans="1:36" s="141" customFormat="1">
      <c r="A230" s="42"/>
      <c r="B230" s="41"/>
      <c r="C230" s="276"/>
      <c r="D230" s="277"/>
      <c r="E230" s="276"/>
      <c r="F230" s="276"/>
      <c r="G230" s="278"/>
      <c r="H230" s="41"/>
      <c r="I230" s="41"/>
      <c r="J230" s="279"/>
      <c r="K230" s="279"/>
      <c r="L230" s="279"/>
      <c r="M230" s="140"/>
      <c r="O230" s="142"/>
      <c r="P230" s="142"/>
      <c r="Q230" s="41"/>
      <c r="R230" s="41"/>
      <c r="S230" s="41"/>
      <c r="T230" s="148"/>
      <c r="U230" s="148"/>
      <c r="V230" s="148"/>
      <c r="W230" s="148"/>
      <c r="X230" s="149"/>
      <c r="Y230" s="148"/>
      <c r="Z230" s="148"/>
      <c r="AA230" s="148"/>
      <c r="AB230" s="148"/>
      <c r="AC230" s="148"/>
      <c r="AD230" s="150"/>
      <c r="AE230" s="151"/>
      <c r="AF230" s="152"/>
      <c r="AG230" s="153"/>
      <c r="AH230" s="154"/>
      <c r="AJ230" s="390"/>
    </row>
    <row r="231" spans="1:36" s="141" customFormat="1">
      <c r="A231" s="42"/>
      <c r="B231" s="41"/>
      <c r="C231" s="276"/>
      <c r="D231" s="277"/>
      <c r="E231" s="276"/>
      <c r="F231" s="276"/>
      <c r="G231" s="278"/>
      <c r="H231" s="41"/>
      <c r="I231" s="41"/>
      <c r="J231" s="279"/>
      <c r="K231" s="279"/>
      <c r="L231" s="279"/>
      <c r="M231" s="140"/>
      <c r="O231" s="142"/>
      <c r="P231" s="142"/>
      <c r="Q231" s="41"/>
      <c r="R231" s="41"/>
      <c r="S231" s="41"/>
      <c r="T231" s="148"/>
      <c r="U231" s="148"/>
      <c r="V231" s="148"/>
      <c r="W231" s="148"/>
      <c r="X231" s="149"/>
      <c r="Y231" s="148"/>
      <c r="Z231" s="148"/>
      <c r="AA231" s="148"/>
      <c r="AB231" s="148"/>
      <c r="AC231" s="148"/>
      <c r="AD231" s="150"/>
      <c r="AE231" s="151"/>
      <c r="AF231" s="152"/>
      <c r="AG231" s="153"/>
      <c r="AH231" s="154"/>
      <c r="AJ231" s="390"/>
    </row>
    <row r="232" spans="1:36" s="141" customFormat="1">
      <c r="A232" s="42"/>
      <c r="B232" s="41"/>
      <c r="C232" s="276"/>
      <c r="D232" s="277"/>
      <c r="E232" s="276"/>
      <c r="F232" s="276"/>
      <c r="G232" s="278"/>
      <c r="H232" s="41"/>
      <c r="I232" s="41"/>
      <c r="J232" s="279"/>
      <c r="K232" s="279"/>
      <c r="L232" s="279"/>
      <c r="M232" s="140"/>
      <c r="O232" s="142"/>
      <c r="P232" s="142"/>
      <c r="Q232" s="41"/>
      <c r="R232" s="41"/>
      <c r="S232" s="41"/>
      <c r="T232" s="148"/>
      <c r="U232" s="148"/>
      <c r="V232" s="148"/>
      <c r="W232" s="148"/>
      <c r="X232" s="149"/>
      <c r="Y232" s="148"/>
      <c r="Z232" s="148"/>
      <c r="AA232" s="148"/>
      <c r="AB232" s="148"/>
      <c r="AC232" s="148"/>
      <c r="AD232" s="150"/>
      <c r="AE232" s="151"/>
      <c r="AF232" s="152"/>
      <c r="AG232" s="153"/>
      <c r="AH232" s="154"/>
      <c r="AJ232" s="390"/>
    </row>
    <row r="233" spans="1:36" s="141" customFormat="1">
      <c r="A233" s="42"/>
      <c r="B233" s="41"/>
      <c r="C233" s="276"/>
      <c r="D233" s="277"/>
      <c r="E233" s="276"/>
      <c r="F233" s="276"/>
      <c r="G233" s="278"/>
      <c r="H233" s="41"/>
      <c r="I233" s="41"/>
      <c r="J233" s="279"/>
      <c r="K233" s="279"/>
      <c r="L233" s="279"/>
      <c r="M233" s="140"/>
      <c r="O233" s="142"/>
      <c r="P233" s="142"/>
      <c r="Q233" s="41"/>
      <c r="R233" s="41"/>
      <c r="S233" s="41"/>
      <c r="T233" s="148"/>
      <c r="U233" s="148"/>
      <c r="V233" s="148"/>
      <c r="W233" s="148"/>
      <c r="X233" s="149"/>
      <c r="Y233" s="148"/>
      <c r="Z233" s="148"/>
      <c r="AA233" s="148"/>
      <c r="AB233" s="148"/>
      <c r="AC233" s="148"/>
      <c r="AD233" s="150"/>
      <c r="AE233" s="151"/>
      <c r="AF233" s="152"/>
      <c r="AG233" s="153"/>
      <c r="AH233" s="154"/>
      <c r="AJ233" s="390"/>
    </row>
    <row r="234" spans="1:36" s="141" customFormat="1">
      <c r="A234" s="42"/>
      <c r="B234" s="41"/>
      <c r="C234" s="276"/>
      <c r="D234" s="277"/>
      <c r="E234" s="276"/>
      <c r="F234" s="276"/>
      <c r="G234" s="278"/>
      <c r="H234" s="41"/>
      <c r="I234" s="41"/>
      <c r="J234" s="279"/>
      <c r="K234" s="279"/>
      <c r="L234" s="279"/>
      <c r="M234" s="140"/>
      <c r="O234" s="142"/>
      <c r="P234" s="142"/>
      <c r="Q234" s="41"/>
      <c r="R234" s="41"/>
      <c r="S234" s="41"/>
      <c r="T234" s="148"/>
      <c r="U234" s="148"/>
      <c r="V234" s="148"/>
      <c r="W234" s="148"/>
      <c r="X234" s="149"/>
      <c r="Y234" s="148"/>
      <c r="Z234" s="148"/>
      <c r="AA234" s="148"/>
      <c r="AB234" s="148"/>
      <c r="AC234" s="148"/>
      <c r="AD234" s="150"/>
      <c r="AE234" s="151"/>
      <c r="AF234" s="152"/>
      <c r="AG234" s="153"/>
      <c r="AH234" s="154"/>
      <c r="AJ234" s="390"/>
    </row>
    <row r="235" spans="1:36" s="141" customFormat="1">
      <c r="A235" s="42"/>
      <c r="B235" s="41"/>
      <c r="C235" s="276"/>
      <c r="D235" s="277"/>
      <c r="E235" s="276"/>
      <c r="F235" s="276"/>
      <c r="G235" s="278"/>
      <c r="H235" s="41"/>
      <c r="I235" s="41"/>
      <c r="J235" s="279"/>
      <c r="K235" s="279"/>
      <c r="L235" s="279"/>
      <c r="M235" s="140"/>
      <c r="O235" s="142"/>
      <c r="P235" s="142"/>
      <c r="Q235" s="41"/>
      <c r="R235" s="41"/>
      <c r="S235" s="41"/>
      <c r="T235" s="148"/>
      <c r="U235" s="148"/>
      <c r="V235" s="148"/>
      <c r="W235" s="148"/>
      <c r="X235" s="149"/>
      <c r="Y235" s="148"/>
      <c r="Z235" s="148"/>
      <c r="AA235" s="148"/>
      <c r="AB235" s="148"/>
      <c r="AC235" s="148"/>
      <c r="AD235" s="150"/>
      <c r="AE235" s="151"/>
      <c r="AF235" s="152"/>
      <c r="AG235" s="153"/>
      <c r="AH235" s="154"/>
      <c r="AJ235" s="390"/>
    </row>
    <row r="236" spans="1:36" s="141" customFormat="1">
      <c r="A236" s="42"/>
      <c r="B236" s="41"/>
      <c r="C236" s="276"/>
      <c r="D236" s="277"/>
      <c r="E236" s="276"/>
      <c r="F236" s="276"/>
      <c r="G236" s="278"/>
      <c r="H236" s="41"/>
      <c r="I236" s="41"/>
      <c r="J236" s="279"/>
      <c r="K236" s="279"/>
      <c r="L236" s="279"/>
      <c r="M236" s="140"/>
      <c r="O236" s="142"/>
      <c r="P236" s="142"/>
      <c r="Q236" s="41"/>
      <c r="R236" s="41"/>
      <c r="S236" s="41"/>
      <c r="T236" s="148"/>
      <c r="U236" s="148"/>
      <c r="V236" s="148"/>
      <c r="W236" s="148"/>
      <c r="X236" s="149"/>
      <c r="Y236" s="148"/>
      <c r="Z236" s="148"/>
      <c r="AA236" s="148"/>
      <c r="AB236" s="148"/>
      <c r="AC236" s="148"/>
      <c r="AD236" s="150"/>
      <c r="AE236" s="151"/>
      <c r="AF236" s="152"/>
      <c r="AG236" s="153"/>
      <c r="AH236" s="154"/>
      <c r="AJ236" s="390"/>
    </row>
    <row r="237" spans="1:36" s="141" customFormat="1">
      <c r="A237" s="42"/>
      <c r="B237" s="41"/>
      <c r="C237" s="276"/>
      <c r="D237" s="277"/>
      <c r="E237" s="276"/>
      <c r="F237" s="276"/>
      <c r="G237" s="278"/>
      <c r="H237" s="41"/>
      <c r="I237" s="41"/>
      <c r="J237" s="279"/>
      <c r="K237" s="279"/>
      <c r="L237" s="279"/>
      <c r="M237" s="140"/>
      <c r="O237" s="142"/>
      <c r="P237" s="142"/>
      <c r="Q237" s="41"/>
      <c r="R237" s="41"/>
      <c r="S237" s="41"/>
      <c r="T237" s="148"/>
      <c r="U237" s="148"/>
      <c r="V237" s="148"/>
      <c r="W237" s="148"/>
      <c r="X237" s="149"/>
      <c r="Y237" s="148"/>
      <c r="Z237" s="148"/>
      <c r="AA237" s="148"/>
      <c r="AB237" s="148"/>
      <c r="AC237" s="148"/>
      <c r="AD237" s="150"/>
      <c r="AE237" s="151"/>
      <c r="AF237" s="152"/>
      <c r="AG237" s="153"/>
      <c r="AH237" s="154"/>
      <c r="AJ237" s="390"/>
    </row>
    <row r="238" spans="1:36" s="141" customFormat="1">
      <c r="A238" s="42"/>
      <c r="B238" s="41"/>
      <c r="C238" s="276"/>
      <c r="D238" s="277"/>
      <c r="E238" s="276"/>
      <c r="F238" s="276"/>
      <c r="G238" s="278"/>
      <c r="H238" s="41"/>
      <c r="I238" s="41"/>
      <c r="J238" s="279"/>
      <c r="K238" s="279"/>
      <c r="L238" s="279"/>
      <c r="M238" s="140"/>
      <c r="O238" s="142"/>
      <c r="P238" s="142"/>
      <c r="Q238" s="41"/>
      <c r="R238" s="41"/>
      <c r="S238" s="41"/>
      <c r="T238" s="148"/>
      <c r="U238" s="148"/>
      <c r="V238" s="148"/>
      <c r="W238" s="148"/>
      <c r="X238" s="149"/>
      <c r="Y238" s="148"/>
      <c r="Z238" s="148"/>
      <c r="AA238" s="148"/>
      <c r="AB238" s="148"/>
      <c r="AC238" s="148"/>
      <c r="AD238" s="150"/>
      <c r="AE238" s="151"/>
      <c r="AF238" s="152"/>
      <c r="AG238" s="153"/>
      <c r="AH238" s="154"/>
      <c r="AJ238" s="390"/>
    </row>
    <row r="239" spans="1:36" s="141" customFormat="1">
      <c r="A239" s="42"/>
      <c r="B239" s="41"/>
      <c r="C239" s="276"/>
      <c r="D239" s="277"/>
      <c r="E239" s="276"/>
      <c r="F239" s="276"/>
      <c r="G239" s="278"/>
      <c r="H239" s="41"/>
      <c r="I239" s="41"/>
      <c r="J239" s="279"/>
      <c r="K239" s="279"/>
      <c r="L239" s="279"/>
      <c r="M239" s="140"/>
      <c r="O239" s="142"/>
      <c r="P239" s="142"/>
      <c r="Q239" s="41"/>
      <c r="R239" s="41"/>
      <c r="S239" s="41"/>
      <c r="T239" s="148"/>
      <c r="U239" s="148"/>
      <c r="V239" s="148"/>
      <c r="W239" s="148"/>
      <c r="X239" s="149"/>
      <c r="Y239" s="148"/>
      <c r="Z239" s="148"/>
      <c r="AA239" s="148"/>
      <c r="AB239" s="148"/>
      <c r="AC239" s="148"/>
      <c r="AD239" s="150"/>
      <c r="AE239" s="151"/>
      <c r="AF239" s="152"/>
      <c r="AG239" s="153"/>
      <c r="AH239" s="154"/>
      <c r="AJ239" s="390"/>
    </row>
    <row r="240" spans="1:36" s="141" customFormat="1">
      <c r="A240" s="42"/>
      <c r="B240" s="41"/>
      <c r="C240" s="276"/>
      <c r="D240" s="277"/>
      <c r="E240" s="276"/>
      <c r="F240" s="276"/>
      <c r="G240" s="278"/>
      <c r="H240" s="41"/>
      <c r="I240" s="41"/>
      <c r="J240" s="279"/>
      <c r="K240" s="279"/>
      <c r="L240" s="279"/>
      <c r="M240" s="140"/>
      <c r="O240" s="142"/>
      <c r="P240" s="142"/>
      <c r="Q240" s="41"/>
      <c r="R240" s="41"/>
      <c r="S240" s="41"/>
      <c r="T240" s="148"/>
      <c r="U240" s="148"/>
      <c r="V240" s="148"/>
      <c r="W240" s="148"/>
      <c r="X240" s="149"/>
      <c r="Y240" s="148"/>
      <c r="Z240" s="148"/>
      <c r="AA240" s="148"/>
      <c r="AB240" s="148"/>
      <c r="AC240" s="148"/>
      <c r="AD240" s="150"/>
      <c r="AE240" s="151"/>
      <c r="AF240" s="152"/>
      <c r="AG240" s="153"/>
      <c r="AH240" s="154"/>
      <c r="AJ240" s="390"/>
    </row>
    <row r="241" spans="1:36" s="141" customFormat="1">
      <c r="A241" s="42"/>
      <c r="B241" s="41"/>
      <c r="C241" s="276"/>
      <c r="D241" s="277"/>
      <c r="E241" s="276"/>
      <c r="F241" s="276"/>
      <c r="G241" s="278"/>
      <c r="H241" s="41"/>
      <c r="I241" s="41"/>
      <c r="J241" s="279"/>
      <c r="K241" s="279"/>
      <c r="L241" s="279"/>
      <c r="M241" s="140"/>
      <c r="O241" s="142"/>
      <c r="P241" s="142"/>
      <c r="Q241" s="41"/>
      <c r="R241" s="41"/>
      <c r="S241" s="41"/>
      <c r="T241" s="148"/>
      <c r="U241" s="148"/>
      <c r="V241" s="148"/>
      <c r="W241" s="148"/>
      <c r="X241" s="149"/>
      <c r="Y241" s="148"/>
      <c r="Z241" s="148"/>
      <c r="AA241" s="148"/>
      <c r="AB241" s="148"/>
      <c r="AC241" s="148"/>
      <c r="AD241" s="150"/>
      <c r="AE241" s="151"/>
      <c r="AF241" s="152"/>
      <c r="AG241" s="153"/>
      <c r="AH241" s="154"/>
      <c r="AJ241" s="390"/>
    </row>
    <row r="242" spans="1:36" s="141" customFormat="1">
      <c r="A242" s="42"/>
      <c r="B242" s="41"/>
      <c r="C242" s="276"/>
      <c r="D242" s="277"/>
      <c r="E242" s="276"/>
      <c r="F242" s="276"/>
      <c r="G242" s="278"/>
      <c r="H242" s="41"/>
      <c r="I242" s="41"/>
      <c r="J242" s="279"/>
      <c r="K242" s="279"/>
      <c r="L242" s="279"/>
      <c r="M242" s="140"/>
      <c r="O242" s="142"/>
      <c r="P242" s="142"/>
      <c r="Q242" s="41"/>
      <c r="R242" s="41"/>
      <c r="S242" s="41"/>
      <c r="T242" s="148"/>
      <c r="U242" s="148"/>
      <c r="V242" s="148"/>
      <c r="W242" s="148"/>
      <c r="X242" s="149"/>
      <c r="Y242" s="148"/>
      <c r="Z242" s="148"/>
      <c r="AA242" s="148"/>
      <c r="AB242" s="148"/>
      <c r="AC242" s="148"/>
      <c r="AD242" s="150"/>
      <c r="AE242" s="151"/>
      <c r="AF242" s="152"/>
      <c r="AG242" s="153"/>
      <c r="AH242" s="154"/>
      <c r="AJ242" s="390"/>
    </row>
    <row r="243" spans="1:36" s="141" customFormat="1">
      <c r="A243" s="42"/>
      <c r="B243" s="41"/>
      <c r="C243" s="276"/>
      <c r="D243" s="277"/>
      <c r="E243" s="276"/>
      <c r="F243" s="276"/>
      <c r="G243" s="278"/>
      <c r="H243" s="41"/>
      <c r="I243" s="41"/>
      <c r="J243" s="279"/>
      <c r="K243" s="279"/>
      <c r="L243" s="279"/>
      <c r="M243" s="140"/>
      <c r="O243" s="142"/>
      <c r="P243" s="142"/>
      <c r="Q243" s="41"/>
      <c r="R243" s="41"/>
      <c r="S243" s="41"/>
      <c r="T243" s="148"/>
      <c r="U243" s="148"/>
      <c r="V243" s="148"/>
      <c r="W243" s="148"/>
      <c r="X243" s="149"/>
      <c r="Y243" s="148"/>
      <c r="Z243" s="148"/>
      <c r="AA243" s="148"/>
      <c r="AB243" s="148"/>
      <c r="AC243" s="148"/>
      <c r="AD243" s="150"/>
      <c r="AE243" s="151"/>
      <c r="AF243" s="152"/>
      <c r="AG243" s="153"/>
      <c r="AH243" s="154"/>
      <c r="AJ243" s="390"/>
    </row>
    <row r="244" spans="1:36" s="141" customFormat="1">
      <c r="A244" s="42"/>
      <c r="B244" s="41"/>
      <c r="C244" s="276"/>
      <c r="D244" s="277"/>
      <c r="E244" s="276"/>
      <c r="F244" s="276"/>
      <c r="G244" s="278"/>
      <c r="H244" s="41"/>
      <c r="I244" s="41"/>
      <c r="J244" s="279"/>
      <c r="K244" s="279"/>
      <c r="L244" s="279"/>
      <c r="M244" s="140"/>
      <c r="O244" s="142"/>
      <c r="P244" s="142"/>
      <c r="Q244" s="41"/>
      <c r="R244" s="41"/>
      <c r="S244" s="41"/>
      <c r="T244" s="148"/>
      <c r="U244" s="148"/>
      <c r="V244" s="148"/>
      <c r="W244" s="148"/>
      <c r="X244" s="149"/>
      <c r="Y244" s="148"/>
      <c r="Z244" s="148"/>
      <c r="AA244" s="148"/>
      <c r="AB244" s="148"/>
      <c r="AC244" s="148"/>
      <c r="AD244" s="150"/>
      <c r="AE244" s="151"/>
      <c r="AF244" s="152"/>
      <c r="AG244" s="153"/>
      <c r="AH244" s="154"/>
      <c r="AJ244" s="390"/>
    </row>
    <row r="245" spans="1:36" s="141" customFormat="1">
      <c r="A245" s="42"/>
      <c r="B245" s="41"/>
      <c r="C245" s="276"/>
      <c r="D245" s="277"/>
      <c r="E245" s="276"/>
      <c r="F245" s="276"/>
      <c r="G245" s="278"/>
      <c r="H245" s="41"/>
      <c r="I245" s="41"/>
      <c r="J245" s="279"/>
      <c r="K245" s="279"/>
      <c r="L245" s="279"/>
      <c r="M245" s="140"/>
      <c r="O245" s="142"/>
      <c r="P245" s="142"/>
      <c r="Q245" s="41"/>
      <c r="R245" s="41"/>
      <c r="S245" s="41"/>
      <c r="T245" s="148"/>
      <c r="U245" s="148"/>
      <c r="V245" s="148"/>
      <c r="W245" s="148"/>
      <c r="X245" s="149"/>
      <c r="Y245" s="148"/>
      <c r="Z245" s="148"/>
      <c r="AA245" s="148"/>
      <c r="AB245" s="148"/>
      <c r="AC245" s="148"/>
      <c r="AD245" s="150"/>
      <c r="AE245" s="151"/>
      <c r="AF245" s="152"/>
      <c r="AG245" s="153"/>
      <c r="AH245" s="154"/>
      <c r="AJ245" s="390"/>
    </row>
    <row r="246" spans="1:36" s="141" customFormat="1">
      <c r="A246" s="42"/>
      <c r="B246" s="41"/>
      <c r="C246" s="276"/>
      <c r="D246" s="277"/>
      <c r="E246" s="276"/>
      <c r="F246" s="276"/>
      <c r="G246" s="278"/>
      <c r="H246" s="41"/>
      <c r="I246" s="41"/>
      <c r="J246" s="279"/>
      <c r="K246" s="279"/>
      <c r="L246" s="279"/>
      <c r="M246" s="140"/>
      <c r="O246" s="142"/>
      <c r="P246" s="142"/>
      <c r="Q246" s="41"/>
      <c r="R246" s="41"/>
      <c r="S246" s="41"/>
      <c r="T246" s="148"/>
      <c r="U246" s="148"/>
      <c r="V246" s="148"/>
      <c r="W246" s="148"/>
      <c r="X246" s="149"/>
      <c r="Y246" s="148"/>
      <c r="Z246" s="148"/>
      <c r="AA246" s="148"/>
      <c r="AB246" s="148"/>
      <c r="AC246" s="148"/>
      <c r="AD246" s="150"/>
      <c r="AE246" s="151"/>
      <c r="AF246" s="152"/>
      <c r="AG246" s="153"/>
      <c r="AH246" s="154"/>
      <c r="AJ246" s="390"/>
    </row>
    <row r="247" spans="1:36" s="141" customFormat="1">
      <c r="A247" s="42"/>
      <c r="B247" s="41"/>
      <c r="C247" s="276"/>
      <c r="D247" s="277"/>
      <c r="E247" s="276"/>
      <c r="F247" s="276"/>
      <c r="G247" s="278"/>
      <c r="H247" s="41"/>
      <c r="I247" s="41"/>
      <c r="J247" s="279"/>
      <c r="K247" s="279"/>
      <c r="L247" s="279"/>
      <c r="M247" s="140"/>
      <c r="O247" s="142"/>
      <c r="P247" s="142"/>
      <c r="Q247" s="41"/>
      <c r="R247" s="41"/>
      <c r="S247" s="41"/>
      <c r="T247" s="148"/>
      <c r="U247" s="148"/>
      <c r="V247" s="148"/>
      <c r="W247" s="148"/>
      <c r="X247" s="149"/>
      <c r="Y247" s="148"/>
      <c r="Z247" s="148"/>
      <c r="AA247" s="148"/>
      <c r="AB247" s="148"/>
      <c r="AC247" s="148"/>
      <c r="AD247" s="150"/>
      <c r="AE247" s="151"/>
      <c r="AF247" s="152"/>
      <c r="AG247" s="153"/>
      <c r="AH247" s="154"/>
      <c r="AJ247" s="390"/>
    </row>
    <row r="248" spans="1:36" s="141" customFormat="1">
      <c r="A248" s="42"/>
      <c r="B248" s="41"/>
      <c r="C248" s="276"/>
      <c r="D248" s="277"/>
      <c r="E248" s="276"/>
      <c r="F248" s="276"/>
      <c r="G248" s="278"/>
      <c r="H248" s="41"/>
      <c r="I248" s="41"/>
      <c r="J248" s="279"/>
      <c r="K248" s="279"/>
      <c r="L248" s="279"/>
      <c r="M248" s="140"/>
      <c r="O248" s="142"/>
      <c r="P248" s="142"/>
      <c r="Q248" s="41"/>
      <c r="R248" s="41"/>
      <c r="S248" s="41"/>
      <c r="T248" s="148"/>
      <c r="U248" s="148"/>
      <c r="V248" s="148"/>
      <c r="W248" s="148"/>
      <c r="X248" s="149"/>
      <c r="Y248" s="148"/>
      <c r="Z248" s="148"/>
      <c r="AA248" s="148"/>
      <c r="AB248" s="148"/>
      <c r="AC248" s="148"/>
      <c r="AD248" s="150"/>
      <c r="AE248" s="151"/>
      <c r="AF248" s="152"/>
      <c r="AG248" s="153"/>
      <c r="AH248" s="154"/>
      <c r="AJ248" s="390"/>
    </row>
    <row r="249" spans="1:36" s="141" customFormat="1">
      <c r="A249" s="42"/>
      <c r="B249" s="41"/>
      <c r="C249" s="276"/>
      <c r="D249" s="277"/>
      <c r="E249" s="276"/>
      <c r="F249" s="276"/>
      <c r="G249" s="278"/>
      <c r="H249" s="41"/>
      <c r="I249" s="41"/>
      <c r="J249" s="279"/>
      <c r="K249" s="279"/>
      <c r="L249" s="279"/>
      <c r="M249" s="140"/>
      <c r="O249" s="142"/>
      <c r="P249" s="142"/>
      <c r="Q249" s="41"/>
      <c r="R249" s="41"/>
      <c r="S249" s="41"/>
      <c r="T249" s="148"/>
      <c r="U249" s="148"/>
      <c r="V249" s="148"/>
      <c r="W249" s="148"/>
      <c r="X249" s="149"/>
      <c r="Y249" s="148"/>
      <c r="Z249" s="148"/>
      <c r="AA249" s="148"/>
      <c r="AB249" s="148"/>
      <c r="AC249" s="148"/>
      <c r="AD249" s="150"/>
      <c r="AE249" s="151"/>
      <c r="AF249" s="152"/>
      <c r="AG249" s="153"/>
      <c r="AH249" s="154"/>
      <c r="AJ249" s="390"/>
    </row>
    <row r="250" spans="1:36" s="141" customFormat="1">
      <c r="A250" s="42"/>
      <c r="B250" s="41"/>
      <c r="C250" s="276"/>
      <c r="D250" s="277"/>
      <c r="E250" s="276"/>
      <c r="F250" s="276"/>
      <c r="G250" s="278"/>
      <c r="H250" s="41"/>
      <c r="I250" s="41"/>
      <c r="J250" s="279"/>
      <c r="K250" s="279"/>
      <c r="L250" s="279"/>
      <c r="M250" s="140"/>
      <c r="O250" s="142"/>
      <c r="P250" s="142"/>
      <c r="Q250" s="41"/>
      <c r="R250" s="41"/>
      <c r="S250" s="41"/>
      <c r="T250" s="148"/>
      <c r="U250" s="148"/>
      <c r="V250" s="148"/>
      <c r="W250" s="148"/>
      <c r="X250" s="149"/>
      <c r="Y250" s="148"/>
      <c r="Z250" s="148"/>
      <c r="AA250" s="148"/>
      <c r="AB250" s="148"/>
      <c r="AC250" s="148"/>
      <c r="AD250" s="150"/>
      <c r="AE250" s="151"/>
      <c r="AF250" s="152"/>
      <c r="AG250" s="153"/>
      <c r="AH250" s="154"/>
      <c r="AJ250" s="390"/>
    </row>
    <row r="251" spans="1:36" s="141" customFormat="1">
      <c r="A251" s="42"/>
      <c r="B251" s="41"/>
      <c r="C251" s="276"/>
      <c r="D251" s="277"/>
      <c r="E251" s="276"/>
      <c r="F251" s="276"/>
      <c r="G251" s="278"/>
      <c r="H251" s="41"/>
      <c r="I251" s="41"/>
      <c r="J251" s="279"/>
      <c r="K251" s="279"/>
      <c r="L251" s="279"/>
      <c r="M251" s="140"/>
      <c r="O251" s="142"/>
      <c r="P251" s="142"/>
      <c r="Q251" s="41"/>
      <c r="R251" s="41"/>
      <c r="S251" s="41"/>
      <c r="T251" s="148"/>
      <c r="U251" s="148"/>
      <c r="V251" s="148"/>
      <c r="W251" s="148"/>
      <c r="X251" s="149"/>
      <c r="Y251" s="148"/>
      <c r="Z251" s="148"/>
      <c r="AA251" s="148"/>
      <c r="AB251" s="148"/>
      <c r="AC251" s="148"/>
      <c r="AD251" s="150"/>
      <c r="AE251" s="151"/>
      <c r="AF251" s="152"/>
      <c r="AG251" s="153"/>
      <c r="AH251" s="154"/>
      <c r="AJ251" s="390"/>
    </row>
    <row r="252" spans="1:36" s="141" customFormat="1">
      <c r="A252" s="42"/>
      <c r="B252" s="41"/>
      <c r="C252" s="276"/>
      <c r="D252" s="277"/>
      <c r="E252" s="276"/>
      <c r="F252" s="276"/>
      <c r="G252" s="278"/>
      <c r="H252" s="41"/>
      <c r="I252" s="41"/>
      <c r="J252" s="279"/>
      <c r="K252" s="279"/>
      <c r="L252" s="279"/>
      <c r="M252" s="140"/>
      <c r="O252" s="142"/>
      <c r="P252" s="142"/>
      <c r="Q252" s="41"/>
      <c r="R252" s="41"/>
      <c r="S252" s="41"/>
      <c r="T252" s="148"/>
      <c r="U252" s="148"/>
      <c r="V252" s="148"/>
      <c r="W252" s="148"/>
      <c r="X252" s="149"/>
      <c r="Y252" s="148"/>
      <c r="Z252" s="148"/>
      <c r="AA252" s="148"/>
      <c r="AB252" s="148"/>
      <c r="AC252" s="148"/>
      <c r="AD252" s="150"/>
      <c r="AE252" s="151"/>
      <c r="AF252" s="152"/>
      <c r="AG252" s="153"/>
      <c r="AH252" s="154"/>
      <c r="AJ252" s="390"/>
    </row>
    <row r="253" spans="1:36" s="141" customFormat="1">
      <c r="A253" s="42"/>
      <c r="B253" s="41"/>
      <c r="C253" s="276"/>
      <c r="D253" s="277"/>
      <c r="E253" s="276"/>
      <c r="F253" s="276"/>
      <c r="G253" s="278"/>
      <c r="H253" s="41"/>
      <c r="I253" s="41"/>
      <c r="J253" s="279"/>
      <c r="K253" s="279"/>
      <c r="L253" s="279"/>
      <c r="M253" s="140"/>
      <c r="O253" s="142"/>
      <c r="P253" s="142"/>
      <c r="Q253" s="41"/>
      <c r="R253" s="41"/>
      <c r="S253" s="41"/>
      <c r="T253" s="148"/>
      <c r="U253" s="148"/>
      <c r="V253" s="148"/>
      <c r="W253" s="148"/>
      <c r="X253" s="149"/>
      <c r="Y253" s="148"/>
      <c r="Z253" s="148"/>
      <c r="AA253" s="148"/>
      <c r="AB253" s="148"/>
      <c r="AC253" s="148"/>
      <c r="AD253" s="150"/>
      <c r="AE253" s="151"/>
      <c r="AF253" s="152"/>
      <c r="AG253" s="153"/>
      <c r="AH253" s="154"/>
      <c r="AJ253" s="390"/>
    </row>
    <row r="254" spans="1:36" s="141" customFormat="1">
      <c r="A254" s="42"/>
      <c r="B254" s="41"/>
      <c r="C254" s="276"/>
      <c r="D254" s="277"/>
      <c r="E254" s="276"/>
      <c r="F254" s="276"/>
      <c r="G254" s="278"/>
      <c r="H254" s="41"/>
      <c r="I254" s="41"/>
      <c r="J254" s="279"/>
      <c r="K254" s="279"/>
      <c r="L254" s="279"/>
      <c r="M254" s="140"/>
      <c r="O254" s="142"/>
      <c r="P254" s="142"/>
      <c r="Q254" s="41"/>
      <c r="R254" s="41"/>
      <c r="S254" s="41"/>
      <c r="T254" s="148"/>
      <c r="U254" s="148"/>
      <c r="V254" s="148"/>
      <c r="W254" s="148"/>
      <c r="X254" s="149"/>
      <c r="Y254" s="148"/>
      <c r="Z254" s="148"/>
      <c r="AA254" s="148"/>
      <c r="AB254" s="148"/>
      <c r="AC254" s="148"/>
      <c r="AD254" s="150"/>
      <c r="AE254" s="151"/>
      <c r="AF254" s="152"/>
      <c r="AG254" s="153"/>
      <c r="AH254" s="154"/>
      <c r="AJ254" s="390"/>
    </row>
    <row r="255" spans="1:36" s="141" customFormat="1">
      <c r="A255" s="42"/>
      <c r="B255" s="41"/>
      <c r="C255" s="276"/>
      <c r="D255" s="277"/>
      <c r="E255" s="276"/>
      <c r="F255" s="276"/>
      <c r="G255" s="278"/>
      <c r="H255" s="41"/>
      <c r="I255" s="41"/>
      <c r="J255" s="279"/>
      <c r="K255" s="279"/>
      <c r="L255" s="279"/>
      <c r="M255" s="140"/>
      <c r="O255" s="142"/>
      <c r="P255" s="142"/>
      <c r="Q255" s="41"/>
      <c r="R255" s="41"/>
      <c r="S255" s="41"/>
      <c r="T255" s="148"/>
      <c r="U255" s="148"/>
      <c r="V255" s="148"/>
      <c r="W255" s="148"/>
      <c r="X255" s="149"/>
      <c r="Y255" s="148"/>
      <c r="Z255" s="148"/>
      <c r="AA255" s="148"/>
      <c r="AB255" s="148"/>
      <c r="AC255" s="148"/>
      <c r="AD255" s="150"/>
      <c r="AE255" s="151"/>
      <c r="AF255" s="152"/>
      <c r="AG255" s="153"/>
      <c r="AH255" s="154"/>
      <c r="AJ255" s="390"/>
    </row>
    <row r="256" spans="1:36" s="141" customFormat="1">
      <c r="A256" s="42"/>
      <c r="B256" s="41"/>
      <c r="C256" s="276"/>
      <c r="D256" s="277"/>
      <c r="E256" s="276"/>
      <c r="F256" s="276"/>
      <c r="G256" s="278"/>
      <c r="H256" s="41"/>
      <c r="I256" s="41"/>
      <c r="J256" s="279"/>
      <c r="K256" s="279"/>
      <c r="L256" s="279"/>
      <c r="M256" s="140"/>
      <c r="O256" s="142"/>
      <c r="P256" s="142"/>
      <c r="Q256" s="41"/>
      <c r="R256" s="41"/>
      <c r="S256" s="41"/>
      <c r="T256" s="148"/>
      <c r="U256" s="148"/>
      <c r="V256" s="148"/>
      <c r="W256" s="148"/>
      <c r="X256" s="149"/>
      <c r="Y256" s="148"/>
      <c r="Z256" s="148"/>
      <c r="AA256" s="148"/>
      <c r="AB256" s="148"/>
      <c r="AC256" s="148"/>
      <c r="AD256" s="150"/>
      <c r="AE256" s="151"/>
      <c r="AF256" s="152"/>
      <c r="AG256" s="153"/>
      <c r="AH256" s="154"/>
      <c r="AJ256" s="390"/>
    </row>
    <row r="257" spans="1:36" s="141" customFormat="1">
      <c r="A257" s="42"/>
      <c r="B257" s="41"/>
      <c r="C257" s="276"/>
      <c r="D257" s="277"/>
      <c r="E257" s="276"/>
      <c r="F257" s="276"/>
      <c r="G257" s="278"/>
      <c r="H257" s="41"/>
      <c r="I257" s="41"/>
      <c r="J257" s="279"/>
      <c r="K257" s="279"/>
      <c r="L257" s="279"/>
      <c r="M257" s="140"/>
      <c r="O257" s="142"/>
      <c r="P257" s="142"/>
      <c r="Q257" s="41"/>
      <c r="R257" s="41"/>
      <c r="S257" s="41"/>
      <c r="T257" s="148"/>
      <c r="U257" s="148"/>
      <c r="V257" s="148"/>
      <c r="W257" s="148"/>
      <c r="X257" s="149"/>
      <c r="Y257" s="148"/>
      <c r="Z257" s="148"/>
      <c r="AA257" s="148"/>
      <c r="AB257" s="148"/>
      <c r="AC257" s="148"/>
      <c r="AD257" s="150"/>
      <c r="AE257" s="151"/>
      <c r="AF257" s="152"/>
      <c r="AG257" s="153"/>
      <c r="AH257" s="154"/>
      <c r="AJ257" s="390"/>
    </row>
    <row r="258" spans="1:36" s="141" customFormat="1">
      <c r="A258" s="42"/>
      <c r="B258" s="41"/>
      <c r="C258" s="276"/>
      <c r="D258" s="277"/>
      <c r="E258" s="276"/>
      <c r="F258" s="276"/>
      <c r="G258" s="278"/>
      <c r="H258" s="41"/>
      <c r="I258" s="41"/>
      <c r="J258" s="279"/>
      <c r="K258" s="279"/>
      <c r="L258" s="279"/>
      <c r="M258" s="140"/>
      <c r="O258" s="142"/>
      <c r="P258" s="142"/>
      <c r="Q258" s="41"/>
      <c r="R258" s="41"/>
      <c r="S258" s="41"/>
      <c r="T258" s="148"/>
      <c r="U258" s="148"/>
      <c r="V258" s="148"/>
      <c r="W258" s="148"/>
      <c r="X258" s="149"/>
      <c r="Y258" s="148"/>
      <c r="Z258" s="148"/>
      <c r="AA258" s="148"/>
      <c r="AB258" s="148"/>
      <c r="AC258" s="148"/>
      <c r="AD258" s="150"/>
      <c r="AE258" s="151"/>
      <c r="AF258" s="152"/>
      <c r="AG258" s="153"/>
      <c r="AH258" s="154"/>
      <c r="AJ258" s="390"/>
    </row>
    <row r="259" spans="1:36" s="141" customFormat="1">
      <c r="A259" s="42"/>
      <c r="B259" s="41"/>
      <c r="C259" s="276"/>
      <c r="D259" s="277"/>
      <c r="E259" s="276"/>
      <c r="F259" s="276"/>
      <c r="G259" s="278"/>
      <c r="H259" s="41"/>
      <c r="I259" s="41"/>
      <c r="J259" s="279"/>
      <c r="K259" s="279"/>
      <c r="L259" s="279"/>
      <c r="M259" s="140"/>
      <c r="O259" s="142"/>
      <c r="P259" s="142"/>
      <c r="Q259" s="41"/>
      <c r="R259" s="41"/>
      <c r="S259" s="41"/>
      <c r="T259" s="148"/>
      <c r="U259" s="148"/>
      <c r="V259" s="148"/>
      <c r="W259" s="148"/>
      <c r="X259" s="149"/>
      <c r="Y259" s="148"/>
      <c r="Z259" s="148"/>
      <c r="AA259" s="148"/>
      <c r="AB259" s="148"/>
      <c r="AC259" s="148"/>
      <c r="AD259" s="150"/>
      <c r="AE259" s="151"/>
      <c r="AF259" s="152"/>
      <c r="AG259" s="153"/>
      <c r="AH259" s="154"/>
      <c r="AJ259" s="390"/>
    </row>
    <row r="260" spans="1:36" s="141" customFormat="1">
      <c r="A260" s="42"/>
      <c r="B260" s="41"/>
      <c r="C260" s="276"/>
      <c r="D260" s="277"/>
      <c r="E260" s="276"/>
      <c r="F260" s="276"/>
      <c r="G260" s="278"/>
      <c r="H260" s="41"/>
      <c r="I260" s="41"/>
      <c r="J260" s="279"/>
      <c r="K260" s="279"/>
      <c r="L260" s="279"/>
      <c r="M260" s="140"/>
      <c r="O260" s="142"/>
      <c r="P260" s="142"/>
      <c r="Q260" s="41"/>
      <c r="R260" s="41"/>
      <c r="S260" s="41"/>
      <c r="T260" s="148"/>
      <c r="U260" s="148"/>
      <c r="V260" s="148"/>
      <c r="W260" s="148"/>
      <c r="X260" s="149"/>
      <c r="Y260" s="148"/>
      <c r="Z260" s="148"/>
      <c r="AA260" s="148"/>
      <c r="AB260" s="148"/>
      <c r="AC260" s="148"/>
      <c r="AD260" s="150"/>
      <c r="AE260" s="151"/>
      <c r="AF260" s="152"/>
      <c r="AG260" s="153"/>
      <c r="AH260" s="154"/>
      <c r="AJ260" s="390"/>
    </row>
    <row r="261" spans="1:36" s="141" customFormat="1">
      <c r="A261" s="42"/>
      <c r="B261" s="41"/>
      <c r="C261" s="276"/>
      <c r="D261" s="277"/>
      <c r="E261" s="276"/>
      <c r="F261" s="276"/>
      <c r="G261" s="278"/>
      <c r="H261" s="41"/>
      <c r="I261" s="41"/>
      <c r="J261" s="279"/>
      <c r="K261" s="279"/>
      <c r="L261" s="279"/>
      <c r="M261" s="140"/>
      <c r="O261" s="142"/>
      <c r="P261" s="142"/>
      <c r="Q261" s="41"/>
      <c r="R261" s="41"/>
      <c r="S261" s="41"/>
      <c r="T261" s="148"/>
      <c r="U261" s="148"/>
      <c r="V261" s="148"/>
      <c r="W261" s="148"/>
      <c r="X261" s="149"/>
      <c r="Y261" s="148"/>
      <c r="Z261" s="148"/>
      <c r="AA261" s="148"/>
      <c r="AB261" s="148"/>
      <c r="AC261" s="148"/>
      <c r="AD261" s="150"/>
      <c r="AE261" s="151"/>
      <c r="AF261" s="152"/>
      <c r="AG261" s="153"/>
      <c r="AH261" s="154"/>
      <c r="AJ261" s="390"/>
    </row>
    <row r="262" spans="1:36" s="141" customFormat="1">
      <c r="A262" s="42"/>
      <c r="B262" s="41"/>
      <c r="C262" s="276"/>
      <c r="D262" s="277"/>
      <c r="E262" s="276"/>
      <c r="F262" s="276"/>
      <c r="G262" s="278"/>
      <c r="H262" s="41"/>
      <c r="I262" s="41"/>
      <c r="J262" s="279"/>
      <c r="K262" s="279"/>
      <c r="L262" s="279"/>
      <c r="M262" s="140"/>
      <c r="O262" s="142"/>
      <c r="P262" s="142"/>
      <c r="Q262" s="41"/>
      <c r="R262" s="41"/>
      <c r="S262" s="41"/>
      <c r="T262" s="148"/>
      <c r="U262" s="148"/>
      <c r="V262" s="148"/>
      <c r="W262" s="148"/>
      <c r="X262" s="149"/>
      <c r="Y262" s="148"/>
      <c r="Z262" s="148"/>
      <c r="AA262" s="148"/>
      <c r="AB262" s="148"/>
      <c r="AC262" s="148"/>
      <c r="AD262" s="150"/>
      <c r="AE262" s="151"/>
      <c r="AF262" s="152"/>
      <c r="AG262" s="153"/>
      <c r="AH262" s="154"/>
      <c r="AJ262" s="390"/>
    </row>
    <row r="263" spans="1:36" s="141" customFormat="1">
      <c r="A263" s="42"/>
      <c r="B263" s="41"/>
      <c r="C263" s="276"/>
      <c r="D263" s="277"/>
      <c r="E263" s="276"/>
      <c r="F263" s="276"/>
      <c r="G263" s="278"/>
      <c r="H263" s="41"/>
      <c r="I263" s="41"/>
      <c r="J263" s="279"/>
      <c r="K263" s="279"/>
      <c r="L263" s="279"/>
      <c r="M263" s="140"/>
      <c r="O263" s="142"/>
      <c r="P263" s="142"/>
      <c r="Q263" s="41"/>
      <c r="R263" s="41"/>
      <c r="S263" s="41"/>
      <c r="T263" s="148"/>
      <c r="U263" s="148"/>
      <c r="V263" s="148"/>
      <c r="W263" s="148"/>
      <c r="X263" s="149"/>
      <c r="Y263" s="148"/>
      <c r="Z263" s="148"/>
      <c r="AA263" s="148"/>
      <c r="AB263" s="148"/>
      <c r="AC263" s="148"/>
      <c r="AD263" s="150"/>
      <c r="AE263" s="151"/>
      <c r="AF263" s="152"/>
      <c r="AG263" s="153"/>
      <c r="AH263" s="154"/>
      <c r="AJ263" s="390"/>
    </row>
    <row r="264" spans="1:36" s="141" customFormat="1">
      <c r="A264" s="42"/>
      <c r="B264" s="41"/>
      <c r="C264" s="276"/>
      <c r="D264" s="277"/>
      <c r="E264" s="276"/>
      <c r="F264" s="276"/>
      <c r="G264" s="278"/>
      <c r="H264" s="41"/>
      <c r="I264" s="41"/>
      <c r="J264" s="279"/>
      <c r="K264" s="279"/>
      <c r="L264" s="279"/>
      <c r="M264" s="140"/>
      <c r="O264" s="142"/>
      <c r="P264" s="142"/>
      <c r="Q264" s="41"/>
      <c r="R264" s="41"/>
      <c r="S264" s="41"/>
      <c r="T264" s="148"/>
      <c r="U264" s="148"/>
      <c r="V264" s="148"/>
      <c r="W264" s="148"/>
      <c r="X264" s="149"/>
      <c r="Y264" s="148"/>
      <c r="Z264" s="148"/>
      <c r="AA264" s="148"/>
      <c r="AB264" s="148"/>
      <c r="AC264" s="148"/>
      <c r="AD264" s="150"/>
      <c r="AE264" s="151"/>
      <c r="AF264" s="152"/>
      <c r="AG264" s="153"/>
      <c r="AH264" s="154"/>
      <c r="AJ264" s="390"/>
    </row>
    <row r="265" spans="1:36" s="141" customFormat="1">
      <c r="A265" s="42"/>
      <c r="B265" s="41"/>
      <c r="C265" s="276"/>
      <c r="D265" s="277"/>
      <c r="E265" s="276"/>
      <c r="F265" s="276"/>
      <c r="G265" s="278"/>
      <c r="H265" s="41"/>
      <c r="I265" s="41"/>
      <c r="J265" s="279"/>
      <c r="K265" s="279"/>
      <c r="L265" s="279"/>
      <c r="M265" s="140"/>
      <c r="O265" s="142"/>
      <c r="P265" s="142"/>
      <c r="Q265" s="41"/>
      <c r="R265" s="41"/>
      <c r="S265" s="41"/>
      <c r="T265" s="148"/>
      <c r="U265" s="148"/>
      <c r="V265" s="148"/>
      <c r="W265" s="148"/>
      <c r="X265" s="149"/>
      <c r="Y265" s="148"/>
      <c r="Z265" s="148"/>
      <c r="AA265" s="148"/>
      <c r="AB265" s="148"/>
      <c r="AC265" s="148"/>
      <c r="AD265" s="150"/>
      <c r="AE265" s="151"/>
      <c r="AF265" s="152"/>
      <c r="AG265" s="153"/>
      <c r="AH265" s="154"/>
      <c r="AJ265" s="390"/>
    </row>
    <row r="266" spans="1:36" s="141" customFormat="1">
      <c r="A266" s="42"/>
      <c r="B266" s="41"/>
      <c r="C266" s="276"/>
      <c r="D266" s="277"/>
      <c r="E266" s="276"/>
      <c r="F266" s="276"/>
      <c r="G266" s="278"/>
      <c r="H266" s="41"/>
      <c r="I266" s="41"/>
      <c r="J266" s="279"/>
      <c r="K266" s="279"/>
      <c r="L266" s="279"/>
      <c r="M266" s="140"/>
      <c r="O266" s="142"/>
      <c r="P266" s="142"/>
      <c r="Q266" s="41"/>
      <c r="R266" s="41"/>
      <c r="S266" s="41"/>
      <c r="T266" s="148"/>
      <c r="U266" s="148"/>
      <c r="V266" s="148"/>
      <c r="W266" s="148"/>
      <c r="X266" s="149"/>
      <c r="Y266" s="148"/>
      <c r="Z266" s="148"/>
      <c r="AA266" s="148"/>
      <c r="AB266" s="148"/>
      <c r="AC266" s="148"/>
      <c r="AD266" s="150"/>
      <c r="AE266" s="151"/>
      <c r="AF266" s="152"/>
      <c r="AG266" s="153"/>
      <c r="AH266" s="154"/>
      <c r="AJ266" s="390"/>
    </row>
    <row r="267" spans="1:36" s="141" customFormat="1">
      <c r="A267" s="42"/>
      <c r="B267" s="41"/>
      <c r="C267" s="276"/>
      <c r="D267" s="277"/>
      <c r="E267" s="276"/>
      <c r="F267" s="276"/>
      <c r="G267" s="278"/>
      <c r="H267" s="41"/>
      <c r="I267" s="41"/>
      <c r="J267" s="279"/>
      <c r="K267" s="279"/>
      <c r="L267" s="279"/>
      <c r="M267" s="140"/>
      <c r="O267" s="142"/>
      <c r="P267" s="142"/>
      <c r="Q267" s="41"/>
      <c r="R267" s="41"/>
      <c r="S267" s="41"/>
      <c r="T267" s="148"/>
      <c r="U267" s="148"/>
      <c r="V267" s="148"/>
      <c r="W267" s="148"/>
      <c r="X267" s="149"/>
      <c r="Y267" s="148"/>
      <c r="Z267" s="148"/>
      <c r="AA267" s="148"/>
      <c r="AB267" s="148"/>
      <c r="AC267" s="148"/>
      <c r="AD267" s="150"/>
      <c r="AE267" s="151"/>
      <c r="AF267" s="152"/>
      <c r="AG267" s="153"/>
      <c r="AH267" s="154"/>
      <c r="AJ267" s="390"/>
    </row>
    <row r="268" spans="1:36" s="141" customFormat="1">
      <c r="A268" s="42"/>
      <c r="B268" s="41"/>
      <c r="C268" s="276"/>
      <c r="D268" s="277"/>
      <c r="E268" s="276"/>
      <c r="F268" s="276"/>
      <c r="G268" s="278"/>
      <c r="H268" s="41"/>
      <c r="I268" s="41"/>
      <c r="J268" s="279"/>
      <c r="K268" s="279"/>
      <c r="L268" s="279"/>
      <c r="M268" s="140"/>
      <c r="O268" s="142"/>
      <c r="P268" s="142"/>
      <c r="Q268" s="41"/>
      <c r="R268" s="41"/>
      <c r="S268" s="41"/>
      <c r="T268" s="148"/>
      <c r="U268" s="148"/>
      <c r="V268" s="148"/>
      <c r="W268" s="148"/>
      <c r="X268" s="149"/>
      <c r="Y268" s="148"/>
      <c r="Z268" s="148"/>
      <c r="AA268" s="148"/>
      <c r="AB268" s="148"/>
      <c r="AC268" s="148"/>
      <c r="AD268" s="150"/>
      <c r="AE268" s="151"/>
      <c r="AF268" s="152"/>
      <c r="AG268" s="153"/>
      <c r="AH268" s="154"/>
      <c r="AJ268" s="390"/>
    </row>
    <row r="269" spans="1:36" s="141" customFormat="1">
      <c r="A269" s="42"/>
      <c r="B269" s="41"/>
      <c r="C269" s="276"/>
      <c r="D269" s="277"/>
      <c r="E269" s="276"/>
      <c r="F269" s="276"/>
      <c r="G269" s="278"/>
      <c r="H269" s="41"/>
      <c r="I269" s="41"/>
      <c r="J269" s="279"/>
      <c r="K269" s="279"/>
      <c r="L269" s="279"/>
      <c r="M269" s="140"/>
      <c r="O269" s="142"/>
      <c r="P269" s="142"/>
      <c r="Q269" s="41"/>
      <c r="R269" s="41"/>
      <c r="S269" s="41"/>
      <c r="T269" s="148"/>
      <c r="U269" s="148"/>
      <c r="V269" s="148"/>
      <c r="W269" s="148"/>
      <c r="X269" s="149"/>
      <c r="Y269" s="148"/>
      <c r="Z269" s="148"/>
      <c r="AA269" s="148"/>
      <c r="AB269" s="148"/>
      <c r="AC269" s="148"/>
      <c r="AD269" s="150"/>
      <c r="AE269" s="151"/>
      <c r="AF269" s="152"/>
      <c r="AG269" s="153"/>
      <c r="AH269" s="154"/>
      <c r="AJ269" s="390"/>
    </row>
    <row r="270" spans="1:36" s="141" customFormat="1">
      <c r="A270" s="42"/>
      <c r="B270" s="41"/>
      <c r="C270" s="276"/>
      <c r="D270" s="277"/>
      <c r="E270" s="276"/>
      <c r="F270" s="276"/>
      <c r="G270" s="278"/>
      <c r="H270" s="41"/>
      <c r="I270" s="41"/>
      <c r="J270" s="279"/>
      <c r="K270" s="279"/>
      <c r="L270" s="279"/>
      <c r="M270" s="140"/>
      <c r="O270" s="142"/>
      <c r="P270" s="142"/>
      <c r="Q270" s="41"/>
      <c r="R270" s="41"/>
      <c r="S270" s="41"/>
      <c r="T270" s="148"/>
      <c r="U270" s="148"/>
      <c r="V270" s="148"/>
      <c r="W270" s="148"/>
      <c r="X270" s="149"/>
      <c r="Y270" s="148"/>
      <c r="Z270" s="148"/>
      <c r="AA270" s="148"/>
      <c r="AB270" s="148"/>
      <c r="AC270" s="148"/>
      <c r="AD270" s="150"/>
      <c r="AE270" s="151"/>
      <c r="AF270" s="152"/>
      <c r="AG270" s="153"/>
      <c r="AH270" s="154"/>
      <c r="AJ270" s="390"/>
    </row>
    <row r="271" spans="1:36" s="141" customFormat="1">
      <c r="A271" s="42"/>
      <c r="B271" s="41"/>
      <c r="C271" s="276"/>
      <c r="D271" s="277"/>
      <c r="E271" s="276"/>
      <c r="F271" s="276"/>
      <c r="G271" s="278"/>
      <c r="H271" s="41"/>
      <c r="I271" s="41"/>
      <c r="J271" s="279"/>
      <c r="K271" s="279"/>
      <c r="L271" s="279"/>
      <c r="M271" s="140"/>
      <c r="O271" s="142"/>
      <c r="P271" s="142"/>
      <c r="Q271" s="41"/>
      <c r="R271" s="41"/>
      <c r="S271" s="41"/>
      <c r="T271" s="148"/>
      <c r="U271" s="148"/>
      <c r="V271" s="148"/>
      <c r="W271" s="148"/>
      <c r="X271" s="149"/>
      <c r="Y271" s="148"/>
      <c r="Z271" s="148"/>
      <c r="AA271" s="148"/>
      <c r="AB271" s="148"/>
      <c r="AC271" s="148"/>
      <c r="AD271" s="150"/>
      <c r="AE271" s="151"/>
      <c r="AF271" s="152"/>
      <c r="AG271" s="153"/>
      <c r="AH271" s="154"/>
      <c r="AJ271" s="390"/>
    </row>
    <row r="272" spans="1:36" s="141" customFormat="1">
      <c r="A272" s="42"/>
      <c r="B272" s="41"/>
      <c r="C272" s="276"/>
      <c r="D272" s="277"/>
      <c r="E272" s="276"/>
      <c r="F272" s="276"/>
      <c r="G272" s="278"/>
      <c r="H272" s="41"/>
      <c r="I272" s="41"/>
      <c r="J272" s="279"/>
      <c r="K272" s="279"/>
      <c r="L272" s="279"/>
      <c r="M272" s="140"/>
      <c r="O272" s="142"/>
      <c r="P272" s="142"/>
      <c r="Q272" s="41"/>
      <c r="R272" s="41"/>
      <c r="S272" s="41"/>
      <c r="T272" s="148"/>
      <c r="U272" s="148"/>
      <c r="V272" s="148"/>
      <c r="W272" s="148"/>
      <c r="X272" s="149"/>
      <c r="Y272" s="148"/>
      <c r="Z272" s="148"/>
      <c r="AA272" s="148"/>
      <c r="AB272" s="148"/>
      <c r="AC272" s="148"/>
      <c r="AD272" s="150"/>
      <c r="AE272" s="151"/>
      <c r="AF272" s="152"/>
      <c r="AG272" s="153"/>
      <c r="AH272" s="154"/>
      <c r="AJ272" s="390"/>
    </row>
    <row r="273" spans="1:36" s="141" customFormat="1">
      <c r="A273" s="42"/>
      <c r="B273" s="41"/>
      <c r="C273" s="276"/>
      <c r="D273" s="277"/>
      <c r="E273" s="276"/>
      <c r="F273" s="276"/>
      <c r="G273" s="278"/>
      <c r="H273" s="41"/>
      <c r="I273" s="41"/>
      <c r="J273" s="279"/>
      <c r="K273" s="279"/>
      <c r="L273" s="279"/>
      <c r="M273" s="140"/>
      <c r="O273" s="142"/>
      <c r="P273" s="142"/>
      <c r="Q273" s="41"/>
      <c r="R273" s="41"/>
      <c r="S273" s="41"/>
      <c r="T273" s="148"/>
      <c r="U273" s="148"/>
      <c r="V273" s="148"/>
      <c r="W273" s="148"/>
      <c r="X273" s="149"/>
      <c r="Y273" s="148"/>
      <c r="Z273" s="148"/>
      <c r="AA273" s="148"/>
      <c r="AB273" s="148"/>
      <c r="AC273" s="148"/>
      <c r="AD273" s="150"/>
      <c r="AE273" s="151"/>
      <c r="AF273" s="152"/>
      <c r="AG273" s="153"/>
      <c r="AH273" s="154"/>
      <c r="AJ273" s="390"/>
    </row>
    <row r="274" spans="1:36" s="141" customFormat="1">
      <c r="A274" s="42"/>
      <c r="B274" s="41"/>
      <c r="C274" s="276"/>
      <c r="D274" s="277"/>
      <c r="E274" s="276"/>
      <c r="F274" s="276"/>
      <c r="G274" s="278"/>
      <c r="H274" s="41"/>
      <c r="I274" s="41"/>
      <c r="J274" s="279"/>
      <c r="K274" s="279"/>
      <c r="L274" s="279"/>
      <c r="M274" s="140"/>
      <c r="O274" s="142"/>
      <c r="P274" s="142"/>
      <c r="Q274" s="41"/>
      <c r="R274" s="41"/>
      <c r="S274" s="41"/>
      <c r="T274" s="148"/>
      <c r="U274" s="148"/>
      <c r="V274" s="148"/>
      <c r="W274" s="148"/>
      <c r="X274" s="149"/>
      <c r="Y274" s="148"/>
      <c r="Z274" s="148"/>
      <c r="AA274" s="148"/>
      <c r="AB274" s="148"/>
      <c r="AC274" s="148"/>
      <c r="AD274" s="150"/>
      <c r="AE274" s="151"/>
      <c r="AF274" s="152"/>
      <c r="AG274" s="153"/>
      <c r="AH274" s="154"/>
      <c r="AJ274" s="390"/>
    </row>
    <row r="275" spans="1:36" s="141" customFormat="1">
      <c r="A275" s="42"/>
      <c r="B275" s="41"/>
      <c r="C275" s="276"/>
      <c r="D275" s="277"/>
      <c r="E275" s="276"/>
      <c r="F275" s="276"/>
      <c r="G275" s="278"/>
      <c r="H275" s="41"/>
      <c r="I275" s="41"/>
      <c r="J275" s="279"/>
      <c r="K275" s="279"/>
      <c r="L275" s="279"/>
      <c r="M275" s="140"/>
      <c r="O275" s="142"/>
      <c r="P275" s="142"/>
      <c r="Q275" s="41"/>
      <c r="R275" s="41"/>
      <c r="S275" s="41"/>
      <c r="T275" s="148"/>
      <c r="U275" s="148"/>
      <c r="V275" s="148"/>
      <c r="W275" s="148"/>
      <c r="X275" s="149"/>
      <c r="Y275" s="148"/>
      <c r="Z275" s="148"/>
      <c r="AA275" s="148"/>
      <c r="AB275" s="148"/>
      <c r="AC275" s="148"/>
      <c r="AD275" s="150"/>
      <c r="AE275" s="151"/>
      <c r="AF275" s="152"/>
      <c r="AG275" s="153"/>
      <c r="AH275" s="154"/>
      <c r="AJ275" s="390"/>
    </row>
    <row r="276" spans="1:36" s="141" customFormat="1">
      <c r="A276" s="42"/>
      <c r="B276" s="41"/>
      <c r="C276" s="276"/>
      <c r="D276" s="277"/>
      <c r="E276" s="276"/>
      <c r="F276" s="276"/>
      <c r="G276" s="278"/>
      <c r="H276" s="41"/>
      <c r="I276" s="41"/>
      <c r="J276" s="279"/>
      <c r="K276" s="279"/>
      <c r="L276" s="279"/>
      <c r="M276" s="140"/>
      <c r="O276" s="142"/>
      <c r="P276" s="142"/>
      <c r="Q276" s="41"/>
      <c r="R276" s="41"/>
      <c r="S276" s="41"/>
      <c r="T276" s="148"/>
      <c r="U276" s="148"/>
      <c r="V276" s="148"/>
      <c r="W276" s="148"/>
      <c r="X276" s="149"/>
      <c r="Y276" s="148"/>
      <c r="Z276" s="148"/>
      <c r="AA276" s="148"/>
      <c r="AB276" s="148"/>
      <c r="AC276" s="148"/>
      <c r="AD276" s="150"/>
      <c r="AE276" s="151"/>
      <c r="AF276" s="152"/>
      <c r="AG276" s="153"/>
      <c r="AH276" s="154"/>
      <c r="AJ276" s="390"/>
    </row>
    <row r="277" spans="1:36" s="141" customFormat="1">
      <c r="A277" s="42"/>
      <c r="B277" s="41"/>
      <c r="C277" s="276"/>
      <c r="D277" s="277"/>
      <c r="E277" s="276"/>
      <c r="F277" s="276"/>
      <c r="G277" s="278"/>
      <c r="H277" s="41"/>
      <c r="I277" s="41"/>
      <c r="J277" s="279"/>
      <c r="K277" s="279"/>
      <c r="L277" s="279"/>
      <c r="M277" s="140"/>
      <c r="O277" s="142"/>
      <c r="P277" s="142"/>
      <c r="Q277" s="41"/>
      <c r="R277" s="41"/>
      <c r="S277" s="41"/>
      <c r="T277" s="148"/>
      <c r="U277" s="148"/>
      <c r="V277" s="148"/>
      <c r="W277" s="148"/>
      <c r="X277" s="149"/>
      <c r="Y277" s="148"/>
      <c r="Z277" s="148"/>
      <c r="AA277" s="148"/>
      <c r="AB277" s="148"/>
      <c r="AC277" s="148"/>
      <c r="AD277" s="150"/>
      <c r="AE277" s="151"/>
      <c r="AF277" s="152"/>
      <c r="AG277" s="153"/>
      <c r="AH277" s="154"/>
      <c r="AJ277" s="390"/>
    </row>
    <row r="278" spans="1:36" s="141" customFormat="1">
      <c r="A278" s="42"/>
      <c r="B278" s="41"/>
      <c r="C278" s="276"/>
      <c r="D278" s="277"/>
      <c r="E278" s="276"/>
      <c r="F278" s="276"/>
      <c r="G278" s="278"/>
      <c r="H278" s="41"/>
      <c r="I278" s="41"/>
      <c r="J278" s="279"/>
      <c r="K278" s="279"/>
      <c r="L278" s="279"/>
      <c r="M278" s="140"/>
      <c r="O278" s="142"/>
      <c r="P278" s="142"/>
      <c r="Q278" s="41"/>
      <c r="R278" s="41"/>
      <c r="S278" s="41"/>
      <c r="T278" s="148"/>
      <c r="U278" s="148"/>
      <c r="V278" s="148"/>
      <c r="W278" s="148"/>
      <c r="X278" s="149"/>
      <c r="Y278" s="148"/>
      <c r="Z278" s="148"/>
      <c r="AA278" s="148"/>
      <c r="AB278" s="148"/>
      <c r="AC278" s="148"/>
      <c r="AD278" s="150"/>
      <c r="AE278" s="151"/>
      <c r="AF278" s="152"/>
      <c r="AG278" s="153"/>
      <c r="AH278" s="154"/>
      <c r="AJ278" s="390"/>
    </row>
    <row r="279" spans="1:36" s="141" customFormat="1">
      <c r="A279" s="42"/>
      <c r="B279" s="41"/>
      <c r="C279" s="276"/>
      <c r="D279" s="277"/>
      <c r="E279" s="276"/>
      <c r="F279" s="276"/>
      <c r="G279" s="278"/>
      <c r="H279" s="41"/>
      <c r="I279" s="41"/>
      <c r="J279" s="279"/>
      <c r="K279" s="279"/>
      <c r="L279" s="279"/>
      <c r="M279" s="140"/>
      <c r="O279" s="142"/>
      <c r="P279" s="142"/>
      <c r="Q279" s="41"/>
      <c r="R279" s="41"/>
      <c r="S279" s="41"/>
      <c r="T279" s="148"/>
      <c r="U279" s="148"/>
      <c r="V279" s="148"/>
      <c r="W279" s="148"/>
      <c r="X279" s="149"/>
      <c r="Y279" s="148"/>
      <c r="Z279" s="148"/>
      <c r="AA279" s="148"/>
      <c r="AB279" s="148"/>
      <c r="AC279" s="148"/>
      <c r="AD279" s="150"/>
      <c r="AE279" s="151"/>
      <c r="AF279" s="152"/>
      <c r="AG279" s="153"/>
      <c r="AH279" s="154"/>
      <c r="AJ279" s="390"/>
    </row>
    <row r="280" spans="1:36" s="141" customFormat="1">
      <c r="A280" s="42"/>
      <c r="B280" s="41"/>
      <c r="C280" s="276"/>
      <c r="D280" s="277"/>
      <c r="E280" s="276"/>
      <c r="F280" s="276"/>
      <c r="G280" s="278"/>
      <c r="H280" s="41"/>
      <c r="I280" s="41"/>
      <c r="J280" s="279"/>
      <c r="K280" s="279"/>
      <c r="L280" s="279"/>
      <c r="M280" s="140"/>
      <c r="O280" s="142"/>
      <c r="P280" s="142"/>
      <c r="Q280" s="41"/>
      <c r="R280" s="41"/>
      <c r="S280" s="41"/>
      <c r="T280" s="148"/>
      <c r="U280" s="148"/>
      <c r="V280" s="148"/>
      <c r="W280" s="148"/>
      <c r="X280" s="149"/>
      <c r="Y280" s="148"/>
      <c r="Z280" s="148"/>
      <c r="AA280" s="148"/>
      <c r="AB280" s="148"/>
      <c r="AC280" s="148"/>
      <c r="AD280" s="150"/>
      <c r="AE280" s="151"/>
      <c r="AF280" s="152"/>
      <c r="AG280" s="153"/>
      <c r="AH280" s="154"/>
      <c r="AJ280" s="390"/>
    </row>
    <row r="281" spans="1:36" s="141" customFormat="1">
      <c r="A281" s="42"/>
      <c r="B281" s="41"/>
      <c r="C281" s="276"/>
      <c r="D281" s="277"/>
      <c r="E281" s="276"/>
      <c r="F281" s="276"/>
      <c r="G281" s="278"/>
      <c r="H281" s="41"/>
      <c r="I281" s="41"/>
      <c r="J281" s="279"/>
      <c r="K281" s="279"/>
      <c r="L281" s="279"/>
      <c r="M281" s="140"/>
      <c r="O281" s="142"/>
      <c r="P281" s="142"/>
      <c r="Q281" s="41"/>
      <c r="R281" s="41"/>
      <c r="S281" s="41"/>
      <c r="T281" s="148"/>
      <c r="U281" s="148"/>
      <c r="V281" s="148"/>
      <c r="W281" s="148"/>
      <c r="X281" s="149"/>
      <c r="Y281" s="148"/>
      <c r="Z281" s="148"/>
      <c r="AA281" s="148"/>
      <c r="AB281" s="148"/>
      <c r="AC281" s="148"/>
      <c r="AD281" s="150"/>
      <c r="AE281" s="151"/>
      <c r="AF281" s="152"/>
      <c r="AG281" s="153"/>
      <c r="AH281" s="154"/>
      <c r="AJ281" s="390"/>
    </row>
    <row r="282" spans="1:36" s="141" customFormat="1">
      <c r="A282" s="42"/>
      <c r="B282" s="41"/>
      <c r="C282" s="276"/>
      <c r="D282" s="277"/>
      <c r="E282" s="276"/>
      <c r="F282" s="276"/>
      <c r="G282" s="278"/>
      <c r="H282" s="41"/>
      <c r="I282" s="41"/>
      <c r="J282" s="279"/>
      <c r="K282" s="279"/>
      <c r="L282" s="279"/>
      <c r="M282" s="140"/>
      <c r="O282" s="142"/>
      <c r="P282" s="142"/>
      <c r="Q282" s="41"/>
      <c r="R282" s="41"/>
      <c r="S282" s="41"/>
      <c r="T282" s="148"/>
      <c r="U282" s="148"/>
      <c r="V282" s="148"/>
      <c r="W282" s="148"/>
      <c r="X282" s="149"/>
      <c r="Y282" s="148"/>
      <c r="Z282" s="148"/>
      <c r="AA282" s="148"/>
      <c r="AB282" s="148"/>
      <c r="AC282" s="148"/>
      <c r="AD282" s="150"/>
      <c r="AE282" s="151"/>
      <c r="AF282" s="152"/>
      <c r="AG282" s="153"/>
      <c r="AH282" s="154"/>
      <c r="AJ282" s="390"/>
    </row>
    <row r="283" spans="1:36" s="141" customFormat="1">
      <c r="A283" s="42"/>
      <c r="B283" s="41"/>
      <c r="C283" s="276"/>
      <c r="D283" s="277"/>
      <c r="E283" s="276"/>
      <c r="F283" s="276"/>
      <c r="G283" s="278"/>
      <c r="H283" s="41"/>
      <c r="I283" s="41"/>
      <c r="J283" s="279"/>
      <c r="K283" s="279"/>
      <c r="L283" s="279"/>
      <c r="M283" s="140"/>
      <c r="O283" s="142"/>
      <c r="P283" s="142"/>
      <c r="Q283" s="41"/>
      <c r="R283" s="41"/>
      <c r="S283" s="41"/>
      <c r="T283" s="148"/>
      <c r="U283" s="148"/>
      <c r="V283" s="148"/>
      <c r="W283" s="148"/>
      <c r="X283" s="149"/>
      <c r="Y283" s="148"/>
      <c r="Z283" s="148"/>
      <c r="AA283" s="148"/>
      <c r="AB283" s="148"/>
      <c r="AC283" s="148"/>
      <c r="AD283" s="150"/>
      <c r="AE283" s="151"/>
      <c r="AF283" s="152"/>
      <c r="AG283" s="153"/>
      <c r="AH283" s="154"/>
      <c r="AJ283" s="390"/>
    </row>
    <row r="284" spans="1:36" s="141" customFormat="1">
      <c r="A284" s="42"/>
      <c r="B284" s="41"/>
      <c r="C284" s="276"/>
      <c r="D284" s="277"/>
      <c r="E284" s="276"/>
      <c r="F284" s="276"/>
      <c r="G284" s="278"/>
      <c r="H284" s="41"/>
      <c r="I284" s="41"/>
      <c r="J284" s="279"/>
      <c r="K284" s="279"/>
      <c r="L284" s="279"/>
      <c r="M284" s="140"/>
      <c r="O284" s="142"/>
      <c r="P284" s="142"/>
      <c r="Q284" s="41"/>
      <c r="R284" s="41"/>
      <c r="S284" s="41"/>
      <c r="T284" s="148"/>
      <c r="U284" s="148"/>
      <c r="V284" s="148"/>
      <c r="W284" s="148"/>
      <c r="X284" s="149"/>
      <c r="Y284" s="148"/>
      <c r="Z284" s="148"/>
      <c r="AA284" s="148"/>
      <c r="AB284" s="148"/>
      <c r="AC284" s="148"/>
      <c r="AD284" s="150"/>
      <c r="AE284" s="151"/>
      <c r="AF284" s="152"/>
      <c r="AG284" s="153"/>
      <c r="AH284" s="154"/>
      <c r="AJ284" s="390"/>
    </row>
    <row r="285" spans="1:36" s="141" customFormat="1">
      <c r="A285" s="42"/>
      <c r="B285" s="41"/>
      <c r="C285" s="276"/>
      <c r="D285" s="277"/>
      <c r="E285" s="276"/>
      <c r="F285" s="276"/>
      <c r="G285" s="278"/>
      <c r="H285" s="41"/>
      <c r="I285" s="41"/>
      <c r="J285" s="279"/>
      <c r="K285" s="279"/>
      <c r="L285" s="279"/>
      <c r="M285" s="140"/>
      <c r="O285" s="142"/>
      <c r="P285" s="142"/>
      <c r="Q285" s="41"/>
      <c r="R285" s="41"/>
      <c r="S285" s="41"/>
      <c r="T285" s="148"/>
      <c r="U285" s="148"/>
      <c r="V285" s="148"/>
      <c r="W285" s="148"/>
      <c r="X285" s="149"/>
      <c r="Y285" s="148"/>
      <c r="Z285" s="148"/>
      <c r="AA285" s="148"/>
      <c r="AB285" s="148"/>
      <c r="AC285" s="148"/>
      <c r="AD285" s="150"/>
      <c r="AE285" s="151"/>
      <c r="AF285" s="152"/>
      <c r="AG285" s="153"/>
      <c r="AH285" s="154"/>
      <c r="AJ285" s="390"/>
    </row>
    <row r="286" spans="1:36" s="141" customFormat="1">
      <c r="A286" s="42"/>
      <c r="B286" s="41"/>
      <c r="C286" s="276"/>
      <c r="D286" s="277"/>
      <c r="E286" s="276"/>
      <c r="F286" s="276"/>
      <c r="G286" s="278"/>
      <c r="H286" s="41"/>
      <c r="I286" s="41"/>
      <c r="J286" s="279"/>
      <c r="K286" s="279"/>
      <c r="L286" s="279"/>
      <c r="M286" s="140"/>
      <c r="O286" s="142"/>
      <c r="P286" s="142"/>
      <c r="Q286" s="41"/>
      <c r="R286" s="41"/>
      <c r="S286" s="41"/>
      <c r="T286" s="148"/>
      <c r="U286" s="148"/>
      <c r="V286" s="148"/>
      <c r="W286" s="148"/>
      <c r="X286" s="149"/>
      <c r="Y286" s="148"/>
      <c r="Z286" s="148"/>
      <c r="AA286" s="148"/>
      <c r="AB286" s="148"/>
      <c r="AC286" s="148"/>
      <c r="AD286" s="150"/>
      <c r="AE286" s="151"/>
      <c r="AF286" s="152"/>
      <c r="AG286" s="153"/>
      <c r="AH286" s="154"/>
      <c r="AJ286" s="390"/>
    </row>
    <row r="287" spans="1:36" s="141" customFormat="1">
      <c r="A287" s="42"/>
      <c r="B287" s="41"/>
      <c r="C287" s="276"/>
      <c r="D287" s="277"/>
      <c r="E287" s="276"/>
      <c r="F287" s="276"/>
      <c r="G287" s="278"/>
      <c r="H287" s="41"/>
      <c r="I287" s="41"/>
      <c r="J287" s="279"/>
      <c r="K287" s="279"/>
      <c r="L287" s="279"/>
      <c r="M287" s="140"/>
      <c r="O287" s="142"/>
      <c r="P287" s="142"/>
      <c r="Q287" s="41"/>
      <c r="R287" s="41"/>
      <c r="S287" s="41"/>
      <c r="T287" s="148"/>
      <c r="U287" s="148"/>
      <c r="V287" s="148"/>
      <c r="W287" s="148"/>
      <c r="X287" s="149"/>
      <c r="Y287" s="148"/>
      <c r="Z287" s="148"/>
      <c r="AA287" s="148"/>
      <c r="AB287" s="148"/>
      <c r="AC287" s="148"/>
      <c r="AD287" s="150"/>
      <c r="AE287" s="151"/>
      <c r="AF287" s="152"/>
      <c r="AG287" s="153"/>
      <c r="AH287" s="154"/>
      <c r="AJ287" s="390"/>
    </row>
    <row r="288" spans="1:36" s="141" customFormat="1">
      <c r="A288" s="42"/>
      <c r="B288" s="41"/>
      <c r="C288" s="276"/>
      <c r="D288" s="277"/>
      <c r="E288" s="276"/>
      <c r="F288" s="276"/>
      <c r="G288" s="278"/>
      <c r="H288" s="41"/>
      <c r="I288" s="41"/>
      <c r="J288" s="279"/>
      <c r="K288" s="279"/>
      <c r="L288" s="279"/>
      <c r="M288" s="140"/>
      <c r="O288" s="142"/>
      <c r="P288" s="142"/>
      <c r="Q288" s="41"/>
      <c r="R288" s="41"/>
      <c r="S288" s="41"/>
      <c r="T288" s="148"/>
      <c r="U288" s="148"/>
      <c r="V288" s="148"/>
      <c r="W288" s="148"/>
      <c r="X288" s="149"/>
      <c r="Y288" s="148"/>
      <c r="Z288" s="148"/>
      <c r="AA288" s="148"/>
      <c r="AB288" s="148"/>
      <c r="AC288" s="148"/>
      <c r="AD288" s="150"/>
      <c r="AE288" s="151"/>
      <c r="AF288" s="152"/>
      <c r="AG288" s="153"/>
      <c r="AH288" s="154"/>
      <c r="AJ288" s="390"/>
    </row>
    <row r="289" spans="1:36" s="141" customFormat="1">
      <c r="A289" s="42"/>
      <c r="B289" s="41"/>
      <c r="C289" s="276"/>
      <c r="D289" s="277"/>
      <c r="E289" s="276"/>
      <c r="F289" s="276"/>
      <c r="G289" s="278"/>
      <c r="H289" s="41"/>
      <c r="I289" s="41"/>
      <c r="J289" s="279"/>
      <c r="K289" s="279"/>
      <c r="L289" s="279"/>
      <c r="M289" s="140"/>
      <c r="O289" s="142"/>
      <c r="P289" s="142"/>
      <c r="Q289" s="41"/>
      <c r="R289" s="41"/>
      <c r="S289" s="41"/>
      <c r="T289" s="148"/>
      <c r="U289" s="148"/>
      <c r="V289" s="148"/>
      <c r="W289" s="148"/>
      <c r="X289" s="149"/>
      <c r="Y289" s="148"/>
      <c r="Z289" s="148"/>
      <c r="AA289" s="148"/>
      <c r="AB289" s="148"/>
      <c r="AC289" s="148"/>
      <c r="AD289" s="150"/>
      <c r="AE289" s="151"/>
      <c r="AF289" s="152"/>
      <c r="AG289" s="153"/>
      <c r="AH289" s="154"/>
      <c r="AJ289" s="390"/>
    </row>
    <row r="290" spans="1:36" s="141" customFormat="1">
      <c r="A290" s="42"/>
      <c r="B290" s="41"/>
      <c r="C290" s="276"/>
      <c r="D290" s="277"/>
      <c r="E290" s="276"/>
      <c r="F290" s="276"/>
      <c r="G290" s="278"/>
      <c r="H290" s="41"/>
      <c r="I290" s="41"/>
      <c r="J290" s="279"/>
      <c r="K290" s="279"/>
      <c r="L290" s="279"/>
      <c r="M290" s="140"/>
      <c r="O290" s="142"/>
      <c r="P290" s="142"/>
      <c r="Q290" s="41"/>
      <c r="R290" s="41"/>
      <c r="S290" s="41"/>
      <c r="T290" s="148"/>
      <c r="U290" s="148"/>
      <c r="V290" s="148"/>
      <c r="W290" s="148"/>
      <c r="X290" s="149"/>
      <c r="Y290" s="148"/>
      <c r="Z290" s="148"/>
      <c r="AA290" s="148"/>
      <c r="AB290" s="148"/>
      <c r="AC290" s="148"/>
      <c r="AD290" s="150"/>
      <c r="AE290" s="151"/>
      <c r="AF290" s="152"/>
      <c r="AG290" s="153"/>
      <c r="AH290" s="154"/>
      <c r="AJ290" s="390"/>
    </row>
    <row r="291" spans="1:36" s="141" customFormat="1">
      <c r="A291" s="42"/>
      <c r="B291" s="41"/>
      <c r="C291" s="276"/>
      <c r="D291" s="277"/>
      <c r="E291" s="276"/>
      <c r="F291" s="276"/>
      <c r="G291" s="278"/>
      <c r="H291" s="41"/>
      <c r="I291" s="41"/>
      <c r="J291" s="279"/>
      <c r="K291" s="279"/>
      <c r="L291" s="279"/>
      <c r="M291" s="140"/>
      <c r="O291" s="142"/>
      <c r="P291" s="142"/>
      <c r="Q291" s="41"/>
      <c r="R291" s="41"/>
      <c r="S291" s="41"/>
      <c r="T291" s="148"/>
      <c r="U291" s="148"/>
      <c r="V291" s="148"/>
      <c r="W291" s="148"/>
      <c r="X291" s="149"/>
      <c r="Y291" s="148"/>
      <c r="Z291" s="148"/>
      <c r="AA291" s="148"/>
      <c r="AB291" s="148"/>
      <c r="AC291" s="148"/>
      <c r="AD291" s="150"/>
      <c r="AE291" s="151"/>
      <c r="AF291" s="152"/>
      <c r="AG291" s="153"/>
      <c r="AH291" s="154"/>
      <c r="AJ291" s="390"/>
    </row>
    <row r="292" spans="1:36" s="141" customFormat="1">
      <c r="A292" s="42"/>
      <c r="B292" s="41"/>
      <c r="C292" s="276"/>
      <c r="D292" s="277"/>
      <c r="E292" s="276"/>
      <c r="F292" s="276"/>
      <c r="G292" s="278"/>
      <c r="H292" s="41"/>
      <c r="I292" s="41"/>
      <c r="J292" s="279"/>
      <c r="K292" s="279"/>
      <c r="L292" s="279"/>
      <c r="M292" s="140"/>
      <c r="O292" s="142"/>
      <c r="P292" s="142"/>
      <c r="Q292" s="41"/>
      <c r="R292" s="41"/>
      <c r="S292" s="41"/>
      <c r="T292" s="148"/>
      <c r="U292" s="148"/>
      <c r="V292" s="148"/>
      <c r="W292" s="148"/>
      <c r="X292" s="149"/>
      <c r="Y292" s="148"/>
      <c r="Z292" s="148"/>
      <c r="AA292" s="148"/>
      <c r="AB292" s="148"/>
      <c r="AC292" s="148"/>
      <c r="AD292" s="150"/>
      <c r="AE292" s="151"/>
      <c r="AF292" s="152"/>
      <c r="AG292" s="153"/>
      <c r="AH292" s="154"/>
      <c r="AJ292" s="390"/>
    </row>
    <row r="293" spans="1:36" s="141" customFormat="1">
      <c r="A293" s="42"/>
      <c r="B293" s="41"/>
      <c r="C293" s="276"/>
      <c r="D293" s="277"/>
      <c r="E293" s="276"/>
      <c r="F293" s="276"/>
      <c r="G293" s="278"/>
      <c r="H293" s="41"/>
      <c r="I293" s="41"/>
      <c r="J293" s="279"/>
      <c r="K293" s="279"/>
      <c r="L293" s="279"/>
      <c r="M293" s="140"/>
      <c r="O293" s="142"/>
      <c r="P293" s="142"/>
      <c r="Q293" s="41"/>
      <c r="R293" s="41"/>
      <c r="S293" s="41"/>
      <c r="T293" s="148"/>
      <c r="U293" s="148"/>
      <c r="V293" s="148"/>
      <c r="W293" s="148"/>
      <c r="X293" s="149"/>
      <c r="Y293" s="148"/>
      <c r="Z293" s="148"/>
      <c r="AA293" s="148"/>
      <c r="AB293" s="148"/>
      <c r="AC293" s="148"/>
      <c r="AD293" s="150"/>
      <c r="AE293" s="151"/>
      <c r="AF293" s="152"/>
      <c r="AG293" s="153"/>
      <c r="AH293" s="154"/>
      <c r="AJ293" s="390"/>
    </row>
    <row r="294" spans="1:36" s="141" customFormat="1">
      <c r="A294" s="42"/>
      <c r="B294" s="41"/>
      <c r="C294" s="276"/>
      <c r="D294" s="277"/>
      <c r="E294" s="276"/>
      <c r="F294" s="276"/>
      <c r="G294" s="278"/>
      <c r="H294" s="41"/>
      <c r="I294" s="41"/>
      <c r="J294" s="279"/>
      <c r="K294" s="279"/>
      <c r="L294" s="279"/>
      <c r="M294" s="140"/>
      <c r="O294" s="142"/>
      <c r="P294" s="142"/>
      <c r="Q294" s="41"/>
      <c r="R294" s="41"/>
      <c r="S294" s="41"/>
      <c r="T294" s="148"/>
      <c r="U294" s="148"/>
      <c r="V294" s="148"/>
      <c r="W294" s="148"/>
      <c r="X294" s="149"/>
      <c r="Y294" s="148"/>
      <c r="Z294" s="148"/>
      <c r="AA294" s="148"/>
      <c r="AB294" s="148"/>
      <c r="AC294" s="148"/>
      <c r="AD294" s="150"/>
      <c r="AE294" s="151"/>
      <c r="AF294" s="152"/>
      <c r="AG294" s="153"/>
      <c r="AH294" s="154"/>
      <c r="AJ294" s="390"/>
    </row>
    <row r="295" spans="1:36" s="141" customFormat="1">
      <c r="A295" s="42"/>
      <c r="B295" s="41"/>
      <c r="C295" s="276"/>
      <c r="D295" s="277"/>
      <c r="E295" s="276"/>
      <c r="F295" s="276"/>
      <c r="G295" s="278"/>
      <c r="H295" s="41"/>
      <c r="I295" s="41"/>
      <c r="J295" s="279"/>
      <c r="K295" s="279"/>
      <c r="L295" s="279"/>
      <c r="M295" s="140"/>
      <c r="O295" s="142"/>
      <c r="P295" s="142"/>
      <c r="Q295" s="41"/>
      <c r="R295" s="41"/>
      <c r="S295" s="41"/>
      <c r="T295" s="148"/>
      <c r="U295" s="148"/>
      <c r="V295" s="148"/>
      <c r="W295" s="148"/>
      <c r="X295" s="149"/>
      <c r="Y295" s="148"/>
      <c r="Z295" s="148"/>
      <c r="AA295" s="148"/>
      <c r="AB295" s="148"/>
      <c r="AC295" s="148"/>
      <c r="AD295" s="150"/>
      <c r="AE295" s="151"/>
      <c r="AF295" s="152"/>
      <c r="AG295" s="153"/>
      <c r="AH295" s="154"/>
      <c r="AJ295" s="390"/>
    </row>
  </sheetData>
  <mergeCells count="3">
    <mergeCell ref="A5:N5"/>
    <mergeCell ref="D3:M3"/>
    <mergeCell ref="A2:P2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STONE-T10.2025</vt:lpstr>
      <vt:lpstr>JW STONE - T01.2025</vt:lpstr>
      <vt:lpstr>xuất</vt:lpstr>
      <vt:lpstr>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Nguyễn Đức Trọng</cp:lastModifiedBy>
  <cp:lastPrinted>2024-12-17T04:37:27Z</cp:lastPrinted>
  <dcterms:created xsi:type="dcterms:W3CDTF">2024-06-27T11:40:37Z</dcterms:created>
  <dcterms:modified xsi:type="dcterms:W3CDTF">2025-12-17T08:07:45Z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
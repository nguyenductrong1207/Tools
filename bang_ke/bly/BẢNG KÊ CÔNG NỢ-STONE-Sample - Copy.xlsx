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name="JW STONE-T12-2024" sheetId="1" state="hidden" r:id="rId1"/>
    <sheet name="NOVA STONE-T10.2025" sheetId="2" state="visible" r:id="rId2"/>
    <sheet name="JW STONE - T01.2025" sheetId="3" state="hidden" r:id="rId3"/>
    <sheet name="xuất" sheetId="4" state="visible" r:id="rId4"/>
    <sheet name="nhập" sheetId="5" state="visible" r:id="rId5"/>
  </sheets>
  <definedNames>
    <definedName name="_xlnm._FilterDatabase" localSheetId="3" hidden="1">'xuất'!$A$2:$AF$100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############"/>
    <numFmt numFmtId="166" formatCode="_-* #,##0\ _₫_-;\-* #,##0\ _₫_-;_-* &quot;-&quot;??\ _₫_-;_-@_-"/>
    <numFmt numFmtId="167" formatCode="_(* #,##0.00_);_(* \(#,##0.00\);_(* &quot;-&quot;_);_(@_)"/>
    <numFmt numFmtId="168" formatCode="0.0"/>
    <numFmt numFmtId="169" formatCode="_ * #,##0.00_ ;_ * \-#,##0.00_ ;_ * &quot;-&quot;??_ ;_ @_ "/>
  </numFmts>
  <fonts count="4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indexed="8"/>
      <sz val="11"/>
    </font>
    <font>
      <name val="Times New Roman"/>
      <family val="1"/>
      <color rgb="FF808080"/>
      <sz val="8"/>
    </font>
    <font>
      <name val="Times New Roman"/>
      <family val="1"/>
      <b val="1"/>
      <color indexed="12"/>
      <sz val="16"/>
    </font>
    <font>
      <name val="Times New Roman"/>
      <family val="1"/>
      <sz val="10"/>
    </font>
    <font>
      <name val="Times New Roman"/>
      <family val="1"/>
      <sz val="12"/>
    </font>
    <font>
      <name val="Times New Roman"/>
      <family val="1"/>
      <sz val="9"/>
    </font>
    <font>
      <name val="Times New Roman"/>
      <family val="1"/>
      <b val="1"/>
      <sz val="12"/>
    </font>
    <font>
      <name val="Times New Roman"/>
      <family val="1"/>
      <b val="1"/>
      <sz val="9"/>
    </font>
    <font>
      <name val="Times New Roman"/>
      <family val="1"/>
      <b val="1"/>
      <sz val="11"/>
    </font>
    <font>
      <name val="Times New Roman"/>
      <family val="1"/>
      <b val="1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Times New Roman"/>
      <family val="1"/>
      <color indexed="8"/>
      <sz val="10"/>
    </font>
    <font>
      <name val="Times New Roman"/>
      <family val="1"/>
      <b val="1"/>
      <color theme="1"/>
      <sz val="12"/>
    </font>
    <font>
      <name val="Times New Roman"/>
      <family val="1"/>
      <sz val="11"/>
    </font>
    <font>
      <name val="Times New Roman"/>
      <family val="1"/>
      <b val="1"/>
      <color indexed="12"/>
      <sz val="11"/>
    </font>
    <font>
      <name val="Times New Roman"/>
      <family val="1"/>
      <b val="1"/>
      <color indexed="8"/>
      <sz val="11"/>
    </font>
    <font>
      <name val="Times New Roman"/>
      <family val="1"/>
      <b val="1"/>
      <color theme="1"/>
      <sz val="13"/>
    </font>
    <font>
      <name val="Times New Roman"/>
      <family val="1"/>
      <i val="1"/>
      <sz val="12"/>
    </font>
    <font>
      <name val="Times New Roman"/>
      <family val="1"/>
      <color indexed="8"/>
      <sz val="11"/>
    </font>
    <font>
      <name val="Times New Roman"/>
      <family val="1"/>
      <color indexed="8"/>
      <sz val="9"/>
    </font>
    <font>
      <name val="Times New Roman"/>
      <family val="1"/>
      <color theme="1"/>
      <sz val="9"/>
    </font>
    <font>
      <name val="Times New Roman"/>
      <family val="1"/>
      <b val="1"/>
      <color rgb="FFFF0000"/>
      <sz val="12"/>
    </font>
    <font>
      <name val="Times New Roman"/>
      <family val="1"/>
      <color theme="1"/>
      <sz val="10"/>
    </font>
    <font>
      <name val="Times New Roman"/>
      <family val="1"/>
      <color theme="1"/>
      <sz val="11"/>
    </font>
    <font>
      <name val="Arial"/>
      <family val="2"/>
      <sz val="10"/>
    </font>
    <font>
      <name val="Times New Roman"/>
      <family val="1"/>
      <color indexed="12"/>
      <sz val="11"/>
    </font>
    <font>
      <name val="Times New Roman"/>
      <family val="1"/>
      <color rgb="FFFF0000"/>
      <sz val="10"/>
    </font>
    <font>
      <name val="Times New Roman"/>
      <family val="1"/>
      <b val="1"/>
      <color rgb="FF034ABD"/>
      <sz val="10"/>
    </font>
    <font>
      <name val="Times New Roman"/>
      <family val="1"/>
      <i val="1"/>
      <color theme="1"/>
      <sz val="12"/>
    </font>
    <font>
      <name val="Arial"/>
      <family val="2"/>
      <color theme="1"/>
      <sz val="11"/>
    </font>
    <font>
      <name val="Arial"/>
      <family val="2"/>
      <color indexed="8"/>
      <sz val="9"/>
    </font>
    <font>
      <name val="Times-Newroman"/>
      <charset val="134"/>
      <color theme="1"/>
      <sz val="9"/>
    </font>
    <font>
      <name val="Times New Roman"/>
      <family val="1"/>
      <b val="1"/>
      <color rgb="FF0070C0"/>
      <sz val="10"/>
    </font>
    <font>
      <name val="Times New Roman"/>
      <family val="1"/>
      <color theme="1"/>
      <sz val="12"/>
    </font>
    <font>
      <name val="Arial"/>
      <family val="2"/>
      <b val="1"/>
      <color indexed="8"/>
      <sz val="11"/>
    </font>
    <font>
      <name val="VNI-Times"/>
      <sz val="12"/>
    </font>
    <font>
      <name val="Times New Roman"/>
      <family val="1"/>
      <b val="1"/>
      <color rgb="FF0000FF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D0D0D"/>
      <sz val="10"/>
    </font>
    <font>
      <name val="Times New Roman"/>
      <family val="1"/>
      <color rgb="FF000000"/>
      <sz val="10"/>
    </font>
    <font>
      <name val="Arial"/>
      <family val="2"/>
      <color indexed="8"/>
      <sz val="10"/>
    </font>
    <font>
      <name val="宋体"/>
      <charset val="134"/>
      <sz val="10"/>
    </font>
    <font>
      <name val="Courier New"/>
      <family val="3"/>
      <sz val="8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1" fillId="0" borderId="0"/>
    <xf numFmtId="43" fontId="1" fillId="0" borderId="0"/>
    <xf numFmtId="9" fontId="1" fillId="0" borderId="0"/>
    <xf numFmtId="0" fontId="2" fillId="0" borderId="0"/>
    <xf numFmtId="0" fontId="1" fillId="0" borderId="0"/>
    <xf numFmtId="43" fontId="2" fillId="0" borderId="0"/>
    <xf numFmtId="0" fontId="27" fillId="0" borderId="0"/>
    <xf numFmtId="169" fontId="1" fillId="0" borderId="0" applyAlignment="1">
      <alignment vertical="center"/>
    </xf>
    <xf numFmtId="0" fontId="43" fillId="0" borderId="0"/>
    <xf numFmtId="0" fontId="44" fillId="0" borderId="0"/>
  </cellStyleXfs>
  <cellXfs count="801">
    <xf numFmtId="0" fontId="0" fillId="0" borderId="0" pivotButton="0" quotePrefix="0" xfId="0"/>
    <xf numFmtId="0" fontId="3" fillId="2" borderId="0" applyAlignment="1" pivotButton="0" quotePrefix="0" xfId="0">
      <alignment horizontal="right"/>
    </xf>
    <xf numFmtId="0" fontId="5" fillId="2" borderId="0" applyAlignment="1" pivotButton="0" quotePrefix="0" xfId="3">
      <alignment horizontal="center" vertical="center"/>
    </xf>
    <xf numFmtId="0" fontId="5" fillId="2" borderId="0" applyAlignment="1" pivotButton="0" quotePrefix="0" xfId="3">
      <alignment horizontal="left" vertical="center"/>
    </xf>
    <xf numFmtId="0" fontId="7" fillId="2" borderId="0" applyAlignment="1" pivotButton="0" quotePrefix="0" xfId="3">
      <alignment horizontal="center" vertical="center"/>
    </xf>
    <xf numFmtId="0" fontId="7" fillId="2" borderId="0" applyAlignment="1" pivotButton="0" quotePrefix="0" xfId="3">
      <alignment horizontal="right" vertical="center"/>
    </xf>
    <xf numFmtId="0" fontId="7" fillId="2" borderId="0" applyAlignment="1" pivotButton="0" quotePrefix="0" xfId="3">
      <alignment horizontal="left" vertical="center"/>
    </xf>
    <xf numFmtId="0" fontId="7" fillId="2" borderId="0" applyAlignment="1" pivotButton="0" quotePrefix="0" xfId="3">
      <alignment vertical="center"/>
    </xf>
    <xf numFmtId="164" fontId="5" fillId="2" borderId="0" applyAlignment="1" pivotButton="0" quotePrefix="0" xfId="5">
      <alignment vertical="center"/>
    </xf>
    <xf numFmtId="0" fontId="11" fillId="2" borderId="4" applyAlignment="1" pivotButton="0" quotePrefix="0" xfId="3">
      <alignment horizontal="center" vertical="center" wrapText="1"/>
    </xf>
    <xf numFmtId="0" fontId="10" fillId="2" borderId="6" applyAlignment="1" pivotButton="0" quotePrefix="0" xfId="3">
      <alignment horizontal="center" vertical="center" wrapText="1"/>
    </xf>
    <xf numFmtId="0" fontId="11" fillId="2" borderId="6" applyAlignment="1" pivotButton="0" quotePrefix="0" xfId="3">
      <alignment horizontal="center" vertical="center" wrapText="1"/>
    </xf>
    <xf numFmtId="0" fontId="11" fillId="2" borderId="5" applyAlignment="1" pivotButton="0" quotePrefix="0" xfId="3">
      <alignment horizontal="center" vertical="center" wrapText="1"/>
    </xf>
    <xf numFmtId="0" fontId="12" fillId="2" borderId="6" applyAlignment="1" pivotButton="0" quotePrefix="0" xfId="3">
      <alignment horizontal="center" vertical="center" wrapText="1"/>
    </xf>
    <xf numFmtId="164" fontId="5" fillId="2" borderId="4" applyAlignment="1" pivotButton="0" quotePrefix="0" xfId="5">
      <alignment horizontal="center" vertical="center" wrapText="1" shrinkToFit="1"/>
    </xf>
    <xf numFmtId="0" fontId="16" fillId="2" borderId="0" applyAlignment="1" pivotButton="0" quotePrefix="0" xfId="3">
      <alignment horizontal="center" vertical="center"/>
    </xf>
    <xf numFmtId="0" fontId="16" fillId="2" borderId="0" applyAlignment="1" pivotButton="0" quotePrefix="0" xfId="3">
      <alignment horizontal="left" vertical="center"/>
    </xf>
    <xf numFmtId="3" fontId="5" fillId="2" borderId="0" applyAlignment="1" pivotButton="0" quotePrefix="0" xfId="4">
      <alignment horizontal="center"/>
    </xf>
    <xf numFmtId="49" fontId="5" fillId="2" borderId="0" applyAlignment="1" pivotButton="0" quotePrefix="0" xfId="4">
      <alignment horizontal="center"/>
    </xf>
    <xf numFmtId="0" fontId="8" fillId="2" borderId="0" pivotButton="0" quotePrefix="0" xfId="0"/>
    <xf numFmtId="0" fontId="21" fillId="2" borderId="0" applyAlignment="1" pivotButton="0" quotePrefix="0" xfId="3">
      <alignment horizontal="center"/>
    </xf>
    <xf numFmtId="0" fontId="21" fillId="2" borderId="0" pivotButton="0" quotePrefix="0" xfId="3"/>
    <xf numFmtId="0" fontId="21" fillId="2" borderId="0" applyAlignment="1" pivotButton="0" quotePrefix="0" xfId="3">
      <alignment horizontal="left"/>
    </xf>
    <xf numFmtId="0" fontId="12" fillId="2" borderId="5" applyAlignment="1" pivotButton="0" quotePrefix="0" xfId="3">
      <alignment horizontal="center" vertical="center" wrapText="1"/>
    </xf>
    <xf numFmtId="0" fontId="20" fillId="2" borderId="0" pivotButton="0" quotePrefix="0" xfId="0"/>
    <xf numFmtId="0" fontId="8" fillId="2" borderId="0" applyAlignment="1" pivotButton="0" quotePrefix="1" xfId="0">
      <alignment horizontal="left"/>
    </xf>
    <xf numFmtId="164" fontId="8" fillId="2" borderId="0" applyAlignment="1" pivotButton="0" quotePrefix="0" xfId="3">
      <alignment horizontal="left" vertical="center" wrapText="1"/>
    </xf>
    <xf numFmtId="0" fontId="20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 wrapText="1"/>
    </xf>
    <xf numFmtId="0" fontId="8" fillId="2" borderId="0" applyAlignment="1" pivotButton="0" quotePrefix="0" xfId="3">
      <alignment horizontal="left" vertical="center" wrapText="1"/>
    </xf>
    <xf numFmtId="0" fontId="27" fillId="2" borderId="0" applyAlignment="1" pivotButton="0" quotePrefix="0" xfId="6">
      <alignment horizontal="right" vertical="center" wrapText="1"/>
    </xf>
    <xf numFmtId="0" fontId="10" fillId="2" borderId="4" applyAlignment="1" pivotButton="0" quotePrefix="0" xfId="3">
      <alignment horizontal="center" vertical="center" wrapText="1"/>
    </xf>
    <xf numFmtId="0" fontId="4" fillId="2" borderId="0" applyAlignment="1" pivotButton="0" quotePrefix="1" xfId="3">
      <alignment horizontal="center" vertical="top"/>
    </xf>
    <xf numFmtId="41" fontId="5" fillId="2" borderId="6" applyAlignment="1" pivotButton="0" quotePrefix="0" xfId="3">
      <alignment horizontal="center" vertical="center" wrapText="1" shrinkToFit="1"/>
    </xf>
    <xf numFmtId="0" fontId="5" fillId="2" borderId="6" applyAlignment="1" pivotButton="0" quotePrefix="0" xfId="3">
      <alignment horizontal="center" vertical="center" shrinkToFit="1"/>
    </xf>
    <xf numFmtId="0" fontId="5" fillId="2" borderId="5" applyAlignment="1" pivotButton="0" quotePrefix="0" xfId="3">
      <alignment horizontal="center" vertical="center" shrinkToFit="1"/>
    </xf>
    <xf numFmtId="0" fontId="6" fillId="2" borderId="0" applyAlignment="1" pivotButton="0" quotePrefix="0" xfId="3">
      <alignment horizontal="left" vertical="center" wrapText="1"/>
    </xf>
    <xf numFmtId="0" fontId="6" fillId="2" borderId="0" applyAlignment="1" pivotButton="0" quotePrefix="0" xfId="0">
      <alignment horizontal="center" wrapText="1"/>
    </xf>
    <xf numFmtId="164" fontId="28" fillId="2" borderId="0" applyAlignment="1" pivotButton="0" quotePrefix="0" xfId="5">
      <alignment shrinkToFit="1"/>
    </xf>
    <xf numFmtId="49" fontId="13" fillId="2" borderId="6" applyAlignment="1" pivotButton="0" quotePrefix="1" xfId="3">
      <alignment horizontal="center" vertical="center" wrapText="1" shrinkToFit="1"/>
    </xf>
    <xf numFmtId="0" fontId="5" fillId="2" borderId="6" applyAlignment="1" pivotButton="0" quotePrefix="1" xfId="3">
      <alignment horizontal="center" vertical="center" wrapText="1" shrinkToFit="1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41" fontId="5" fillId="2" borderId="6" applyAlignment="1" pivotButton="0" quotePrefix="0" xfId="3">
      <alignment vertical="center" wrapText="1" shrinkToFit="1"/>
    </xf>
    <xf numFmtId="0" fontId="4" fillId="2" borderId="0" applyAlignment="1" pivotButton="0" quotePrefix="0" xfId="3">
      <alignment horizontal="center"/>
    </xf>
    <xf numFmtId="0" fontId="4" fillId="2" borderId="0" applyAlignment="1" pivotButton="0" quotePrefix="0" xfId="3">
      <alignment horizontal="center" vertical="top"/>
    </xf>
    <xf numFmtId="0" fontId="22" fillId="2" borderId="0" applyAlignment="1" pivotButton="0" quotePrefix="0" xfId="3">
      <alignment horizontal="center"/>
    </xf>
    <xf numFmtId="0" fontId="21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6" fillId="2" borderId="0" applyAlignment="1" pivotButton="0" quotePrefix="0" xfId="3">
      <alignment horizontal="center" vertical="center"/>
    </xf>
    <xf numFmtId="0" fontId="8" fillId="2" borderId="0" applyAlignment="1" pivotButton="0" quotePrefix="0" xfId="3">
      <alignment horizontal="center" vertical="center" wrapText="1"/>
    </xf>
    <xf numFmtId="0" fontId="10" fillId="2" borderId="0" applyAlignment="1" pivotButton="0" quotePrefix="0" xfId="3">
      <alignment horizontal="center" vertical="center"/>
    </xf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4">
      <alignment horizontal="center"/>
    </xf>
    <xf numFmtId="0" fontId="6" fillId="2" borderId="0" applyAlignment="1" pivotButton="0" quotePrefix="0" xfId="3">
      <alignment horizontal="center"/>
    </xf>
    <xf numFmtId="0" fontId="9" fillId="2" borderId="0" applyAlignment="1" pivotButton="0" quotePrefix="0" xfId="3">
      <alignment horizontal="center" vertical="center"/>
    </xf>
    <xf numFmtId="0" fontId="23" fillId="2" borderId="0" applyAlignment="1" pivotButton="0" quotePrefix="0" xfId="4">
      <alignment horizontal="center" vertical="center"/>
    </xf>
    <xf numFmtId="49" fontId="7" fillId="2" borderId="0" applyAlignment="1" pivotButton="0" quotePrefix="0" xfId="0">
      <alignment horizontal="center"/>
    </xf>
    <xf numFmtId="0" fontId="22" fillId="2" borderId="0" applyAlignment="1" pivotButton="0" quotePrefix="0" xfId="3">
      <alignment horizontal="left"/>
    </xf>
    <xf numFmtId="0" fontId="10" fillId="2" borderId="6" applyAlignment="1" pivotButton="0" quotePrefix="0" xfId="3">
      <alignment horizontal="left" vertical="center" wrapText="1"/>
    </xf>
    <xf numFmtId="49" fontId="5" fillId="2" borderId="6" applyAlignment="1" pivotButton="0" quotePrefix="0" xfId="3">
      <alignment horizontal="left" vertical="center" wrapText="1" shrinkToFit="1"/>
    </xf>
    <xf numFmtId="49" fontId="5" fillId="2" borderId="0" applyAlignment="1" pivotButton="0" quotePrefix="0" xfId="4">
      <alignment horizontal="left"/>
    </xf>
    <xf numFmtId="0" fontId="31" fillId="2" borderId="0" pivotButton="0" quotePrefix="0" xfId="0"/>
    <xf numFmtId="0" fontId="24" fillId="2" borderId="0" applyAlignment="1" pivotButton="0" quotePrefix="1" xfId="0">
      <alignment horizontal="left"/>
    </xf>
    <xf numFmtId="0" fontId="26" fillId="2" borderId="0" pivotButton="0" quotePrefix="0" xfId="3"/>
    <xf numFmtId="0" fontId="25" fillId="2" borderId="0" applyAlignment="1" pivotButton="0" quotePrefix="0" xfId="3">
      <alignment vertical="center"/>
    </xf>
    <xf numFmtId="0" fontId="23" fillId="2" borderId="0" pivotButton="0" quotePrefix="0" xfId="3"/>
    <xf numFmtId="164" fontId="8" fillId="2" borderId="0" applyAlignment="1" pivotButton="0" quotePrefix="0" xfId="1">
      <alignment horizontal="left" vertical="center" wrapText="1"/>
    </xf>
    <xf numFmtId="164" fontId="5" fillId="2" borderId="0" applyAlignment="1" pivotButton="0" quotePrefix="0" xfId="5">
      <alignment horizontal="left" vertical="center"/>
    </xf>
    <xf numFmtId="0" fontId="20" fillId="2" borderId="0" applyAlignment="1" pivotButton="0" quotePrefix="0" xfId="0">
      <alignment horizontal="left"/>
    </xf>
    <xf numFmtId="164" fontId="17" fillId="2" borderId="0" applyAlignment="1" pivotButton="0" quotePrefix="0" xfId="5">
      <alignment horizontal="left" shrinkToFit="1"/>
    </xf>
    <xf numFmtId="0" fontId="3" fillId="2" borderId="0" applyAlignment="1" pivotButton="0" quotePrefix="0" xfId="0">
      <alignment horizontal="left"/>
    </xf>
    <xf numFmtId="0" fontId="2" fillId="2" borderId="0" applyAlignment="1" pivotButton="0" quotePrefix="0" xfId="3">
      <alignment horizontal="center"/>
    </xf>
    <xf numFmtId="0" fontId="2" fillId="2" borderId="0" pivotButton="0" quotePrefix="0" xfId="3"/>
    <xf numFmtId="0" fontId="32" fillId="2" borderId="0" applyAlignment="1" pivotButton="0" quotePrefix="0" xfId="3">
      <alignment horizontal="left"/>
    </xf>
    <xf numFmtId="0" fontId="32" fillId="2" borderId="0" pivotButton="0" quotePrefix="0" xfId="3"/>
    <xf numFmtId="0" fontId="4" fillId="2" borderId="0" pivotButton="0" quotePrefix="0" xfId="3"/>
    <xf numFmtId="0" fontId="4" fillId="2" borderId="0" applyAlignment="1" pivotButton="0" quotePrefix="0" xfId="3">
      <alignment vertical="top"/>
    </xf>
    <xf numFmtId="0" fontId="25" fillId="2" borderId="0" applyAlignment="1" pivotButton="0" quotePrefix="0" xfId="3">
      <alignment horizontal="left" vertical="center"/>
    </xf>
    <xf numFmtId="0" fontId="25" fillId="2" borderId="0" applyAlignment="1" pivotButton="0" quotePrefix="0" xfId="3">
      <alignment horizontal="center" vertical="center"/>
    </xf>
    <xf numFmtId="0" fontId="33" fillId="2" borderId="0" pivotButton="0" quotePrefix="0" xfId="3"/>
    <xf numFmtId="0" fontId="23" fillId="2" borderId="0" applyAlignment="1" pivotButton="0" quotePrefix="0" xfId="3">
      <alignment horizontal="left" vertical="center"/>
    </xf>
    <xf numFmtId="0" fontId="23" fillId="2" borderId="0" applyAlignment="1" pivotButton="0" quotePrefix="0" xfId="3">
      <alignment horizontal="right" vertical="center"/>
    </xf>
    <xf numFmtId="0" fontId="34" fillId="2" borderId="0" applyAlignment="1" pivotButton="0" quotePrefix="0" xfId="4">
      <alignment horizontal="center" vertical="center"/>
    </xf>
    <xf numFmtId="164" fontId="10" fillId="2" borderId="0" applyAlignment="1" pivotButton="0" quotePrefix="0" xfId="5">
      <alignment horizontal="center" vertical="center" wrapText="1"/>
    </xf>
    <xf numFmtId="164" fontId="8" fillId="2" borderId="4" applyAlignment="1" pivotButton="0" quotePrefix="0" xfId="5">
      <alignment horizontal="center" vertical="center" shrinkToFit="1"/>
    </xf>
    <xf numFmtId="164" fontId="8" fillId="2" borderId="4" applyAlignment="1" pivotButton="0" quotePrefix="0" xfId="5">
      <alignment vertical="center" shrinkToFit="1"/>
    </xf>
    <xf numFmtId="164" fontId="15" fillId="2" borderId="4" applyAlignment="1" pivotButton="0" quotePrefix="0" xfId="5">
      <alignment horizontal="left" vertical="center" shrinkToFit="1"/>
    </xf>
    <xf numFmtId="164" fontId="36" fillId="2" borderId="4" applyAlignment="1" pivotButton="0" quotePrefix="0" xfId="5">
      <alignment horizontal="left" vertical="center" shrinkToFit="1"/>
    </xf>
    <xf numFmtId="164" fontId="15" fillId="2" borderId="4" applyAlignment="1" pivotButton="0" quotePrefix="0" xfId="5">
      <alignment vertical="center" shrinkToFit="1"/>
    </xf>
    <xf numFmtId="14" fontId="15" fillId="2" borderId="4" applyAlignment="1" pivotButton="0" quotePrefix="0" xfId="5">
      <alignment vertical="center" shrinkToFit="1"/>
    </xf>
    <xf numFmtId="0" fontId="26" fillId="2" borderId="0" applyAlignment="1" pivotButton="0" quotePrefix="0" xfId="3">
      <alignment horizontal="left" vertical="center"/>
    </xf>
    <xf numFmtId="0" fontId="26" fillId="2" borderId="0" applyAlignment="1" pivotButton="0" quotePrefix="0" xfId="3">
      <alignment horizontal="center" vertical="center"/>
    </xf>
    <xf numFmtId="164" fontId="17" fillId="2" borderId="0" applyAlignment="1" pivotButton="0" quotePrefix="0" xfId="5">
      <alignment shrinkToFit="1"/>
    </xf>
    <xf numFmtId="0" fontId="37" fillId="2" borderId="0" applyAlignment="1" pivotButton="0" quotePrefix="0" xfId="0">
      <alignment horizontal="center"/>
    </xf>
    <xf numFmtId="0" fontId="2" fillId="2" borderId="0" pivotButton="0" quotePrefix="0" xfId="0"/>
    <xf numFmtId="0" fontId="0" fillId="2" borderId="0" pivotButton="0" quotePrefix="0" xfId="0"/>
    <xf numFmtId="0" fontId="15" fillId="2" borderId="0" applyAlignment="1" pivotButton="0" quotePrefix="0" xfId="3">
      <alignment horizontal="left" vertical="center" wrapText="1"/>
    </xf>
    <xf numFmtId="164" fontId="15" fillId="2" borderId="0" applyAlignment="1" pivotButton="0" quotePrefix="0" xfId="3">
      <alignment horizontal="left" vertical="center" wrapText="1"/>
    </xf>
    <xf numFmtId="0" fontId="6" fillId="2" borderId="0" pivotButton="0" quotePrefix="0" xfId="0"/>
    <xf numFmtId="0" fontId="6" fillId="2" borderId="0" applyAlignment="1" pivotButton="0" quotePrefix="0" xfId="0">
      <alignment wrapText="1"/>
    </xf>
    <xf numFmtId="0" fontId="8" fillId="2" borderId="0" applyAlignment="1" pivotButton="0" quotePrefix="0" xfId="0">
      <alignment wrapText="1"/>
    </xf>
    <xf numFmtId="0" fontId="38" fillId="2" borderId="0" applyAlignment="1" pivotButton="0" quotePrefix="0" xfId="3">
      <alignment horizontal="center"/>
    </xf>
    <xf numFmtId="0" fontId="32" fillId="2" borderId="0" applyAlignment="1" pivotButton="0" quotePrefix="0" xfId="3">
      <alignment horizontal="center"/>
    </xf>
    <xf numFmtId="164" fontId="15" fillId="2" borderId="5" applyAlignment="1" pivotButton="0" quotePrefix="0" xfId="5">
      <alignment vertical="center" shrinkToFit="1"/>
    </xf>
    <xf numFmtId="43" fontId="5" fillId="2" borderId="6" applyAlignment="1" pivotButton="0" quotePrefix="0" xfId="1">
      <alignment vertical="center" wrapText="1" shrinkToFit="1"/>
    </xf>
    <xf numFmtId="49" fontId="30" fillId="2" borderId="6" applyAlignment="1" pivotButton="0" quotePrefix="1" xfId="3">
      <alignment horizontal="center" vertical="center" wrapText="1" shrinkToFit="1"/>
    </xf>
    <xf numFmtId="14" fontId="21" fillId="2" borderId="0" applyAlignment="1" pivotButton="0" quotePrefix="0" xfId="3">
      <alignment horizontal="center"/>
    </xf>
    <xf numFmtId="14" fontId="4" fillId="2" borderId="0" applyAlignment="1" pivotButton="0" quotePrefix="0" xfId="3">
      <alignment horizontal="center"/>
    </xf>
    <xf numFmtId="14" fontId="4" fillId="2" borderId="0" applyAlignment="1" pivotButton="0" quotePrefix="0" xfId="3">
      <alignment horizontal="center" vertical="top"/>
    </xf>
    <xf numFmtId="14" fontId="5" fillId="2" borderId="0" applyAlignment="1" pivotButton="0" quotePrefix="0" xfId="3">
      <alignment horizontal="center" vertical="center"/>
    </xf>
    <xf numFmtId="14" fontId="24" fillId="2" borderId="0" applyAlignment="1" pivotButton="0" quotePrefix="1" xfId="0">
      <alignment horizontal="left"/>
    </xf>
    <xf numFmtId="14" fontId="8" fillId="2" borderId="0" applyAlignment="1" pivotButton="0" quotePrefix="1" xfId="0">
      <alignment horizontal="left"/>
    </xf>
    <xf numFmtId="14" fontId="10" fillId="2" borderId="6" applyAlignment="1" pivotButton="0" quotePrefix="0" xfId="3">
      <alignment horizontal="center" vertical="center" wrapText="1"/>
    </xf>
    <xf numFmtId="14" fontId="5" fillId="2" borderId="7" applyAlignment="1" pivotButton="0" quotePrefix="0" xfId="0">
      <alignment horizontal="center" vertical="center"/>
    </xf>
    <xf numFmtId="14" fontId="10" fillId="2" borderId="0" applyAlignment="1" pivotButton="0" quotePrefix="0" xfId="3">
      <alignment horizontal="center" vertical="center"/>
    </xf>
    <xf numFmtId="14" fontId="6" fillId="2" borderId="0" applyAlignment="1" pivotButton="0" quotePrefix="0" xfId="0">
      <alignment horizontal="center"/>
    </xf>
    <xf numFmtId="14" fontId="6" fillId="2" borderId="0" applyAlignment="1" pivotButton="0" quotePrefix="0" xfId="0">
      <alignment horizontal="center" wrapText="1"/>
    </xf>
    <xf numFmtId="14" fontId="5" fillId="2" borderId="0" applyAlignment="1" pivotButton="0" quotePrefix="0" xfId="4">
      <alignment horizontal="center"/>
    </xf>
    <xf numFmtId="43" fontId="5" fillId="2" borderId="6" applyAlignment="1" pivotButton="0" quotePrefix="0" xfId="1">
      <alignment horizontal="center" vertical="center" wrapText="1" shrinkToFit="1"/>
    </xf>
    <xf numFmtId="164" fontId="5" fillId="6" borderId="4" applyAlignment="1" pivotButton="0" quotePrefix="0" xfId="3">
      <alignment horizontal="left" vertical="center" wrapText="1" shrinkToFit="1"/>
    </xf>
    <xf numFmtId="164" fontId="5" fillId="6" borderId="4" applyAlignment="1" pivotButton="0" quotePrefix="0" xfId="3">
      <alignment horizontal="center" vertical="center" wrapText="1" shrinkToFit="1"/>
    </xf>
    <xf numFmtId="164" fontId="25" fillId="6" borderId="4" applyAlignment="1" pivotButton="0" quotePrefix="0" xfId="3">
      <alignment horizontal="left" vertical="center" wrapText="1" shrinkToFit="1"/>
    </xf>
    <xf numFmtId="0" fontId="14" fillId="6" borderId="0" applyAlignment="1" pivotButton="0" quotePrefix="0" xfId="3">
      <alignment vertical="center"/>
    </xf>
    <xf numFmtId="0" fontId="5" fillId="6" borderId="1" applyAlignment="1" pivotButton="0" quotePrefix="0" xfId="3">
      <alignment horizontal="center" vertical="center" shrinkToFit="1"/>
    </xf>
    <xf numFmtId="0" fontId="5" fillId="6" borderId="1" applyAlignment="1" pivotButton="0" quotePrefix="1" xfId="3">
      <alignment horizontal="center" vertical="center" wrapText="1" shrinkToFit="1"/>
    </xf>
    <xf numFmtId="49" fontId="5" fillId="6" borderId="1" applyAlignment="1" pivotButton="0" quotePrefix="0" xfId="3">
      <alignment vertical="center" wrapText="1" shrinkToFit="1"/>
    </xf>
    <xf numFmtId="41" fontId="5" fillId="6" borderId="1" applyAlignment="1" pivotButton="0" quotePrefix="0" xfId="3">
      <alignment horizontal="center" vertical="center" wrapText="1" shrinkToFit="1"/>
    </xf>
    <xf numFmtId="43" fontId="5" fillId="6" borderId="1" applyAlignment="1" pivotButton="0" quotePrefix="0" xfId="1">
      <alignment horizontal="center" vertical="center" wrapText="1" shrinkToFit="1"/>
    </xf>
    <xf numFmtId="164" fontId="13" fillId="6" borderId="4" applyAlignment="1" pivotButton="0" quotePrefix="0" xfId="3">
      <alignment horizontal="center" vertical="center" wrapText="1" shrinkToFit="1"/>
    </xf>
    <xf numFmtId="49" fontId="35" fillId="6" borderId="1" applyAlignment="1" pivotButton="0" quotePrefix="1" xfId="3">
      <alignment horizontal="center" vertical="center" wrapText="1" shrinkToFit="1"/>
    </xf>
    <xf numFmtId="14" fontId="5" fillId="6" borderId="10" applyAlignment="1" pivotButton="0" quotePrefix="0" xfId="0">
      <alignment horizontal="center" vertical="center"/>
    </xf>
    <xf numFmtId="0" fontId="16" fillId="6" borderId="4" applyAlignment="1" pivotButton="0" quotePrefix="0" xfId="3">
      <alignment horizontal="center" vertical="center" wrapText="1"/>
    </xf>
    <xf numFmtId="1" fontId="25" fillId="6" borderId="4" applyAlignment="1" pivotButton="0" quotePrefix="1" xfId="3">
      <alignment horizontal="center" vertical="center" wrapText="1" shrinkToFit="1"/>
    </xf>
    <xf numFmtId="14" fontId="25" fillId="6" borderId="4" applyAlignment="1" pivotButton="0" quotePrefix="1" xfId="3">
      <alignment horizontal="center" vertical="center" wrapText="1" shrinkToFit="1"/>
    </xf>
    <xf numFmtId="164" fontId="25" fillId="6" borderId="4" applyAlignment="1" pivotButton="0" quotePrefix="0" xfId="3">
      <alignment horizontal="center" vertical="center" wrapText="1" shrinkToFit="1"/>
    </xf>
    <xf numFmtId="9" fontId="25" fillId="6" borderId="4" applyAlignment="1" pivotButton="0" quotePrefix="0" xfId="2">
      <alignment horizontal="center" vertical="center" wrapText="1" shrinkToFit="1"/>
    </xf>
    <xf numFmtId="164" fontId="5" fillId="6" borderId="4" applyAlignment="1" pivotButton="0" quotePrefix="0" xfId="3">
      <alignment horizontal="left" vertical="center" shrinkToFit="1"/>
    </xf>
    <xf numFmtId="14" fontId="5" fillId="7" borderId="1" applyAlignment="1" pivotButton="0" quotePrefix="1" xfId="3">
      <alignment horizontal="center" vertical="center" wrapText="1" shrinkToFit="1"/>
    </xf>
    <xf numFmtId="14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/>
    </xf>
    <xf numFmtId="0" fontId="25" fillId="2" borderId="4" applyAlignment="1" pivotButton="0" quotePrefix="0" xfId="0">
      <alignment vertical="center" wrapText="1"/>
    </xf>
    <xf numFmtId="0" fontId="5" fillId="2" borderId="4" applyAlignment="1" pivotButton="0" quotePrefix="0" xfId="0">
      <alignment vertical="center" wrapText="1"/>
    </xf>
    <xf numFmtId="0" fontId="13" fillId="2" borderId="4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165" fontId="11" fillId="0" borderId="12" pivotButton="0" quotePrefix="0" xfId="0"/>
    <xf numFmtId="164" fontId="25" fillId="2" borderId="0" applyAlignment="1" pivotButton="0" quotePrefix="0" xfId="1">
      <alignment vertical="center"/>
    </xf>
    <xf numFmtId="166" fontId="25" fillId="2" borderId="0" applyAlignment="1" pivotButton="0" quotePrefix="0" xfId="1">
      <alignment vertical="center"/>
    </xf>
    <xf numFmtId="0" fontId="25" fillId="2" borderId="0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166" fontId="25" fillId="2" borderId="0" applyAlignment="1" pivotButton="0" quotePrefix="0" xfId="1">
      <alignment horizontal="left" vertical="center" indent="1"/>
    </xf>
    <xf numFmtId="164" fontId="12" fillId="2" borderId="0" applyAlignment="1" pivotButton="0" quotePrefix="0" xfId="1">
      <alignment vertical="center"/>
    </xf>
    <xf numFmtId="49" fontId="13" fillId="2" borderId="0" applyAlignment="1" pivotButton="0" quotePrefix="0" xfId="0">
      <alignment horizontal="center" vertical="center"/>
    </xf>
    <xf numFmtId="0" fontId="40" fillId="0" borderId="13" applyAlignment="1" pivotButton="0" quotePrefix="0" xfId="0">
      <alignment horizontal="center"/>
    </xf>
    <xf numFmtId="165" fontId="40" fillId="0" borderId="13" applyAlignment="1" pivotButton="0" quotePrefix="0" xfId="0">
      <alignment horizontal="center" vertical="center" wrapText="1"/>
    </xf>
    <xf numFmtId="165" fontId="40" fillId="0" borderId="16" applyAlignment="1" pivotButton="0" quotePrefix="0" xfId="0">
      <alignment horizontal="center" vertical="center" wrapText="1"/>
    </xf>
    <xf numFmtId="164" fontId="12" fillId="4" borderId="15" applyAlignment="1" pivotButton="0" quotePrefix="0" xfId="1">
      <alignment horizontal="center" vertical="center"/>
    </xf>
    <xf numFmtId="166" fontId="12" fillId="4" borderId="15" applyAlignment="1" pivotButton="0" quotePrefix="0" xfId="1">
      <alignment horizontal="center" vertical="center" wrapText="1"/>
    </xf>
    <xf numFmtId="164" fontId="12" fillId="4" borderId="15" applyAlignment="1" pivotButton="0" quotePrefix="0" xfId="1">
      <alignment horizontal="center" vertical="center" wrapText="1"/>
    </xf>
    <xf numFmtId="0" fontId="12" fillId="4" borderId="15" applyAlignment="1" pivotButton="0" quotePrefix="0" xfId="0">
      <alignment horizontal="center" vertical="center" wrapText="1"/>
    </xf>
    <xf numFmtId="0" fontId="11" fillId="4" borderId="15" applyAlignment="1" pivotButton="0" quotePrefix="0" xfId="0">
      <alignment horizontal="center" vertical="center" wrapText="1"/>
    </xf>
    <xf numFmtId="3" fontId="5" fillId="2" borderId="13" applyAlignment="1" pivotButton="0" quotePrefix="0" xfId="0">
      <alignment horizontal="center"/>
    </xf>
    <xf numFmtId="49" fontId="42" fillId="8" borderId="8" applyAlignment="1" pivotButton="0" quotePrefix="1" xfId="1">
      <alignment horizontal="center"/>
    </xf>
    <xf numFmtId="164" fontId="42" fillId="8" borderId="18" applyAlignment="1" pivotButton="0" quotePrefix="1" xfId="1">
      <alignment horizontal="center" vertical="center"/>
    </xf>
    <xf numFmtId="14" fontId="11" fillId="0" borderId="4" applyAlignment="1" pivotButton="0" quotePrefix="0" xfId="0">
      <alignment horizontal="center" vertical="center"/>
    </xf>
    <xf numFmtId="165" fontId="40" fillId="3" borderId="13" applyAlignment="1" pivotButton="0" quotePrefix="0" xfId="0">
      <alignment horizontal="center" vertical="center" wrapText="1"/>
    </xf>
    <xf numFmtId="0" fontId="40" fillId="0" borderId="13" applyAlignment="1" pivotButton="0" quotePrefix="0" xfId="0">
      <alignment horizontal="center" vertical="center" wrapText="1"/>
    </xf>
    <xf numFmtId="164" fontId="25" fillId="2" borderId="20" applyAlignment="1" pivotButton="0" quotePrefix="0" xfId="1">
      <alignment vertical="center"/>
    </xf>
    <xf numFmtId="49" fontId="5" fillId="2" borderId="20" applyAlignment="1" pivotButton="0" quotePrefix="1" xfId="4">
      <alignment horizontal="center" vertical="center" wrapText="1"/>
    </xf>
    <xf numFmtId="0" fontId="5" fillId="2" borderId="20" applyAlignment="1" pivotButton="0" quotePrefix="1" xfId="0">
      <alignment horizontal="left"/>
    </xf>
    <xf numFmtId="0" fontId="11" fillId="2" borderId="20" applyAlignment="1" pivotButton="0" quotePrefix="0" xfId="0">
      <alignment horizontal="center" vertical="center"/>
    </xf>
    <xf numFmtId="0" fontId="25" fillId="2" borderId="20" applyAlignment="1" pivotButton="0" quotePrefix="0" xfId="0">
      <alignment vertical="center"/>
    </xf>
    <xf numFmtId="166" fontId="25" fillId="2" borderId="20" applyAlignment="1" pivotButton="0" quotePrefix="0" xfId="1">
      <alignment vertical="center"/>
    </xf>
    <xf numFmtId="166" fontId="25" fillId="2" borderId="20" applyAlignment="1" pivotButton="0" quotePrefix="0" xfId="1">
      <alignment horizontal="left" vertical="center" indent="1"/>
    </xf>
    <xf numFmtId="0" fontId="11" fillId="2" borderId="20" applyAlignment="1" pivotButton="0" quotePrefix="1" xfId="0">
      <alignment horizontal="left"/>
    </xf>
    <xf numFmtId="164" fontId="8" fillId="2" borderId="7" applyAlignment="1" pivotButton="0" quotePrefix="0" xfId="0">
      <alignment horizontal="left"/>
    </xf>
    <xf numFmtId="0" fontId="18" fillId="2" borderId="7" applyAlignment="1" pivotButton="0" quotePrefix="0" xfId="0">
      <alignment horizontal="left"/>
    </xf>
    <xf numFmtId="0" fontId="11" fillId="2" borderId="3" applyAlignment="1" pivotButton="0" quotePrefix="0" xfId="3">
      <alignment horizontal="center" vertical="center" wrapText="1"/>
    </xf>
    <xf numFmtId="164" fontId="16" fillId="2" borderId="23" applyAlignment="1" pivotButton="0" quotePrefix="0" xfId="5">
      <alignment horizontal="center" vertical="center" wrapText="1"/>
    </xf>
    <xf numFmtId="0" fontId="11" fillId="2" borderId="23" applyAlignment="1" pivotButton="0" quotePrefix="0" xfId="3">
      <alignment horizontal="center" vertical="center" wrapText="1"/>
    </xf>
    <xf numFmtId="0" fontId="10" fillId="2" borderId="23" applyAlignment="1" pivotButton="0" quotePrefix="0" xfId="3">
      <alignment horizontal="center" vertical="center" wrapText="1"/>
    </xf>
    <xf numFmtId="14" fontId="10" fillId="2" borderId="23" applyAlignment="1" pivotButton="0" quotePrefix="0" xfId="3">
      <alignment horizontal="center" vertical="center" wrapText="1"/>
    </xf>
    <xf numFmtId="0" fontId="10" fillId="2" borderId="23" applyAlignment="1" pivotButton="0" quotePrefix="0" xfId="3">
      <alignment horizontal="left" vertical="center" wrapText="1"/>
    </xf>
    <xf numFmtId="0" fontId="10" fillId="2" borderId="22" applyAlignment="1" pivotButton="0" quotePrefix="0" xfId="3">
      <alignment horizontal="center" vertical="center" wrapText="1"/>
    </xf>
    <xf numFmtId="0" fontId="16" fillId="2" borderId="23" applyAlignment="1" pivotButton="0" quotePrefix="0" xfId="3">
      <alignment horizontal="center" vertical="center" wrapText="1"/>
    </xf>
    <xf numFmtId="0" fontId="5" fillId="7" borderId="23" applyAlignment="1" pivotButton="0" quotePrefix="0" xfId="3">
      <alignment horizontal="center" vertical="center" shrinkToFit="1"/>
    </xf>
    <xf numFmtId="14" fontId="5" fillId="7" borderId="23" applyAlignment="1" pivotButton="0" quotePrefix="1" xfId="3">
      <alignment horizontal="center" vertical="center" wrapText="1" shrinkToFit="1"/>
    </xf>
    <xf numFmtId="0" fontId="5" fillId="7" borderId="23" applyAlignment="1" pivotButton="0" quotePrefix="1" xfId="3">
      <alignment horizontal="center" vertical="center" wrapText="1" shrinkToFit="1"/>
    </xf>
    <xf numFmtId="41" fontId="5" fillId="7" borderId="23" applyAlignment="1" pivotButton="0" quotePrefix="0" xfId="3">
      <alignment horizontal="center" vertical="center" wrapText="1" shrinkToFit="1"/>
    </xf>
    <xf numFmtId="164" fontId="5" fillId="7" borderId="23" applyAlignment="1" pivotButton="0" quotePrefix="0" xfId="3">
      <alignment horizontal="left" vertical="center" wrapText="1" shrinkToFit="1"/>
    </xf>
    <xf numFmtId="1" fontId="5" fillId="7" borderId="23" applyAlignment="1" pivotButton="0" quotePrefix="1" xfId="3">
      <alignment horizontal="center" vertical="center" wrapText="1" shrinkToFit="1"/>
    </xf>
    <xf numFmtId="164" fontId="5" fillId="7" borderId="23" applyAlignment="1" pivotButton="0" quotePrefix="0" xfId="3">
      <alignment horizontal="center" vertical="center" wrapText="1" shrinkToFit="1"/>
    </xf>
    <xf numFmtId="9" fontId="5" fillId="7" borderId="23" applyAlignment="1" pivotButton="0" quotePrefix="0" xfId="2">
      <alignment horizontal="center" vertical="center" wrapText="1" shrinkToFit="1"/>
    </xf>
    <xf numFmtId="164" fontId="5" fillId="2" borderId="23" applyAlignment="1" pivotButton="0" quotePrefix="0" xfId="3">
      <alignment horizontal="left" vertical="center" wrapText="1" shrinkToFit="1"/>
    </xf>
    <xf numFmtId="1" fontId="5" fillId="2" borderId="23" applyAlignment="1" pivotButton="0" quotePrefix="1" xfId="3">
      <alignment horizontal="center" vertical="center" wrapText="1" shrinkToFit="1"/>
    </xf>
    <xf numFmtId="14" fontId="5" fillId="2" borderId="23" applyAlignment="1" pivotButton="0" quotePrefix="1" xfId="3">
      <alignment horizontal="center" vertical="center" wrapText="1" shrinkToFit="1"/>
    </xf>
    <xf numFmtId="9" fontId="5" fillId="2" borderId="23" applyAlignment="1" pivotButton="0" quotePrefix="0" xfId="2">
      <alignment horizontal="center" vertical="center" wrapText="1" shrinkToFit="1"/>
    </xf>
    <xf numFmtId="164" fontId="5" fillId="2" borderId="23" applyAlignment="1" pivotButton="0" quotePrefix="0" xfId="3">
      <alignment horizontal="center" vertical="center" wrapText="1" shrinkToFit="1"/>
    </xf>
    <xf numFmtId="164" fontId="5" fillId="2" borderId="23" applyAlignment="1" pivotButton="0" quotePrefix="0" xfId="5">
      <alignment horizontal="left" vertical="center" wrapText="1" shrinkToFit="1"/>
    </xf>
    <xf numFmtId="164" fontId="25" fillId="7" borderId="23" applyAlignment="1" pivotButton="0" quotePrefix="0" xfId="3">
      <alignment horizontal="left" vertical="center" wrapText="1" shrinkToFit="1"/>
    </xf>
    <xf numFmtId="49" fontId="30" fillId="7" borderId="23" applyAlignment="1" pivotButton="0" quotePrefix="1" xfId="3">
      <alignment horizontal="center" vertical="center" wrapText="1" shrinkToFit="1"/>
    </xf>
    <xf numFmtId="1" fontId="25" fillId="7" borderId="23" applyAlignment="1" pivotButton="0" quotePrefix="1" xfId="3">
      <alignment horizontal="center" vertical="center" wrapText="1" shrinkToFit="1"/>
    </xf>
    <xf numFmtId="14" fontId="25" fillId="7" borderId="23" applyAlignment="1" pivotButton="0" quotePrefix="1" xfId="3">
      <alignment horizontal="center" vertical="center" wrapText="1" shrinkToFit="1"/>
    </xf>
    <xf numFmtId="9" fontId="25" fillId="7" borderId="23" applyAlignment="1" pivotButton="0" quotePrefix="0" xfId="2">
      <alignment horizontal="center" vertical="center" wrapText="1" shrinkToFit="1"/>
    </xf>
    <xf numFmtId="9" fontId="25" fillId="2" borderId="23" applyAlignment="1" pivotButton="0" quotePrefix="0" xfId="2">
      <alignment horizontal="center" vertical="center" wrapText="1" shrinkToFit="1"/>
    </xf>
    <xf numFmtId="0" fontId="16" fillId="6" borderId="23" applyAlignment="1" pivotButton="0" quotePrefix="0" xfId="3">
      <alignment horizontal="center" vertical="center" wrapText="1"/>
    </xf>
    <xf numFmtId="164" fontId="5" fillId="2" borderId="23" applyAlignment="1" pivotButton="0" quotePrefix="0" xfId="5">
      <alignment horizontal="center" vertical="center" wrapText="1" shrinkToFit="1"/>
    </xf>
    <xf numFmtId="0" fontId="5" fillId="6" borderId="19" applyAlignment="1" pivotButton="0" quotePrefix="0" xfId="3">
      <alignment horizontal="center" vertical="center" shrinkToFit="1"/>
    </xf>
    <xf numFmtId="49" fontId="35" fillId="6" borderId="19" applyAlignment="1" pivotButton="0" quotePrefix="1" xfId="3">
      <alignment horizontal="center" vertical="center" wrapText="1" shrinkToFit="1"/>
    </xf>
    <xf numFmtId="164" fontId="25" fillId="6" borderId="23" applyAlignment="1" pivotButton="0" quotePrefix="0" xfId="3">
      <alignment horizontal="left" vertical="center" wrapText="1" shrinkToFit="1"/>
    </xf>
    <xf numFmtId="1" fontId="25" fillId="6" borderId="23" applyAlignment="1" pivotButton="0" quotePrefix="1" xfId="3">
      <alignment horizontal="center" vertical="center" wrapText="1" shrinkToFit="1"/>
    </xf>
    <xf numFmtId="14" fontId="25" fillId="6" borderId="23" applyAlignment="1" pivotButton="0" quotePrefix="1" xfId="3">
      <alignment horizontal="center" vertical="center" wrapText="1" shrinkToFit="1"/>
    </xf>
    <xf numFmtId="164" fontId="25" fillId="6" borderId="23" applyAlignment="1" pivotButton="0" quotePrefix="0" xfId="3">
      <alignment horizontal="center" vertical="center" wrapText="1" shrinkToFit="1"/>
    </xf>
    <xf numFmtId="9" fontId="25" fillId="6" borderId="23" applyAlignment="1" pivotButton="0" quotePrefix="0" xfId="2">
      <alignment horizontal="center" vertical="center" wrapText="1" shrinkToFit="1"/>
    </xf>
    <xf numFmtId="164" fontId="5" fillId="6" borderId="23" applyAlignment="1" pivotButton="0" quotePrefix="0" xfId="3">
      <alignment horizontal="center" vertical="center" wrapText="1" shrinkToFit="1"/>
    </xf>
    <xf numFmtId="164" fontId="13" fillId="6" borderId="23" applyAlignment="1" pivotButton="0" quotePrefix="0" xfId="3">
      <alignment horizontal="center" vertical="center" wrapText="1" shrinkToFit="1"/>
    </xf>
    <xf numFmtId="164" fontId="5" fillId="6" borderId="23" applyAlignment="1" pivotButton="0" quotePrefix="0" xfId="3">
      <alignment horizontal="left" vertical="center" wrapText="1" shrinkToFit="1"/>
    </xf>
    <xf numFmtId="164" fontId="5" fillId="6" borderId="23" applyAlignment="1" pivotButton="0" quotePrefix="0" xfId="3">
      <alignment horizontal="left" vertical="center" shrinkToFit="1"/>
    </xf>
    <xf numFmtId="164" fontId="8" fillId="2" borderId="23" applyAlignment="1" pivotButton="0" quotePrefix="0" xfId="5">
      <alignment horizontal="center" vertical="center" shrinkToFit="1"/>
    </xf>
    <xf numFmtId="164" fontId="8" fillId="2" borderId="23" applyAlignment="1" pivotButton="0" quotePrefix="0" xfId="5">
      <alignment vertical="center" shrinkToFit="1"/>
    </xf>
    <xf numFmtId="164" fontId="15" fillId="2" borderId="23" applyAlignment="1" pivotButton="0" quotePrefix="0" xfId="5">
      <alignment horizontal="left" vertical="center" shrinkToFit="1"/>
    </xf>
    <xf numFmtId="164" fontId="36" fillId="2" borderId="23" applyAlignment="1" pivotButton="0" quotePrefix="0" xfId="5">
      <alignment horizontal="left" vertical="center" shrinkToFit="1"/>
    </xf>
    <xf numFmtId="164" fontId="15" fillId="2" borderId="23" applyAlignment="1" pivotButton="0" quotePrefix="0" xfId="5">
      <alignment vertical="center" shrinkToFit="1"/>
    </xf>
    <xf numFmtId="14" fontId="15" fillId="2" borderId="23" applyAlignment="1" pivotButton="0" quotePrefix="0" xfId="5">
      <alignment vertical="center" shrinkToFit="1"/>
    </xf>
    <xf numFmtId="164" fontId="8" fillId="2" borderId="23" applyAlignment="1" pivotButton="0" quotePrefix="0" xfId="5">
      <alignment horizontal="left" vertical="center" shrinkToFit="1"/>
    </xf>
    <xf numFmtId="14" fontId="8" fillId="2" borderId="23" applyAlignment="1" pivotButton="0" quotePrefix="0" xfId="5">
      <alignment vertical="center" shrinkToFit="1"/>
    </xf>
    <xf numFmtId="164" fontId="25" fillId="2" borderId="23" applyAlignment="1" pivotButton="0" quotePrefix="0" xfId="1">
      <alignment vertical="center"/>
    </xf>
    <xf numFmtId="0" fontId="5" fillId="2" borderId="23" applyAlignment="1" pivotButton="0" quotePrefix="0" xfId="0">
      <alignment vertical="center" wrapText="1"/>
    </xf>
    <xf numFmtId="0" fontId="11" fillId="2" borderId="24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164" fontId="25" fillId="2" borderId="24" applyAlignment="1" pivotButton="0" quotePrefix="0" xfId="1">
      <alignment vertical="center"/>
    </xf>
    <xf numFmtId="166" fontId="25" fillId="2" borderId="24" applyAlignment="1" pivotButton="0" quotePrefix="0" xfId="1">
      <alignment vertical="center"/>
    </xf>
    <xf numFmtId="0" fontId="16" fillId="2" borderId="24" applyAlignment="1" pivotButton="0" quotePrefix="0" xfId="3">
      <alignment horizontal="center" vertical="center" wrapText="1"/>
    </xf>
    <xf numFmtId="164" fontId="25" fillId="2" borderId="24" applyAlignment="1" pivotButton="0" quotePrefix="0" xfId="3">
      <alignment horizontal="left" vertical="center" wrapText="1" shrinkToFit="1"/>
    </xf>
    <xf numFmtId="14" fontId="5" fillId="7" borderId="24" applyAlignment="1" pivotButton="0" quotePrefix="1" xfId="3">
      <alignment horizontal="center" vertical="center" wrapText="1" shrinkToFit="1"/>
    </xf>
    <xf numFmtId="14" fontId="5" fillId="7" borderId="9" applyAlignment="1" pivotButton="0" quotePrefix="1" xfId="0">
      <alignment horizontal="center" vertical="center" wrapText="1"/>
    </xf>
    <xf numFmtId="1" fontId="5" fillId="2" borderId="24" applyAlignment="1" pivotButton="0" quotePrefix="1" xfId="3">
      <alignment horizontal="center" vertical="center" wrapText="1" shrinkToFit="1"/>
    </xf>
    <xf numFmtId="14" fontId="5" fillId="2" borderId="24" applyAlignment="1" pivotButton="0" quotePrefix="1" xfId="3">
      <alignment horizontal="center" vertical="center" wrapText="1" shrinkToFit="1"/>
    </xf>
    <xf numFmtId="164" fontId="5" fillId="2" borderId="24" applyAlignment="1" pivotButton="0" quotePrefix="0" xfId="3">
      <alignment horizontal="center" vertical="center" wrapText="1" shrinkToFit="1"/>
    </xf>
    <xf numFmtId="9" fontId="25" fillId="2" borderId="24" applyAlignment="1" pivotButton="0" quotePrefix="0" xfId="2">
      <alignment horizontal="center" vertical="center" wrapText="1" shrinkToFit="1"/>
    </xf>
    <xf numFmtId="164" fontId="25" fillId="2" borderId="24" applyAlignment="1" pivotButton="0" quotePrefix="0" xfId="5">
      <alignment horizontal="left" vertical="center" wrapText="1" shrinkToFit="1"/>
    </xf>
    <xf numFmtId="164" fontId="5" fillId="7" borderId="23" applyAlignment="1" pivotButton="0" quotePrefix="0" xfId="1">
      <alignment horizontal="center" vertical="center" wrapText="1" shrinkToFit="1"/>
    </xf>
    <xf numFmtId="164" fontId="42" fillId="8" borderId="24" applyAlignment="1" pivotButton="0" quotePrefix="1" xfId="1">
      <alignment horizontal="center" vertical="center"/>
    </xf>
    <xf numFmtId="164" fontId="5" fillId="7" borderId="24" applyAlignment="1" pivotButton="0" quotePrefix="0" xfId="3">
      <alignment horizontal="left" vertical="center" wrapText="1" shrinkToFit="1"/>
    </xf>
    <xf numFmtId="1" fontId="5" fillId="7" borderId="24" applyAlignment="1" pivotButton="0" quotePrefix="1" xfId="3">
      <alignment horizontal="center" vertical="center" wrapText="1" shrinkToFit="1"/>
    </xf>
    <xf numFmtId="164" fontId="5" fillId="7" borderId="24" applyAlignment="1" pivotButton="0" quotePrefix="0" xfId="3">
      <alignment horizontal="center" vertical="center" wrapText="1" shrinkToFit="1"/>
    </xf>
    <xf numFmtId="164" fontId="25" fillId="7" borderId="24" applyAlignment="1" pivotButton="0" quotePrefix="0" xfId="3">
      <alignment horizontal="left" vertical="center" wrapText="1" shrinkToFit="1"/>
    </xf>
    <xf numFmtId="1" fontId="25" fillId="7" borderId="24" applyAlignment="1" pivotButton="0" quotePrefix="1" xfId="3">
      <alignment horizontal="center" vertical="center" wrapText="1" shrinkToFit="1"/>
    </xf>
    <xf numFmtId="14" fontId="25" fillId="7" borderId="24" applyAlignment="1" pivotButton="0" quotePrefix="1" xfId="3">
      <alignment horizontal="center" vertical="center" wrapText="1" shrinkToFit="1"/>
    </xf>
    <xf numFmtId="0" fontId="5" fillId="0" borderId="24" applyAlignment="1" pivotButton="0" quotePrefix="0" xfId="0">
      <alignment horizontal="center"/>
    </xf>
    <xf numFmtId="41" fontId="5" fillId="0" borderId="0" applyAlignment="1" pivotButton="0" quotePrefix="0" xfId="0">
      <alignment horizontal="center"/>
    </xf>
    <xf numFmtId="9" fontId="5" fillId="7" borderId="24" applyAlignment="1" pivotButton="0" quotePrefix="0" xfId="2">
      <alignment horizontal="center" vertical="center" wrapText="1" shrinkToFit="1"/>
    </xf>
    <xf numFmtId="0" fontId="16" fillId="2" borderId="1" applyAlignment="1" pivotButton="0" quotePrefix="0" xfId="3">
      <alignment horizontal="center" vertical="center" wrapText="1"/>
    </xf>
    <xf numFmtId="1" fontId="5" fillId="2" borderId="1" applyAlignment="1" pivotButton="0" quotePrefix="1" xfId="3">
      <alignment horizontal="center" vertical="center" wrapText="1" shrinkToFit="1"/>
    </xf>
    <xf numFmtId="14" fontId="5" fillId="2" borderId="1" applyAlignment="1" pivotButton="0" quotePrefix="1" xfId="3">
      <alignment horizontal="center" vertical="center" wrapText="1" shrinkToFit="1"/>
    </xf>
    <xf numFmtId="164" fontId="5" fillId="7" borderId="1" applyAlignment="1" pivotButton="0" quotePrefix="0" xfId="3">
      <alignment horizontal="center" vertical="center" wrapText="1" shrinkToFit="1"/>
    </xf>
    <xf numFmtId="9" fontId="5" fillId="2" borderId="1" applyAlignment="1" pivotButton="0" quotePrefix="0" xfId="2">
      <alignment horizontal="center" vertical="center" wrapText="1" shrinkToFit="1"/>
    </xf>
    <xf numFmtId="164" fontId="5" fillId="2" borderId="1" applyAlignment="1" pivotButton="0" quotePrefix="0" xfId="3">
      <alignment horizontal="center" vertical="center" wrapText="1" shrinkToFit="1"/>
    </xf>
    <xf numFmtId="164" fontId="5" fillId="2" borderId="1" applyAlignment="1" pivotButton="0" quotePrefix="0" xfId="5">
      <alignment horizontal="left" vertical="center" wrapText="1" shrinkToFit="1"/>
    </xf>
    <xf numFmtId="164" fontId="25" fillId="2" borderId="1" applyAlignment="1" pivotButton="0" quotePrefix="0" xfId="5">
      <alignment horizontal="left" vertical="center" wrapText="1" shrinkToFit="1"/>
    </xf>
    <xf numFmtId="164" fontId="5" fillId="7" borderId="5" applyAlignment="1" pivotButton="0" quotePrefix="0" xfId="3">
      <alignment horizontal="left" vertical="center" wrapText="1" shrinkToFit="1"/>
    </xf>
    <xf numFmtId="0" fontId="16" fillId="2" borderId="5" applyAlignment="1" pivotButton="0" quotePrefix="0" xfId="3">
      <alignment horizontal="center" vertical="center" wrapText="1"/>
    </xf>
    <xf numFmtId="1" fontId="5" fillId="7" borderId="5" applyAlignment="1" pivotButton="0" quotePrefix="1" xfId="3">
      <alignment horizontal="center" vertical="center" wrapText="1" shrinkToFit="1"/>
    </xf>
    <xf numFmtId="14" fontId="5" fillId="7" borderId="5" applyAlignment="1" pivotButton="0" quotePrefix="1" xfId="3">
      <alignment horizontal="center" vertical="center" wrapText="1" shrinkToFit="1"/>
    </xf>
    <xf numFmtId="164" fontId="5" fillId="7" borderId="5" applyAlignment="1" pivotButton="0" quotePrefix="0" xfId="3">
      <alignment horizontal="center" vertical="center" wrapText="1" shrinkToFit="1"/>
    </xf>
    <xf numFmtId="9" fontId="5" fillId="7" borderId="5" applyAlignment="1" pivotButton="0" quotePrefix="0" xfId="2">
      <alignment horizontal="center" vertical="center" wrapText="1" shrinkToFit="1"/>
    </xf>
    <xf numFmtId="164" fontId="25" fillId="2" borderId="5" applyAlignment="1" pivotButton="0" quotePrefix="0" xfId="3">
      <alignment horizontal="left" vertical="center" wrapText="1" shrinkToFit="1"/>
    </xf>
    <xf numFmtId="3" fontId="5" fillId="0" borderId="24" applyAlignment="1" pivotButton="0" quotePrefix="0" xfId="0">
      <alignment horizontal="center"/>
    </xf>
    <xf numFmtId="3" fontId="5" fillId="0" borderId="17" applyAlignment="1" pivotButton="0" quotePrefix="0" xfId="0">
      <alignment horizontal="center" vertical="center"/>
    </xf>
    <xf numFmtId="3" fontId="5" fillId="0" borderId="17" applyAlignment="1" pivotButton="0" quotePrefix="0" xfId="0">
      <alignment horizontal="center"/>
    </xf>
    <xf numFmtId="49" fontId="5" fillId="0" borderId="24" pivotButton="0" quotePrefix="1" xfId="4"/>
    <xf numFmtId="165" fontId="11" fillId="0" borderId="24" applyAlignment="1" pivotButton="0" quotePrefix="0" xfId="0">
      <alignment horizontal="center"/>
    </xf>
    <xf numFmtId="0" fontId="5" fillId="2" borderId="24" applyAlignment="1" pivotButton="0" quotePrefix="1" xfId="0">
      <alignment horizontal="left"/>
    </xf>
    <xf numFmtId="165" fontId="11" fillId="0" borderId="0" pivotButton="0" quotePrefix="0" xfId="0"/>
    <xf numFmtId="165" fontId="11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/>
    </xf>
    <xf numFmtId="165" fontId="13" fillId="0" borderId="0" applyAlignment="1" pivotButton="0" quotePrefix="0" xfId="0">
      <alignment horizontal="center"/>
    </xf>
    <xf numFmtId="0" fontId="40" fillId="0" borderId="14" applyAlignment="1" pivotButton="0" quotePrefix="0" xfId="0">
      <alignment horizontal="center" vertical="center" wrapText="1"/>
    </xf>
    <xf numFmtId="165" fontId="40" fillId="0" borderId="15" applyAlignment="1" pivotButton="0" quotePrefix="0" xfId="0">
      <alignment horizontal="center" vertical="center"/>
    </xf>
    <xf numFmtId="14" fontId="40" fillId="0" borderId="15" applyAlignment="1" pivotButton="0" quotePrefix="0" xfId="0">
      <alignment horizontal="center" vertical="center"/>
    </xf>
    <xf numFmtId="0" fontId="40" fillId="0" borderId="13" applyAlignment="1" pivotButton="0" quotePrefix="0" xfId="0">
      <alignment horizontal="center" vertical="center"/>
    </xf>
    <xf numFmtId="3" fontId="5" fillId="0" borderId="13" applyAlignment="1" pivotButton="0" quotePrefix="0" xfId="0">
      <alignment horizontal="center"/>
    </xf>
    <xf numFmtId="164" fontId="5" fillId="0" borderId="13" applyAlignment="1" pivotButton="0" quotePrefix="0" xfId="1">
      <alignment horizontal="center" vertical="center"/>
    </xf>
    <xf numFmtId="165" fontId="11" fillId="0" borderId="20" applyAlignment="1" pivotButton="0" quotePrefix="0" xfId="0">
      <alignment horizontal="center"/>
    </xf>
    <xf numFmtId="14" fontId="5" fillId="0" borderId="20" applyAlignment="1" pivotButton="0" quotePrefix="0" xfId="0">
      <alignment horizontal="center"/>
    </xf>
    <xf numFmtId="3" fontId="5" fillId="0" borderId="24" applyAlignment="1" pivotButton="0" quotePrefix="0" xfId="0">
      <alignment horizontal="center" vertical="center"/>
    </xf>
    <xf numFmtId="165" fontId="29" fillId="0" borderId="20" applyAlignment="1" pivotButton="0" quotePrefix="0" xfId="0">
      <alignment horizontal="center"/>
    </xf>
    <xf numFmtId="165" fontId="41" fillId="0" borderId="20" applyAlignment="1" pivotButton="0" quotePrefix="0" xfId="0">
      <alignment horizontal="center"/>
    </xf>
    <xf numFmtId="3" fontId="5" fillId="0" borderId="13" applyAlignment="1" pivotButton="0" quotePrefix="0" xfId="0">
      <alignment horizontal="center" vertical="center"/>
    </xf>
    <xf numFmtId="49" fontId="5" fillId="0" borderId="20" pivotButton="0" quotePrefix="1" xfId="4"/>
    <xf numFmtId="49" fontId="5" fillId="0" borderId="8" pivotButton="0" quotePrefix="1" xfId="4"/>
    <xf numFmtId="164" fontId="5" fillId="0" borderId="13" applyAlignment="1" pivotButton="0" quotePrefix="0" xfId="1">
      <alignment horizontal="right"/>
    </xf>
    <xf numFmtId="49" fontId="5" fillId="0" borderId="19" pivotButton="0" quotePrefix="1" xfId="4"/>
    <xf numFmtId="49" fontId="5" fillId="0" borderId="11" pivotButton="0" quotePrefix="1" xfId="4"/>
    <xf numFmtId="164" fontId="5" fillId="0" borderId="20" applyAlignment="1" pivotButton="0" quotePrefix="0" xfId="1">
      <alignment horizontal="right"/>
    </xf>
    <xf numFmtId="3" fontId="5" fillId="0" borderId="20" applyAlignment="1" pivotButton="0" quotePrefix="0" xfId="0">
      <alignment horizontal="center" vertical="center"/>
    </xf>
    <xf numFmtId="3" fontId="5" fillId="0" borderId="20" applyAlignment="1" pivotButton="0" quotePrefix="0" xfId="0">
      <alignment horizontal="center"/>
    </xf>
    <xf numFmtId="0" fontId="5" fillId="0" borderId="23" applyAlignment="1" pivotButton="0" quotePrefix="0" xfId="3">
      <alignment horizontal="center" vertical="center" shrinkToFit="1"/>
    </xf>
    <xf numFmtId="164" fontId="5" fillId="2" borderId="24" applyAlignment="1" pivotButton="0" quotePrefix="0" xfId="5">
      <alignment horizontal="left" vertical="center" wrapText="1" shrinkToFit="1"/>
    </xf>
    <xf numFmtId="49" fontId="42" fillId="8" borderId="24" applyAlignment="1" pivotButton="0" quotePrefix="1" xfId="1">
      <alignment horizontal="center"/>
    </xf>
    <xf numFmtId="49" fontId="5" fillId="2" borderId="24" applyAlignment="1" pivotButton="0" quotePrefix="1" xfId="4">
      <alignment horizontal="center" vertical="center" wrapText="1"/>
    </xf>
    <xf numFmtId="164" fontId="42" fillId="8" borderId="24" applyAlignment="1" pivotButton="0" quotePrefix="1" xfId="1">
      <alignment horizontal="center"/>
    </xf>
    <xf numFmtId="165" fontId="39" fillId="0" borderId="24" applyAlignment="1" pivotButton="0" quotePrefix="0" xfId="0">
      <alignment horizontal="center"/>
    </xf>
    <xf numFmtId="49" fontId="42" fillId="0" borderId="24" applyAlignment="1" pivotButton="0" quotePrefix="1" xfId="1">
      <alignment horizontal="center"/>
    </xf>
    <xf numFmtId="0" fontId="5" fillId="0" borderId="24" applyAlignment="1" pivotButton="0" quotePrefix="1" xfId="0">
      <alignment horizontal="left"/>
    </xf>
    <xf numFmtId="164" fontId="25" fillId="0" borderId="24" applyAlignment="1" pivotButton="0" quotePrefix="0" xfId="1">
      <alignment vertical="center"/>
    </xf>
    <xf numFmtId="166" fontId="25" fillId="0" borderId="24" applyAlignment="1" pivotButton="0" quotePrefix="0" xfId="1">
      <alignment vertical="center"/>
    </xf>
    <xf numFmtId="166" fontId="25" fillId="0" borderId="24" applyAlignment="1" pivotButton="0" quotePrefix="0" xfId="1">
      <alignment horizontal="left" vertical="center" indent="1"/>
    </xf>
    <xf numFmtId="164" fontId="12" fillId="0" borderId="24" applyAlignment="1" pivotButton="0" quotePrefix="0" xfId="1">
      <alignment vertical="center"/>
    </xf>
    <xf numFmtId="165" fontId="41" fillId="0" borderId="24" applyAlignment="1" pivotButton="0" quotePrefix="0" xfId="0">
      <alignment horizontal="center"/>
    </xf>
    <xf numFmtId="164" fontId="42" fillId="0" borderId="24" applyAlignment="1" pivotButton="0" quotePrefix="1" xfId="1">
      <alignment horizontal="center"/>
    </xf>
    <xf numFmtId="0" fontId="11" fillId="0" borderId="24" applyAlignment="1" pivotButton="0" quotePrefix="0" xfId="0">
      <alignment horizontal="center" vertical="center"/>
    </xf>
    <xf numFmtId="14" fontId="5" fillId="0" borderId="24" applyAlignment="1" pivotButton="0" quotePrefix="0" xfId="0">
      <alignment horizontal="center" vertical="center"/>
    </xf>
    <xf numFmtId="164" fontId="25" fillId="0" borderId="24" applyAlignment="1" pivotButton="0" quotePrefix="0" xfId="1">
      <alignment horizontal="center" vertical="center"/>
    </xf>
    <xf numFmtId="49" fontId="5" fillId="0" borderId="24" applyAlignment="1" pivotButton="0" quotePrefix="1" xfId="4">
      <alignment vertical="center"/>
    </xf>
    <xf numFmtId="164" fontId="5" fillId="0" borderId="17" applyAlignment="1" pivotButton="0" quotePrefix="0" xfId="1">
      <alignment horizontal="center" vertical="center"/>
    </xf>
    <xf numFmtId="165" fontId="11" fillId="0" borderId="5" applyAlignment="1" pivotButton="0" quotePrefix="0" xfId="0">
      <alignment horizontal="center"/>
    </xf>
    <xf numFmtId="14" fontId="5" fillId="0" borderId="5" applyAlignment="1" pivotButton="0" quotePrefix="0" xfId="0">
      <alignment horizontal="center"/>
    </xf>
    <xf numFmtId="165" fontId="29" fillId="0" borderId="5" applyAlignment="1" pivotButton="0" quotePrefix="0" xfId="0">
      <alignment horizontal="center"/>
    </xf>
    <xf numFmtId="165" fontId="41" fillId="0" borderId="5" applyAlignment="1" pivotButton="0" quotePrefix="0" xfId="0">
      <alignment horizontal="center"/>
    </xf>
    <xf numFmtId="49" fontId="5" fillId="0" borderId="5" pivotButton="0" quotePrefix="1" xfId="4"/>
    <xf numFmtId="14" fontId="5" fillId="0" borderId="24" applyAlignment="1" pivotButton="0" quotePrefix="0" xfId="0">
      <alignment horizontal="center"/>
    </xf>
    <xf numFmtId="49" fontId="5" fillId="0" borderId="24" applyAlignment="1" pivotButton="0" quotePrefix="1" xfId="4">
      <alignment horizontal="center"/>
    </xf>
    <xf numFmtId="0" fontId="25" fillId="0" borderId="24" applyAlignment="1" pivotButton="0" quotePrefix="0" xfId="0">
      <alignment vertical="center"/>
    </xf>
    <xf numFmtId="0" fontId="11" fillId="0" borderId="24" applyAlignment="1" pivotButton="0" quotePrefix="1" xfId="0">
      <alignment horizontal="left"/>
    </xf>
    <xf numFmtId="165" fontId="29" fillId="0" borderId="24" applyAlignment="1" pivotButton="0" quotePrefix="0" xfId="0">
      <alignment horizontal="center"/>
    </xf>
    <xf numFmtId="0" fontId="25" fillId="2" borderId="24" applyAlignment="1" pivotButton="0" quotePrefix="0" xfId="0">
      <alignment vertical="center"/>
    </xf>
    <xf numFmtId="166" fontId="25" fillId="2" borderId="24" applyAlignment="1" pivotButton="0" quotePrefix="0" xfId="1">
      <alignment horizontal="left" vertical="center" indent="1"/>
    </xf>
    <xf numFmtId="0" fontId="10" fillId="2" borderId="24" applyAlignment="1" pivotButton="0" quotePrefix="0" xfId="3">
      <alignment horizontal="center" vertical="center" wrapText="1"/>
    </xf>
    <xf numFmtId="0" fontId="18" fillId="2" borderId="24" applyAlignment="1" pivotButton="0" quotePrefix="0" xfId="3">
      <alignment horizontal="center" vertical="center"/>
    </xf>
    <xf numFmtId="0" fontId="5" fillId="7" borderId="24" applyAlignment="1" pivotButton="0" quotePrefix="1" xfId="3">
      <alignment horizontal="center" vertical="center" wrapText="1" shrinkToFit="1"/>
    </xf>
    <xf numFmtId="0" fontId="11" fillId="2" borderId="11" applyAlignment="1" pivotButton="0" quotePrefix="0" xfId="3">
      <alignment horizontal="center" vertical="center" wrapText="1"/>
    </xf>
    <xf numFmtId="0" fontId="11" fillId="2" borderId="7" applyAlignment="1" pivotButton="0" quotePrefix="0" xfId="3">
      <alignment horizontal="center" vertical="center" wrapText="1"/>
    </xf>
    <xf numFmtId="164" fontId="10" fillId="2" borderId="6" applyAlignment="1" pivotButton="0" quotePrefix="0" xfId="5">
      <alignment horizontal="left" vertical="center" wrapText="1"/>
    </xf>
    <xf numFmtId="164" fontId="16" fillId="2" borderId="6" applyAlignment="1" pivotButton="0" quotePrefix="0" xfId="5">
      <alignment horizontal="center" vertical="center" wrapText="1"/>
    </xf>
    <xf numFmtId="0" fontId="26" fillId="2" borderId="6" pivotButton="0" quotePrefix="0" xfId="3"/>
    <xf numFmtId="164" fontId="25" fillId="2" borderId="5" applyAlignment="1" pivotButton="0" quotePrefix="0" xfId="5">
      <alignment horizontal="left" vertical="center" wrapText="1" shrinkToFit="1"/>
    </xf>
    <xf numFmtId="49" fontId="5" fillId="7" borderId="24" applyAlignment="1" pivotButton="0" quotePrefix="0" xfId="3">
      <alignment horizontal="center" vertical="center" wrapText="1" shrinkToFit="1"/>
    </xf>
    <xf numFmtId="0" fontId="4" fillId="2" borderId="0" applyAlignment="1" pivotButton="0" quotePrefix="1" xfId="3">
      <alignment vertical="top"/>
    </xf>
    <xf numFmtId="0" fontId="4" fillId="2" borderId="0" applyAlignment="1" pivotButton="0" quotePrefix="0" xfId="3">
      <alignment wrapText="1"/>
    </xf>
    <xf numFmtId="0" fontId="5" fillId="0" borderId="7" applyAlignment="1" pivotButton="0" quotePrefix="0" xfId="3">
      <alignment vertical="center" shrinkToFit="1"/>
    </xf>
    <xf numFmtId="164" fontId="5" fillId="7" borderId="3" applyAlignment="1" pivotButton="0" quotePrefix="0" xfId="3">
      <alignment horizontal="left" vertical="center" wrapText="1" shrinkToFit="1"/>
    </xf>
    <xf numFmtId="0" fontId="5" fillId="0" borderId="6" applyAlignment="1" pivotButton="0" quotePrefix="0" xfId="3">
      <alignment vertical="center" shrinkToFit="1"/>
    </xf>
    <xf numFmtId="41" fontId="5" fillId="7" borderId="24" applyAlignment="1" pivotButton="0" quotePrefix="0" xfId="3">
      <alignment vertical="center" wrapText="1" shrinkToFit="1"/>
    </xf>
    <xf numFmtId="0" fontId="21" fillId="0" borderId="0" pivotButton="0" quotePrefix="0" xfId="3"/>
    <xf numFmtId="0" fontId="22" fillId="0" borderId="0" pivotButton="0" quotePrefix="0" xfId="3"/>
    <xf numFmtId="0" fontId="14" fillId="0" borderId="0" applyAlignment="1" pivotButton="0" quotePrefix="0" xfId="3">
      <alignment vertical="center"/>
    </xf>
    <xf numFmtId="164" fontId="25" fillId="7" borderId="25" applyAlignment="1" pivotButton="0" quotePrefix="0" xfId="3">
      <alignment horizontal="left" vertical="center" wrapText="1" shrinkToFit="1"/>
    </xf>
    <xf numFmtId="0" fontId="5" fillId="2" borderId="0" applyAlignment="1" pivotButton="0" quotePrefix="0" xfId="3">
      <alignment vertical="center"/>
    </xf>
    <xf numFmtId="0" fontId="5" fillId="2" borderId="6" applyAlignment="1" pivotButton="0" quotePrefix="0" xfId="3">
      <alignment vertical="center" wrapText="1"/>
    </xf>
    <xf numFmtId="164" fontId="5" fillId="7" borderId="23" applyAlignment="1" pivotButton="0" quotePrefix="0" xfId="3">
      <alignment vertical="center" wrapText="1" shrinkToFit="1"/>
    </xf>
    <xf numFmtId="0" fontId="16" fillId="2" borderId="23" applyAlignment="1" pivotButton="0" quotePrefix="0" xfId="3">
      <alignment vertical="center" wrapText="1"/>
    </xf>
    <xf numFmtId="0" fontId="16" fillId="2" borderId="24" applyAlignment="1" pivotButton="0" quotePrefix="0" xfId="3">
      <alignment vertical="center" wrapText="1"/>
    </xf>
    <xf numFmtId="164" fontId="5" fillId="7" borderId="5" applyAlignment="1" pivotButton="0" quotePrefix="0" xfId="3">
      <alignment vertical="center" wrapText="1" shrinkToFit="1"/>
    </xf>
    <xf numFmtId="164" fontId="5" fillId="7" borderId="23" applyAlignment="1" pivotButton="0" quotePrefix="0" xfId="3">
      <alignment wrapText="1" shrinkToFit="1"/>
    </xf>
    <xf numFmtId="0" fontId="16" fillId="2" borderId="1" applyAlignment="1" pivotButton="0" quotePrefix="0" xfId="3">
      <alignment vertical="center" wrapText="1"/>
    </xf>
    <xf numFmtId="0" fontId="5" fillId="0" borderId="23" applyAlignment="1" pivotButton="0" quotePrefix="0" xfId="3">
      <alignment vertical="center" shrinkToFit="1"/>
    </xf>
    <xf numFmtId="164" fontId="6" fillId="2" borderId="23" applyAlignment="1" pivotButton="0" quotePrefix="0" xfId="5">
      <alignment vertical="center" shrinkToFit="1"/>
    </xf>
    <xf numFmtId="0" fontId="8" fillId="2" borderId="0" applyAlignment="1" pivotButton="0" quotePrefix="0" xfId="3">
      <alignment vertical="center" wrapText="1"/>
    </xf>
    <xf numFmtId="164" fontId="16" fillId="2" borderId="0" applyAlignment="1" pivotButton="0" quotePrefix="0" xfId="3">
      <alignment vertical="center"/>
    </xf>
    <xf numFmtId="0" fontId="16" fillId="2" borderId="0" applyAlignment="1" pivotButton="0" quotePrefix="0" xfId="3">
      <alignment vertical="center"/>
    </xf>
    <xf numFmtId="14" fontId="5" fillId="2" borderId="6" applyAlignment="1" pivotButton="0" quotePrefix="0" xfId="0">
      <alignment horizontal="center" vertical="center"/>
    </xf>
    <xf numFmtId="164" fontId="5" fillId="2" borderId="3" applyAlignment="1" pivotButton="0" quotePrefix="0" xfId="3">
      <alignment horizontal="left" vertical="center" wrapText="1" shrinkToFit="1"/>
    </xf>
    <xf numFmtId="0" fontId="14" fillId="0" borderId="7" applyAlignment="1" pivotButton="0" quotePrefix="0" xfId="3">
      <alignment vertical="center"/>
    </xf>
    <xf numFmtId="164" fontId="5" fillId="0" borderId="23" applyAlignment="1" pivotButton="0" quotePrefix="0" xfId="3">
      <alignment horizontal="center" vertical="center" wrapText="1" shrinkToFit="1"/>
    </xf>
    <xf numFmtId="164" fontId="5" fillId="7" borderId="1" applyAlignment="1" pivotButton="0" quotePrefix="0" xfId="3">
      <alignment horizontal="left" vertical="center" wrapText="1" shrinkToFit="1"/>
    </xf>
    <xf numFmtId="1" fontId="5" fillId="7" borderId="1" applyAlignment="1" pivotButton="0" quotePrefix="1" xfId="3">
      <alignment horizontal="center" vertical="center" wrapText="1" shrinkToFit="1"/>
    </xf>
    <xf numFmtId="9" fontId="5" fillId="7" borderId="1" applyAlignment="1" pivotButton="0" quotePrefix="0" xfId="2">
      <alignment horizontal="center" vertical="center" wrapText="1" shrinkToFit="1"/>
    </xf>
    <xf numFmtId="0" fontId="16" fillId="0" borderId="5" applyAlignment="1" pivotButton="0" quotePrefix="0" xfId="3">
      <alignment vertical="center" wrapText="1"/>
    </xf>
    <xf numFmtId="1" fontId="5" fillId="0" borderId="5" applyAlignment="1" pivotButton="0" quotePrefix="1" xfId="3">
      <alignment horizontal="center" vertical="center" wrapText="1" shrinkToFit="1"/>
    </xf>
    <xf numFmtId="14" fontId="5" fillId="0" borderId="5" applyAlignment="1" pivotButton="0" quotePrefix="1" xfId="3">
      <alignment horizontal="center" vertical="center" wrapText="1" shrinkToFit="1"/>
    </xf>
    <xf numFmtId="164" fontId="5" fillId="0" borderId="5" applyAlignment="1" pivotButton="0" quotePrefix="0" xfId="3">
      <alignment horizontal="center" vertical="center" wrapText="1" shrinkToFit="1"/>
    </xf>
    <xf numFmtId="9" fontId="5" fillId="0" borderId="5" applyAlignment="1" pivotButton="0" quotePrefix="0" xfId="2">
      <alignment horizontal="center" vertical="center" wrapText="1" shrinkToFit="1"/>
    </xf>
    <xf numFmtId="164" fontId="5" fillId="0" borderId="5" applyAlignment="1" pivotButton="0" quotePrefix="0" xfId="5">
      <alignment horizontal="left" vertical="center" wrapText="1" shrinkToFit="1"/>
    </xf>
    <xf numFmtId="164" fontId="25" fillId="0" borderId="5" applyAlignment="1" pivotButton="0" quotePrefix="0" xfId="5">
      <alignment horizontal="left" vertical="center" wrapText="1" shrinkToFit="1"/>
    </xf>
    <xf numFmtId="164" fontId="5" fillId="2" borderId="24" applyAlignment="1" pivotButton="0" quotePrefix="0" xfId="3">
      <alignment horizontal="left" vertical="center" wrapText="1" shrinkToFit="1"/>
    </xf>
    <xf numFmtId="9" fontId="5" fillId="2" borderId="24" applyAlignment="1" pivotButton="0" quotePrefix="0" xfId="2">
      <alignment horizontal="center" vertical="center" wrapText="1" shrinkToFit="1"/>
    </xf>
    <xf numFmtId="164" fontId="5" fillId="0" borderId="5" applyAlignment="1" pivotButton="0" quotePrefix="0" xfId="3">
      <alignment horizontal="left" vertical="center" wrapText="1" shrinkToFit="1"/>
    </xf>
    <xf numFmtId="164" fontId="5" fillId="0" borderId="24" applyAlignment="1" pivotButton="0" quotePrefix="0" xfId="3">
      <alignment horizontal="center" vertical="center" wrapText="1" shrinkToFit="1"/>
    </xf>
    <xf numFmtId="164" fontId="5" fillId="0" borderId="1" applyAlignment="1" pivotButton="0" quotePrefix="0" xfId="3">
      <alignment horizontal="center" vertical="center" wrapText="1" shrinkToFit="1"/>
    </xf>
    <xf numFmtId="14" fontId="5" fillId="0" borderId="24" applyAlignment="1" pivotButton="0" quotePrefix="1" xfId="3">
      <alignment horizontal="center" vertical="center" wrapText="1" shrinkToFit="1"/>
    </xf>
    <xf numFmtId="164" fontId="5" fillId="2" borderId="24" applyAlignment="1" pivotButton="0" quotePrefix="0" xfId="3">
      <alignment vertical="center" wrapText="1" shrinkToFit="1"/>
    </xf>
    <xf numFmtId="0" fontId="22" fillId="2" borderId="0" pivotButton="0" quotePrefix="0" xfId="3"/>
    <xf numFmtId="0" fontId="26" fillId="2" borderId="24" pivotButton="0" quotePrefix="0" xfId="3"/>
    <xf numFmtId="164" fontId="25" fillId="0" borderId="24" applyAlignment="1" pivotButton="0" quotePrefix="0" xfId="3">
      <alignment horizontal="left" vertical="center" wrapText="1" shrinkToFit="1"/>
    </xf>
    <xf numFmtId="164" fontId="26" fillId="2" borderId="24" pivotButton="0" quotePrefix="0" xfId="3"/>
    <xf numFmtId="49" fontId="5" fillId="2" borderId="8" applyAlignment="1" pivotButton="0" quotePrefix="1" xfId="4">
      <alignment horizontal="center" vertical="center" wrapText="1"/>
    </xf>
    <xf numFmtId="0" fontId="5" fillId="0" borderId="0" pivotButton="0" quotePrefix="0" xfId="0"/>
    <xf numFmtId="0" fontId="11" fillId="0" borderId="0" applyAlignment="1" pivotButton="0" quotePrefix="0" xfId="0">
      <alignment vertical="center"/>
    </xf>
    <xf numFmtId="14" fontId="40" fillId="0" borderId="0" applyAlignment="1" pivotButton="0" quotePrefix="0" xfId="0">
      <alignment horizontal="center"/>
    </xf>
    <xf numFmtId="49" fontId="13" fillId="2" borderId="22" applyAlignment="1" pivotButton="0" quotePrefix="0" xfId="0">
      <alignment vertical="center" wrapText="1"/>
    </xf>
    <xf numFmtId="164" fontId="12" fillId="4" borderId="21" applyAlignment="1" pivotButton="0" quotePrefix="0" xfId="1">
      <alignment horizontal="center" vertical="center" wrapText="1"/>
    </xf>
    <xf numFmtId="164" fontId="12" fillId="0" borderId="22" applyAlignment="1" pivotButton="0" quotePrefix="0" xfId="1">
      <alignment vertical="center"/>
    </xf>
    <xf numFmtId="164" fontId="12" fillId="2" borderId="22" applyAlignment="1" pivotButton="0" quotePrefix="0" xfId="1">
      <alignment vertical="center"/>
    </xf>
    <xf numFmtId="0" fontId="11" fillId="5" borderId="24" applyAlignment="1" pivotButton="0" quotePrefix="0" xfId="0">
      <alignment vertical="center"/>
    </xf>
    <xf numFmtId="164" fontId="5" fillId="0" borderId="23" applyAlignment="1" pivotButton="0" quotePrefix="0" xfId="3">
      <alignment horizontal="left" vertical="center" wrapText="1" shrinkToFit="1"/>
    </xf>
    <xf numFmtId="49" fontId="5" fillId="7" borderId="23" applyAlignment="1" pivotButton="0" quotePrefix="1" xfId="3">
      <alignment horizontal="center" vertical="center" wrapText="1" shrinkToFit="1"/>
    </xf>
    <xf numFmtId="1" fontId="30" fillId="7" borderId="24" applyAlignment="1" pivotButton="0" quotePrefix="1" xfId="3">
      <alignment horizontal="center" vertical="center" wrapText="1" shrinkToFit="1"/>
    </xf>
    <xf numFmtId="9" fontId="5" fillId="0" borderId="23" applyAlignment="1" pivotButton="0" quotePrefix="0" xfId="2">
      <alignment horizontal="center" vertical="center" wrapText="1" shrinkToFit="1"/>
    </xf>
    <xf numFmtId="0" fontId="5" fillId="2" borderId="11" applyAlignment="1" pivotButton="0" quotePrefix="0" xfId="3">
      <alignment horizontal="center" vertical="center" shrinkToFit="1"/>
    </xf>
    <xf numFmtId="0" fontId="5" fillId="2" borderId="7" applyAlignment="1" pivotButton="0" quotePrefix="0" xfId="3">
      <alignment horizontal="center" vertical="center" shrinkToFit="1"/>
    </xf>
    <xf numFmtId="164" fontId="5" fillId="2" borderId="27" applyAlignment="1" pivotButton="0" quotePrefix="0" xfId="3">
      <alignment horizontal="left" vertical="center" wrapText="1" shrinkToFit="1"/>
    </xf>
    <xf numFmtId="0" fontId="5" fillId="0" borderId="23" applyAlignment="1" pivotButton="0" quotePrefix="0" xfId="3">
      <alignment horizontal="left" vertical="center" shrinkToFit="1"/>
    </xf>
    <xf numFmtId="1" fontId="5" fillId="0" borderId="24" applyAlignment="1" pivotButton="0" quotePrefix="1" xfId="3">
      <alignment horizontal="center" vertical="center" wrapText="1" shrinkToFit="1"/>
    </xf>
    <xf numFmtId="9" fontId="5" fillId="0" borderId="24" applyAlignment="1" pivotButton="0" quotePrefix="0" xfId="2">
      <alignment horizontal="center" vertical="center" wrapText="1" shrinkToFit="1"/>
    </xf>
    <xf numFmtId="0" fontId="16" fillId="0" borderId="24" applyAlignment="1" pivotButton="0" quotePrefix="0" xfId="3">
      <alignment horizontal="center" vertical="center" wrapText="1"/>
    </xf>
    <xf numFmtId="41" fontId="25" fillId="0" borderId="24" applyAlignment="1" pivotButton="0" quotePrefix="0" xfId="3">
      <alignment vertical="center" wrapText="1"/>
    </xf>
    <xf numFmtId="0" fontId="25" fillId="0" borderId="24" applyAlignment="1" pivotButton="0" quotePrefix="0" xfId="3">
      <alignment vertical="center"/>
    </xf>
    <xf numFmtId="164" fontId="25" fillId="0" borderId="24" applyAlignment="1" pivotButton="0" quotePrefix="0" xfId="5">
      <alignment horizontal="left" vertical="center" wrapText="1" shrinkToFit="1"/>
    </xf>
    <xf numFmtId="164" fontId="5" fillId="0" borderId="24" applyAlignment="1" pivotButton="0" quotePrefix="1" xfId="3">
      <alignment horizontal="center" vertical="center" wrapText="1" shrinkToFit="1"/>
    </xf>
    <xf numFmtId="164" fontId="5" fillId="0" borderId="24" applyAlignment="1" pivotButton="0" quotePrefix="0" xfId="5">
      <alignment horizontal="left" vertical="center" wrapText="1" shrinkToFit="1"/>
    </xf>
    <xf numFmtId="0" fontId="5" fillId="0" borderId="24" applyAlignment="1" pivotButton="0" quotePrefix="1" xfId="1">
      <alignment horizontal="center" vertical="center" wrapText="1" shrinkToFit="1"/>
    </xf>
    <xf numFmtId="164" fontId="5" fillId="0" borderId="24" applyAlignment="1" pivotButton="0" quotePrefix="0" xfId="1">
      <alignment horizontal="center" vertical="center" wrapText="1" shrinkToFit="1"/>
    </xf>
    <xf numFmtId="0" fontId="5" fillId="7" borderId="24" applyAlignment="1" pivotButton="0" quotePrefix="0" xfId="3">
      <alignment vertical="center" shrinkToFit="1"/>
    </xf>
    <xf numFmtId="14" fontId="5" fillId="7" borderId="28" applyAlignment="1" pivotButton="0" quotePrefix="1" xfId="3">
      <alignment horizontal="center" vertical="center" wrapText="1" shrinkToFit="1"/>
    </xf>
    <xf numFmtId="0" fontId="5" fillId="0" borderId="24" applyAlignment="1" pivotButton="0" quotePrefix="1" xfId="0">
      <alignment horizontal="center" vertical="center"/>
    </xf>
    <xf numFmtId="165" fontId="5" fillId="0" borderId="24" applyAlignment="1" pivotButton="0" quotePrefix="0" xfId="0">
      <alignment horizontal="center"/>
    </xf>
    <xf numFmtId="49" fontId="5" fillId="0" borderId="8" applyAlignment="1" pivotButton="0" quotePrefix="1" xfId="4">
      <alignment horizontal="center"/>
    </xf>
    <xf numFmtId="164" fontId="42" fillId="8" borderId="18" applyAlignment="1" pivotButton="0" quotePrefix="1" xfId="1">
      <alignment horizontal="center"/>
    </xf>
    <xf numFmtId="49" fontId="5" fillId="7" borderId="24" applyAlignment="1" pivotButton="0" quotePrefix="1" xfId="3">
      <alignment horizontal="center" vertical="center" wrapText="1" shrinkToFit="1"/>
    </xf>
    <xf numFmtId="1" fontId="5" fillId="7" borderId="28" applyAlignment="1" pivotButton="0" quotePrefix="1" xfId="3">
      <alignment horizontal="center" vertical="center" wrapText="1" shrinkToFit="1"/>
    </xf>
    <xf numFmtId="164" fontId="25" fillId="2" borderId="28" applyAlignment="1" pivotButton="0" quotePrefix="0" xfId="3">
      <alignment horizontal="left" vertical="center" wrapText="1" shrinkToFit="1"/>
    </xf>
    <xf numFmtId="0" fontId="5" fillId="0" borderId="6" applyAlignment="1" pivotButton="0" quotePrefix="0" xfId="3">
      <alignment horizontal="center" vertical="center" shrinkToFit="1"/>
    </xf>
    <xf numFmtId="164" fontId="5" fillId="7" borderId="24" applyAlignment="1" pivotButton="0" quotePrefix="0" xfId="3">
      <alignment vertical="center" wrapText="1" shrinkToFit="1"/>
    </xf>
    <xf numFmtId="165" fontId="11" fillId="2" borderId="24" pivotButton="0" quotePrefix="0" xfId="0"/>
    <xf numFmtId="0" fontId="5" fillId="0" borderId="24" applyAlignment="1" pivotButton="0" quotePrefix="0" xfId="0">
      <alignment horizontal="left"/>
    </xf>
    <xf numFmtId="0" fontId="11" fillId="0" borderId="24" applyAlignment="1" pivotButton="0" quotePrefix="0" xfId="0">
      <alignment horizontal="center"/>
    </xf>
    <xf numFmtId="0" fontId="11" fillId="0" borderId="24" applyAlignment="1" pivotButton="0" quotePrefix="0" xfId="0">
      <alignment horizontal="left" vertical="center"/>
    </xf>
    <xf numFmtId="165" fontId="5" fillId="0" borderId="24" applyAlignment="1" pivotButton="0" quotePrefix="0" xfId="0">
      <alignment horizontal="center" vertical="center"/>
    </xf>
    <xf numFmtId="0" fontId="25" fillId="2" borderId="24" applyAlignment="1" pivotButton="0" quotePrefix="0" xfId="0">
      <alignment vertical="center" wrapText="1"/>
    </xf>
    <xf numFmtId="0" fontId="5" fillId="2" borderId="24" applyAlignment="1" pivotButton="0" quotePrefix="0" xfId="0">
      <alignment vertical="center" wrapText="1"/>
    </xf>
    <xf numFmtId="0" fontId="13" fillId="2" borderId="24" applyAlignment="1" pivotButton="0" quotePrefix="0" xfId="0">
      <alignment vertical="center" wrapText="1"/>
    </xf>
    <xf numFmtId="165" fontId="11" fillId="3" borderId="24" pivotButton="0" quotePrefix="0" xfId="0"/>
    <xf numFmtId="165" fontId="39" fillId="3" borderId="24" applyAlignment="1" pivotButton="0" quotePrefix="0" xfId="0">
      <alignment horizontal="center"/>
    </xf>
    <xf numFmtId="165" fontId="11" fillId="0" borderId="24" applyAlignment="1" pivotButton="0" quotePrefix="0" xfId="0">
      <alignment wrapText="1"/>
    </xf>
    <xf numFmtId="165" fontId="11" fillId="0" borderId="24" applyAlignment="1" pivotButton="0" quotePrefix="0" xfId="0">
      <alignment horizontal="center" wrapText="1"/>
    </xf>
    <xf numFmtId="165" fontId="11" fillId="0" borderId="24" pivotButton="0" quotePrefix="0" xfId="0"/>
    <xf numFmtId="164" fontId="12" fillId="2" borderId="24" applyAlignment="1" pivotButton="0" quotePrefix="0" xfId="1">
      <alignment vertical="center"/>
    </xf>
    <xf numFmtId="0" fontId="40" fillId="0" borderId="24" applyAlignment="1" pivotButton="0" quotePrefix="0" xfId="0">
      <alignment horizontal="center"/>
    </xf>
    <xf numFmtId="0" fontId="40" fillId="4" borderId="24" applyAlignment="1" pivotButton="0" quotePrefix="0" xfId="0">
      <alignment horizontal="center" vertical="center" wrapText="1"/>
    </xf>
    <xf numFmtId="165" fontId="11" fillId="0" borderId="24" applyAlignment="1" pivotButton="0" quotePrefix="0" xfId="0">
      <alignment horizontal="center" vertical="center"/>
    </xf>
    <xf numFmtId="14" fontId="40" fillId="0" borderId="24" applyAlignment="1" pivotButton="0" quotePrefix="0" xfId="0">
      <alignment horizontal="center" vertical="center"/>
    </xf>
    <xf numFmtId="165" fontId="40" fillId="0" borderId="24" applyAlignment="1" pivotButton="0" quotePrefix="0" xfId="0">
      <alignment horizontal="center" vertical="center"/>
    </xf>
    <xf numFmtId="0" fontId="40" fillId="0" borderId="24" applyAlignment="1" pivotButton="0" quotePrefix="0" xfId="0">
      <alignment horizontal="center" vertical="center"/>
    </xf>
    <xf numFmtId="165" fontId="40" fillId="0" borderId="24" applyAlignment="1" pivotButton="0" quotePrefix="0" xfId="0">
      <alignment horizontal="center" vertical="center" wrapText="1"/>
    </xf>
    <xf numFmtId="14" fontId="11" fillId="0" borderId="24" applyAlignment="1" pivotButton="0" quotePrefix="0" xfId="0">
      <alignment horizontal="center" vertical="center"/>
    </xf>
    <xf numFmtId="164" fontId="12" fillId="4" borderId="24" applyAlignment="1" pivotButton="0" quotePrefix="0" xfId="1">
      <alignment horizontal="center" vertical="center"/>
    </xf>
    <xf numFmtId="166" fontId="12" fillId="4" borderId="24" applyAlignment="1" pivotButton="0" quotePrefix="0" xfId="1">
      <alignment horizontal="center" vertical="center" wrapText="1"/>
    </xf>
    <xf numFmtId="164" fontId="12" fillId="4" borderId="24" applyAlignment="1" pivotButton="0" quotePrefix="0" xfId="1">
      <alignment horizontal="center" vertical="center" wrapText="1"/>
    </xf>
    <xf numFmtId="0" fontId="12" fillId="4" borderId="24" applyAlignment="1" pivotButton="0" quotePrefix="0" xfId="0">
      <alignment horizontal="center" vertical="center" wrapText="1"/>
    </xf>
    <xf numFmtId="0" fontId="11" fillId="4" borderId="24" applyAlignment="1" pivotButton="0" quotePrefix="0" xfId="0">
      <alignment horizontal="center" vertical="center" wrapText="1"/>
    </xf>
    <xf numFmtId="166" fontId="36" fillId="3" borderId="24" applyAlignment="1" pivotButton="0" quotePrefix="0" xfId="0">
      <alignment vertical="center"/>
    </xf>
    <xf numFmtId="3" fontId="5" fillId="2" borderId="24" applyAlignment="1" pivotButton="0" quotePrefix="0" xfId="0">
      <alignment horizontal="center" vertical="center"/>
    </xf>
    <xf numFmtId="3" fontId="5" fillId="2" borderId="24" applyAlignment="1" pivotButton="0" quotePrefix="0" xfId="0">
      <alignment horizontal="center"/>
    </xf>
    <xf numFmtId="164" fontId="5" fillId="8" borderId="24" applyAlignment="1" pivotButton="0" quotePrefix="0" xfId="1">
      <alignment horizontal="center" vertical="center"/>
    </xf>
    <xf numFmtId="165" fontId="41" fillId="2" borderId="24" applyAlignment="1" pivotButton="0" quotePrefix="0" xfId="0">
      <alignment horizontal="center"/>
    </xf>
    <xf numFmtId="164" fontId="5" fillId="8" borderId="24" applyAlignment="1" pivotButton="0" quotePrefix="0" xfId="1">
      <alignment horizontal="right"/>
    </xf>
    <xf numFmtId="164" fontId="5" fillId="0" borderId="24" applyAlignment="1" pivotButton="0" quotePrefix="0" xfId="1">
      <alignment horizontal="center" vertical="center"/>
    </xf>
    <xf numFmtId="49" fontId="5" fillId="0" borderId="24" applyAlignment="1" pivotButton="0" quotePrefix="1" xfId="4">
      <alignment horizontal="center" vertical="center" wrapText="1"/>
    </xf>
    <xf numFmtId="164" fontId="42" fillId="0" borderId="24" applyAlignment="1" pivotButton="0" quotePrefix="1" xfId="1">
      <alignment horizontal="center" vertical="center"/>
    </xf>
    <xf numFmtId="41" fontId="5" fillId="0" borderId="0" pivotButton="0" quotePrefix="0" xfId="0"/>
    <xf numFmtId="49" fontId="42" fillId="0" borderId="8" applyAlignment="1" pivotButton="0" quotePrefix="1" xfId="1">
      <alignment horizontal="center"/>
    </xf>
    <xf numFmtId="164" fontId="36" fillId="3" borderId="30" applyAlignment="1" pivotButton="0" quotePrefix="0" xfId="1">
      <alignment vertical="center"/>
    </xf>
    <xf numFmtId="164" fontId="36" fillId="3" borderId="30" applyAlignment="1" pivotButton="0" quotePrefix="0" xfId="1">
      <alignment horizontal="left" vertical="center" indent="1"/>
    </xf>
    <xf numFmtId="166" fontId="36" fillId="3" borderId="30" applyAlignment="1" pivotButton="0" quotePrefix="0" xfId="1">
      <alignment vertical="center"/>
    </xf>
    <xf numFmtId="166" fontId="36" fillId="3" borderId="30" applyAlignment="1" pivotButton="0" quotePrefix="0" xfId="1">
      <alignment horizontal="left" vertical="center" indent="1"/>
    </xf>
    <xf numFmtId="166" fontId="36" fillId="3" borderId="30" applyAlignment="1" pivotButton="0" quotePrefix="0" xfId="0">
      <alignment vertical="center"/>
    </xf>
    <xf numFmtId="0" fontId="8" fillId="3" borderId="30" applyAlignment="1" pivotButton="0" quotePrefix="0" xfId="0">
      <alignment horizontal="center" vertical="center"/>
    </xf>
    <xf numFmtId="166" fontId="15" fillId="3" borderId="30" applyAlignment="1" pivotButton="0" quotePrefix="0" xfId="1">
      <alignment horizontal="left" vertical="center" indent="1"/>
    </xf>
    <xf numFmtId="166" fontId="15" fillId="3" borderId="31" applyAlignment="1" pivotButton="0" quotePrefix="0" xfId="1">
      <alignment horizontal="left" vertical="center" indent="1"/>
    </xf>
    <xf numFmtId="49" fontId="5" fillId="0" borderId="5" applyAlignment="1" pivotButton="0" quotePrefix="1" xfId="4">
      <alignment horizontal="center" vertical="center" wrapText="1"/>
    </xf>
    <xf numFmtId="0" fontId="5" fillId="0" borderId="5" applyAlignment="1" pivotButton="0" quotePrefix="1" xfId="0">
      <alignment horizontal="left"/>
    </xf>
    <xf numFmtId="164" fontId="25" fillId="0" borderId="5" applyAlignment="1" pivotButton="0" quotePrefix="0" xfId="1">
      <alignment vertical="center"/>
    </xf>
    <xf numFmtId="166" fontId="25" fillId="0" borderId="5" applyAlignment="1" pivotButton="0" quotePrefix="0" xfId="1">
      <alignment vertical="center"/>
    </xf>
    <xf numFmtId="0" fontId="25" fillId="0" borderId="5" applyAlignment="1" pivotButton="0" quotePrefix="0" xfId="0">
      <alignment vertical="center"/>
    </xf>
    <xf numFmtId="0" fontId="11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164" fontId="42" fillId="0" borderId="8" applyAlignment="1" pivotButton="0" quotePrefix="1" xfId="1">
      <alignment horizontal="center" vertical="center"/>
    </xf>
    <xf numFmtId="49" fontId="5" fillId="0" borderId="8" applyAlignment="1" pivotButton="0" quotePrefix="1" xfId="4">
      <alignment horizontal="center" vertical="center" wrapText="1"/>
    </xf>
    <xf numFmtId="0" fontId="11" fillId="0" borderId="5" applyAlignment="1" pivotButton="0" quotePrefix="1" xfId="0">
      <alignment horizontal="left"/>
    </xf>
    <xf numFmtId="166" fontId="25" fillId="0" borderId="5" applyAlignment="1" pivotButton="0" quotePrefix="0" xfId="1">
      <alignment horizontal="left" vertical="center" indent="1"/>
    </xf>
    <xf numFmtId="164" fontId="12" fillId="0" borderId="8" applyAlignment="1" pivotButton="0" quotePrefix="0" xfId="1">
      <alignment vertical="center"/>
    </xf>
    <xf numFmtId="164" fontId="42" fillId="0" borderId="18" applyAlignment="1" pivotButton="0" quotePrefix="1" xfId="1">
      <alignment horizontal="center" vertical="center"/>
    </xf>
    <xf numFmtId="49" fontId="5" fillId="0" borderId="20" applyAlignment="1" pivotButton="0" quotePrefix="1" xfId="4">
      <alignment horizontal="center" vertical="center" wrapText="1"/>
    </xf>
    <xf numFmtId="0" fontId="5" fillId="0" borderId="20" applyAlignment="1" pivotButton="0" quotePrefix="1" xfId="0">
      <alignment horizontal="left"/>
    </xf>
    <xf numFmtId="0" fontId="11" fillId="0" borderId="20" applyAlignment="1" pivotButton="0" quotePrefix="1" xfId="0">
      <alignment horizontal="left"/>
    </xf>
    <xf numFmtId="164" fontId="25" fillId="0" borderId="20" applyAlignment="1" pivotButton="0" quotePrefix="0" xfId="1">
      <alignment vertical="center"/>
    </xf>
    <xf numFmtId="166" fontId="25" fillId="0" borderId="20" applyAlignment="1" pivotButton="0" quotePrefix="0" xfId="1">
      <alignment vertical="center"/>
    </xf>
    <xf numFmtId="164" fontId="25" fillId="0" borderId="23" applyAlignment="1" pivotButton="0" quotePrefix="0" xfId="1">
      <alignment vertical="center"/>
    </xf>
    <xf numFmtId="0" fontId="25" fillId="0" borderId="20" applyAlignment="1" pivotButton="0" quotePrefix="0" xfId="0">
      <alignment vertical="center"/>
    </xf>
    <xf numFmtId="0" fontId="11" fillId="0" borderId="20" applyAlignment="1" pivotButton="0" quotePrefix="0" xfId="0">
      <alignment horizontal="center" vertical="center"/>
    </xf>
    <xf numFmtId="166" fontId="25" fillId="0" borderId="20" applyAlignment="1" pivotButton="0" quotePrefix="0" xfId="1">
      <alignment horizontal="left" vertical="center" indent="1"/>
    </xf>
    <xf numFmtId="166" fontId="25" fillId="0" borderId="24" applyAlignment="1" pivotButton="0" quotePrefix="0" xfId="1">
      <alignment horizontal="center" vertical="center"/>
    </xf>
    <xf numFmtId="41" fontId="5" fillId="0" borderId="0" applyAlignment="1" pivotButton="0" quotePrefix="0" xfId="0">
      <alignment horizontal="center" vertical="center"/>
    </xf>
    <xf numFmtId="164" fontId="5" fillId="7" borderId="4" applyAlignment="1" pivotButton="0" quotePrefix="0" xfId="3">
      <alignment horizontal="left" vertical="center" wrapText="1" shrinkToFit="1"/>
    </xf>
    <xf numFmtId="164" fontId="5" fillId="14" borderId="4" applyAlignment="1" pivotButton="0" quotePrefix="0" xfId="3">
      <alignment horizontal="left" vertical="center" wrapText="1" shrinkToFit="1"/>
    </xf>
    <xf numFmtId="164" fontId="5" fillId="14" borderId="4" applyAlignment="1" pivotButton="0" quotePrefix="0" xfId="3">
      <alignment horizontal="center" vertical="center" wrapText="1" shrinkToFit="1"/>
    </xf>
    <xf numFmtId="164" fontId="25" fillId="14" borderId="4" applyAlignment="1" pivotButton="0" quotePrefix="0" xfId="3">
      <alignment horizontal="left" vertical="center" wrapText="1" shrinkToFit="1"/>
    </xf>
    <xf numFmtId="0" fontId="5" fillId="7" borderId="4" applyAlignment="1" pivotButton="0" quotePrefix="1" xfId="3">
      <alignment vertical="center" wrapText="1" shrinkToFit="1"/>
    </xf>
    <xf numFmtId="14" fontId="5" fillId="0" borderId="5" applyAlignment="1" pivotButton="0" quotePrefix="0" xfId="0">
      <alignment horizontal="center" vertical="center"/>
    </xf>
    <xf numFmtId="0" fontId="5" fillId="0" borderId="5" applyAlignment="1" pivotButton="0" quotePrefix="1" xfId="0">
      <alignment horizontal="center" vertical="center"/>
    </xf>
    <xf numFmtId="164" fontId="25" fillId="0" borderId="5" applyAlignment="1" pivotButton="0" quotePrefix="0" xfId="1">
      <alignment horizontal="center" vertical="center"/>
    </xf>
    <xf numFmtId="164" fontId="5" fillId="7" borderId="24" applyAlignment="1" pivotButton="0" quotePrefix="0" xfId="1">
      <alignment horizontal="right" vertical="center" wrapText="1" shrinkToFit="1"/>
    </xf>
    <xf numFmtId="43" fontId="5" fillId="7" borderId="24" applyAlignment="1" pivotButton="0" quotePrefix="0" xfId="1">
      <alignment vertical="center" wrapText="1" shrinkToFit="1"/>
    </xf>
    <xf numFmtId="0" fontId="5" fillId="7" borderId="4" applyAlignment="1" pivotButton="0" quotePrefix="1" xfId="3">
      <alignment horizontal="center" vertical="center" wrapText="1" shrinkToFit="1"/>
    </xf>
    <xf numFmtId="14" fontId="5" fillId="7" borderId="24" applyAlignment="1" pivotButton="0" quotePrefix="1" xfId="0">
      <alignment horizontal="center" vertical="center"/>
    </xf>
    <xf numFmtId="41" fontId="5" fillId="7" borderId="24" applyAlignment="1" pivotButton="0" quotePrefix="0" xfId="3">
      <alignment horizontal="center" vertical="center" wrapText="1" shrinkToFit="1"/>
    </xf>
    <xf numFmtId="0" fontId="11" fillId="3" borderId="30" applyAlignment="1" pivotButton="0" quotePrefix="0" xfId="0">
      <alignment horizontal="center" vertical="center"/>
    </xf>
    <xf numFmtId="164" fontId="5" fillId="7" borderId="4" applyAlignment="1" pivotButton="0" quotePrefix="0" xfId="3">
      <alignment horizontal="center" vertical="center" wrapText="1" shrinkToFit="1"/>
    </xf>
    <xf numFmtId="1" fontId="5" fillId="7" borderId="24" applyAlignment="1" pivotButton="0" quotePrefix="1" xfId="3">
      <alignment vertical="center" wrapText="1" shrinkToFit="1"/>
    </xf>
    <xf numFmtId="14" fontId="5" fillId="7" borderId="24" applyAlignment="1" pivotButton="0" quotePrefix="1" xfId="3">
      <alignment vertical="center" wrapText="1" shrinkToFit="1"/>
    </xf>
    <xf numFmtId="164" fontId="25" fillId="7" borderId="24" applyAlignment="1" pivotButton="0" quotePrefix="0" xfId="3">
      <alignment vertical="center" wrapText="1" shrinkToFit="1"/>
    </xf>
    <xf numFmtId="164" fontId="5" fillId="0" borderId="5" applyAlignment="1" pivotButton="0" quotePrefix="0" xfId="1">
      <alignment horizontal="center" vertical="center"/>
    </xf>
    <xf numFmtId="3" fontId="5" fillId="0" borderId="5" applyAlignment="1" pivotButton="0" quotePrefix="0" xfId="0">
      <alignment horizontal="center"/>
    </xf>
    <xf numFmtId="164" fontId="42" fillId="0" borderId="24" applyAlignment="1" pivotButton="0" quotePrefix="1" xfId="1">
      <alignment horizontal="center" wrapText="1"/>
    </xf>
    <xf numFmtId="0" fontId="11" fillId="0" borderId="24" applyAlignment="1" pivotButton="0" quotePrefix="0" xfId="0">
      <alignment horizontal="center" vertical="center" wrapText="1"/>
    </xf>
    <xf numFmtId="0" fontId="5" fillId="0" borderId="24" applyAlignment="1" pivotButton="0" quotePrefix="1" xfId="0">
      <alignment horizontal="center"/>
    </xf>
    <xf numFmtId="164" fontId="5" fillId="0" borderId="24" applyAlignment="1" pivotButton="0" quotePrefix="0" xfId="1">
      <alignment horizontal="center"/>
    </xf>
    <xf numFmtId="164" fontId="36" fillId="3" borderId="27" applyAlignment="1" pivotButton="0" quotePrefix="0" xfId="1">
      <alignment vertical="center"/>
    </xf>
    <xf numFmtId="0" fontId="5" fillId="3" borderId="24" applyAlignment="1" pivotButton="0" quotePrefix="0" xfId="0">
      <alignment horizontal="center" vertical="center"/>
    </xf>
    <xf numFmtId="164" fontId="25" fillId="10" borderId="5" pivotButton="0" quotePrefix="0" xfId="1"/>
    <xf numFmtId="0" fontId="11" fillId="5" borderId="22" applyAlignment="1" pivotButton="0" quotePrefix="0" xfId="0">
      <alignment vertical="center"/>
    </xf>
    <xf numFmtId="49" fontId="13" fillId="2" borderId="22" applyAlignment="1" pivotButton="0" quotePrefix="0" xfId="0">
      <alignment horizontal="center" vertical="center"/>
    </xf>
    <xf numFmtId="49" fontId="13" fillId="4" borderId="22" applyAlignment="1" pivotButton="0" quotePrefix="0" xfId="0">
      <alignment horizontal="center" vertical="center" wrapText="1"/>
    </xf>
    <xf numFmtId="49" fontId="13" fillId="0" borderId="22" applyAlignment="1" pivotButton="0" quotePrefix="0" xfId="0">
      <alignment horizontal="center" vertical="center"/>
    </xf>
    <xf numFmtId="49" fontId="13" fillId="0" borderId="8" applyAlignment="1" pivotButton="0" quotePrefix="0" xfId="0">
      <alignment horizontal="center" vertical="center"/>
    </xf>
    <xf numFmtId="166" fontId="25" fillId="0" borderId="5" applyAlignment="1" pivotButton="0" quotePrefix="0" xfId="1">
      <alignment horizontal="center" vertical="center"/>
    </xf>
    <xf numFmtId="1" fontId="42" fillId="8" borderId="8" applyAlignment="1" pivotButton="0" quotePrefix="1" xfId="1">
      <alignment horizontal="center" vertical="center"/>
    </xf>
    <xf numFmtId="164" fontId="42" fillId="8" borderId="8" applyAlignment="1" pivotButton="0" quotePrefix="1" xfId="1">
      <alignment horizontal="center" wrapText="1"/>
    </xf>
    <xf numFmtId="164" fontId="5" fillId="0" borderId="16" applyAlignment="1" pivotButton="0" quotePrefix="1" xfId="1">
      <alignment horizontal="center" wrapText="1"/>
    </xf>
    <xf numFmtId="1" fontId="42" fillId="8" borderId="8" applyAlignment="1" pivotButton="0" quotePrefix="1" xfId="1">
      <alignment horizontal="center"/>
    </xf>
    <xf numFmtId="49" fontId="13" fillId="2" borderId="33" applyAlignment="1" pivotButton="0" quotePrefix="1" xfId="3">
      <alignment horizontal="center" vertical="center" wrapText="1" shrinkToFit="1"/>
    </xf>
    <xf numFmtId="164" fontId="25" fillId="2" borderId="34" applyAlignment="1" pivotButton="0" quotePrefix="0" xfId="5">
      <alignment horizontal="left" vertical="center" wrapText="1" shrinkToFit="1"/>
    </xf>
    <xf numFmtId="164" fontId="5" fillId="2" borderId="4" applyAlignment="1" pivotButton="0" quotePrefix="0" xfId="3">
      <alignment horizontal="left" vertical="center" wrapText="1" shrinkToFit="1"/>
    </xf>
    <xf numFmtId="0" fontId="16" fillId="2" borderId="4" applyAlignment="1" pivotButton="0" quotePrefix="0" xfId="3">
      <alignment vertical="center" wrapText="1"/>
    </xf>
    <xf numFmtId="1" fontId="5" fillId="2" borderId="4" applyAlignment="1" pivotButton="0" quotePrefix="1" xfId="3">
      <alignment horizontal="center" vertical="center" wrapText="1" shrinkToFit="1"/>
    </xf>
    <xf numFmtId="14" fontId="5" fillId="2" borderId="4" applyAlignment="1" pivotButton="0" quotePrefix="1" xfId="3">
      <alignment horizontal="center" vertical="center" wrapText="1" shrinkToFit="1"/>
    </xf>
    <xf numFmtId="164" fontId="5" fillId="2" borderId="4" applyAlignment="1" pivotButton="0" quotePrefix="0" xfId="3">
      <alignment horizontal="center" vertical="center" wrapText="1" shrinkToFit="1"/>
    </xf>
    <xf numFmtId="9" fontId="25" fillId="2" borderId="4" applyAlignment="1" pivotButton="0" quotePrefix="0" xfId="2">
      <alignment horizontal="center" vertical="center" wrapText="1" shrinkToFit="1"/>
    </xf>
    <xf numFmtId="164" fontId="25" fillId="0" borderId="32" applyAlignment="1" pivotButton="0" quotePrefix="0" xfId="3">
      <alignment horizontal="left" vertical="center" wrapText="1" shrinkToFit="1"/>
    </xf>
    <xf numFmtId="0" fontId="5" fillId="2" borderId="33" applyAlignment="1" pivotButton="0" quotePrefix="0" xfId="3">
      <alignment horizontal="center" vertical="center" shrinkToFit="1"/>
    </xf>
    <xf numFmtId="164" fontId="5" fillId="2" borderId="4" applyAlignment="1" pivotButton="0" quotePrefix="0" xfId="5">
      <alignment horizontal="left" vertical="center" wrapText="1" shrinkToFit="1"/>
    </xf>
    <xf numFmtId="164" fontId="5" fillId="2" borderId="30" applyAlignment="1" pivotButton="0" quotePrefix="0" xfId="3">
      <alignment horizontal="left" vertical="center" wrapText="1" shrinkToFit="1"/>
    </xf>
    <xf numFmtId="0" fontId="16" fillId="2" borderId="30" applyAlignment="1" pivotButton="0" quotePrefix="0" xfId="3">
      <alignment vertical="center" wrapText="1"/>
    </xf>
    <xf numFmtId="1" fontId="5" fillId="2" borderId="30" applyAlignment="1" pivotButton="0" quotePrefix="1" xfId="3">
      <alignment horizontal="center" vertical="center" wrapText="1" shrinkToFit="1"/>
    </xf>
    <xf numFmtId="14" fontId="5" fillId="2" borderId="30" applyAlignment="1" pivotButton="0" quotePrefix="1" xfId="3">
      <alignment horizontal="center" vertical="center" wrapText="1" shrinkToFit="1"/>
    </xf>
    <xf numFmtId="164" fontId="5" fillId="2" borderId="30" applyAlignment="1" pivotButton="0" quotePrefix="0" xfId="3">
      <alignment horizontal="center" vertical="center" wrapText="1" shrinkToFit="1"/>
    </xf>
    <xf numFmtId="9" fontId="25" fillId="2" borderId="30" applyAlignment="1" pivotButton="0" quotePrefix="0" xfId="2">
      <alignment horizontal="center" vertical="center" wrapText="1" shrinkToFit="1"/>
    </xf>
    <xf numFmtId="164" fontId="5" fillId="2" borderId="30" applyAlignment="1" pivotButton="0" quotePrefix="0" xfId="5">
      <alignment horizontal="left" vertical="center" wrapText="1" shrinkToFit="1"/>
    </xf>
    <xf numFmtId="0" fontId="16" fillId="2" borderId="6" applyAlignment="1" pivotButton="0" quotePrefix="0" xfId="3">
      <alignment horizontal="center" vertical="center" wrapText="1"/>
    </xf>
    <xf numFmtId="164" fontId="25" fillId="0" borderId="35" applyAlignment="1" pivotButton="0" quotePrefix="0" xfId="3">
      <alignment horizontal="left" vertical="center" wrapText="1" shrinkToFit="1"/>
    </xf>
    <xf numFmtId="164" fontId="5" fillId="0" borderId="4" applyAlignment="1" pivotButton="0" quotePrefix="0" xfId="3">
      <alignment horizontal="left" vertical="center" wrapText="1" shrinkToFit="1"/>
    </xf>
    <xf numFmtId="164" fontId="5" fillId="0" borderId="4" applyAlignment="1" pivotButton="0" quotePrefix="0" xfId="3">
      <alignment horizontal="center" vertical="center" wrapText="1" shrinkToFit="1"/>
    </xf>
    <xf numFmtId="167" fontId="5" fillId="7" borderId="24" applyAlignment="1" pivotButton="0" quotePrefix="0" xfId="1">
      <alignment vertical="center" wrapText="1" shrinkToFit="1"/>
    </xf>
    <xf numFmtId="49" fontId="5" fillId="7" borderId="4" applyAlignment="1" pivotButton="0" quotePrefix="0" xfId="3">
      <alignment horizontal="center" vertical="center" wrapText="1" shrinkToFit="1"/>
    </xf>
    <xf numFmtId="164" fontId="5" fillId="7" borderId="30" applyAlignment="1" pivotButton="0" quotePrefix="0" xfId="3">
      <alignment horizontal="left" vertical="center" wrapText="1" shrinkToFit="1"/>
    </xf>
    <xf numFmtId="164" fontId="5" fillId="7" borderId="4" applyAlignment="1" pivotButton="0" quotePrefix="0" xfId="3">
      <alignment vertical="center" wrapText="1" shrinkToFit="1"/>
    </xf>
    <xf numFmtId="165" fontId="39" fillId="0" borderId="4" applyAlignment="1" pivotButton="0" quotePrefix="0" xfId="0">
      <alignment horizontal="center"/>
    </xf>
    <xf numFmtId="14" fontId="5" fillId="0" borderId="4" applyAlignment="1" pivotButton="0" quotePrefix="1" xfId="0">
      <alignment horizontal="center"/>
    </xf>
    <xf numFmtId="165" fontId="13" fillId="0" borderId="4" applyAlignment="1" pivotButton="0" quotePrefix="0" xfId="0">
      <alignment horizontal="center"/>
    </xf>
    <xf numFmtId="165" fontId="41" fillId="2" borderId="4" applyAlignment="1" pivotButton="0" quotePrefix="0" xfId="0">
      <alignment horizontal="center"/>
    </xf>
    <xf numFmtId="2" fontId="5" fillId="0" borderId="4" applyAlignment="1" pivotButton="0" quotePrefix="1" xfId="4">
      <alignment horizontal="center"/>
    </xf>
    <xf numFmtId="164" fontId="42" fillId="8" borderId="4" applyAlignment="1" pivotButton="0" quotePrefix="1" xfId="1">
      <alignment horizontal="center"/>
    </xf>
    <xf numFmtId="164" fontId="25" fillId="2" borderId="30" pivotButton="0" quotePrefix="0" xfId="1"/>
    <xf numFmtId="166" fontId="25" fillId="15" borderId="4" pivotButton="0" quotePrefix="0" xfId="1"/>
    <xf numFmtId="165" fontId="11" fillId="0" borderId="4" applyAlignment="1" pivotButton="0" quotePrefix="0" xfId="0">
      <alignment horizontal="center"/>
    </xf>
    <xf numFmtId="165" fontId="5" fillId="0" borderId="5" applyAlignment="1" pivotButton="0" quotePrefix="0" xfId="0">
      <alignment horizontal="center"/>
    </xf>
    <xf numFmtId="49" fontId="42" fillId="8" borderId="8" applyAlignment="1" pivotButton="0" quotePrefix="1" xfId="1">
      <alignment horizontal="center" wrapText="1"/>
    </xf>
    <xf numFmtId="49" fontId="5" fillId="2" borderId="22" applyAlignment="1" pivotButton="0" quotePrefix="1" xfId="4">
      <alignment horizontal="center" wrapText="1"/>
    </xf>
    <xf numFmtId="166" fontId="25" fillId="0" borderId="4" pivotButton="0" quotePrefix="0" xfId="1"/>
    <xf numFmtId="164" fontId="25" fillId="0" borderId="4" pivotButton="0" quotePrefix="0" xfId="1"/>
    <xf numFmtId="164" fontId="25" fillId="0" borderId="4" applyAlignment="1" pivotButton="0" quotePrefix="0" xfId="1">
      <alignment vertical="center"/>
    </xf>
    <xf numFmtId="164" fontId="25" fillId="2" borderId="4" applyAlignment="1" pivotButton="0" quotePrefix="0" xfId="1">
      <alignment vertical="center"/>
    </xf>
    <xf numFmtId="164" fontId="12" fillId="4" borderId="30" applyAlignment="1" pivotButton="0" quotePrefix="0" xfId="1">
      <alignment horizontal="center" vertical="center" wrapText="1"/>
    </xf>
    <xf numFmtId="49" fontId="5" fillId="0" borderId="4" applyAlignment="1" pivotButton="0" quotePrefix="1" xfId="4">
      <alignment horizontal="center"/>
    </xf>
    <xf numFmtId="49" fontId="5" fillId="2" borderId="4" applyAlignment="1" pivotButton="0" quotePrefix="1" xfId="4">
      <alignment horizontal="center" wrapText="1"/>
    </xf>
    <xf numFmtId="166" fontId="25" fillId="9" borderId="4" applyAlignment="1" pivotButton="0" quotePrefix="0" xfId="1">
      <alignment horizontal="left"/>
    </xf>
    <xf numFmtId="166" fontId="15" fillId="3" borderId="4" applyAlignment="1" pivotButton="0" quotePrefix="0" xfId="1">
      <alignment horizontal="left" vertical="center" indent="1"/>
    </xf>
    <xf numFmtId="164" fontId="25" fillId="10" borderId="4" pivotButton="0" quotePrefix="0" xfId="1"/>
    <xf numFmtId="164" fontId="42" fillId="8" borderId="4" applyAlignment="1" pivotButton="0" quotePrefix="1" xfId="1">
      <alignment horizontal="center" vertical="center"/>
    </xf>
    <xf numFmtId="164" fontId="12" fillId="13" borderId="4" applyAlignment="1" pivotButton="0" quotePrefix="0" xfId="1">
      <alignment horizontal="right"/>
    </xf>
    <xf numFmtId="0" fontId="5" fillId="7" borderId="30" applyAlignment="1" pivotButton="0" quotePrefix="1" xfId="3">
      <alignment vertical="center" wrapText="1" shrinkToFit="1"/>
    </xf>
    <xf numFmtId="164" fontId="42" fillId="8" borderId="4" applyAlignment="1" pivotButton="0" quotePrefix="1" xfId="1">
      <alignment horizontal="center" wrapText="1"/>
    </xf>
    <xf numFmtId="3" fontId="5" fillId="2" borderId="13" applyAlignment="1" pivotButton="0" quotePrefix="0" xfId="0">
      <alignment horizontal="center" vertical="center"/>
    </xf>
    <xf numFmtId="3" fontId="5" fillId="3" borderId="13" applyAlignment="1" pivotButton="0" quotePrefix="0" xfId="0">
      <alignment horizontal="center"/>
    </xf>
    <xf numFmtId="165" fontId="39" fillId="0" borderId="4" applyAlignment="1" pivotButton="0" quotePrefix="0" xfId="0">
      <alignment horizontal="center" vertical="center"/>
    </xf>
    <xf numFmtId="164" fontId="5" fillId="0" borderId="36" applyAlignment="1" pivotButton="0" quotePrefix="1" xfId="1">
      <alignment horizontal="center" vertical="center" wrapText="1"/>
    </xf>
    <xf numFmtId="2" fontId="5" fillId="0" borderId="4" applyAlignment="1" pivotButton="0" quotePrefix="1" xfId="4">
      <alignment horizontal="center" vertical="center"/>
    </xf>
    <xf numFmtId="49" fontId="42" fillId="8" borderId="8" applyAlignment="1" pivotButton="0" quotePrefix="1" xfId="1">
      <alignment horizontal="center" vertical="center"/>
    </xf>
    <xf numFmtId="2" fontId="42" fillId="8" borderId="8" applyAlignment="1" pivotButton="0" quotePrefix="1" xfId="1">
      <alignment horizontal="center" vertical="center"/>
    </xf>
    <xf numFmtId="164" fontId="25" fillId="2" borderId="4" pivotButton="0" quotePrefix="0" xfId="1"/>
    <xf numFmtId="164" fontId="25" fillId="9" borderId="30" applyAlignment="1" pivotButton="0" quotePrefix="0" xfId="1">
      <alignment vertical="center"/>
    </xf>
    <xf numFmtId="164" fontId="25" fillId="12" borderId="30" applyAlignment="1" pivotButton="0" quotePrefix="0" xfId="1">
      <alignment vertical="center"/>
    </xf>
    <xf numFmtId="164" fontId="25" fillId="16" borderId="4" applyAlignment="1" pivotButton="0" quotePrefix="0" xfId="1">
      <alignment vertical="center"/>
    </xf>
    <xf numFmtId="164" fontId="25" fillId="11" borderId="4" applyAlignment="1" pivotButton="0" quotePrefix="0" xfId="1">
      <alignment vertical="center"/>
    </xf>
    <xf numFmtId="166" fontId="25" fillId="15" borderId="4" applyAlignment="1" pivotButton="0" quotePrefix="0" xfId="1">
      <alignment vertical="center"/>
    </xf>
    <xf numFmtId="166" fontId="25" fillId="2" borderId="4" applyAlignment="1" pivotButton="0" quotePrefix="0" xfId="1">
      <alignment vertical="center"/>
    </xf>
    <xf numFmtId="166" fontId="25" fillId="9" borderId="4" applyAlignment="1" pivotButton="0" quotePrefix="0" xfId="1">
      <alignment horizontal="left" indent="1"/>
    </xf>
    <xf numFmtId="0" fontId="11" fillId="2" borderId="4" applyAlignment="1" pivotButton="0" quotePrefix="0" xfId="0">
      <alignment horizontal="center"/>
    </xf>
    <xf numFmtId="164" fontId="5" fillId="8" borderId="13" applyAlignment="1" pivotButton="0" quotePrefix="1" xfId="1">
      <alignment horizontal="center"/>
    </xf>
    <xf numFmtId="164" fontId="5" fillId="0" borderId="13" applyAlignment="1" pivotButton="0" quotePrefix="1" xfId="1">
      <alignment horizontal="center" wrapText="1"/>
    </xf>
    <xf numFmtId="1" fontId="5" fillId="0" borderId="8" applyAlignment="1" pivotButton="0" quotePrefix="1" xfId="4">
      <alignment horizontal="center"/>
    </xf>
    <xf numFmtId="164" fontId="12" fillId="4" borderId="5" pivotButton="0" quotePrefix="0" xfId="1"/>
    <xf numFmtId="0" fontId="11" fillId="2" borderId="4" applyAlignment="1" pivotButton="0" quotePrefix="0" xfId="0">
      <alignment horizontal="center" wrapText="1"/>
    </xf>
    <xf numFmtId="165" fontId="13" fillId="2" borderId="24" applyAlignment="1" pivotButton="0" quotePrefix="0" xfId="0">
      <alignment horizontal="center"/>
    </xf>
    <xf numFmtId="1" fontId="5" fillId="12" borderId="24" applyAlignment="1" pivotButton="0" quotePrefix="1" xfId="4">
      <alignment horizontal="center"/>
    </xf>
    <xf numFmtId="49" fontId="5" fillId="2" borderId="32" applyAlignment="1" pivotButton="0" quotePrefix="1" xfId="4">
      <alignment horizontal="center" wrapText="1"/>
    </xf>
    <xf numFmtId="49" fontId="5" fillId="0" borderId="11" applyAlignment="1" pivotButton="0" quotePrefix="1" xfId="4">
      <alignment horizontal="center"/>
    </xf>
    <xf numFmtId="49" fontId="42" fillId="8" borderId="24" applyAlignment="1" pivotButton="0" quotePrefix="1" xfId="1">
      <alignment horizontal="center" wrapText="1"/>
    </xf>
    <xf numFmtId="0" fontId="5" fillId="2" borderId="24" applyAlignment="1" pivotButton="0" quotePrefix="1" xfId="0">
      <alignment horizontal="center"/>
    </xf>
    <xf numFmtId="0" fontId="5" fillId="2" borderId="5" applyAlignment="1" pivotButton="0" quotePrefix="1" xfId="0">
      <alignment horizontal="center"/>
    </xf>
    <xf numFmtId="0" fontId="5" fillId="2" borderId="24" applyAlignment="1" pivotButton="0" quotePrefix="1" xfId="0">
      <alignment horizontal="left" wrapText="1"/>
    </xf>
    <xf numFmtId="164" fontId="25" fillId="12" borderId="24" pivotButton="0" quotePrefix="0" xfId="1"/>
    <xf numFmtId="49" fontId="45" fillId="0" borderId="24" applyAlignment="1" pivotButton="0" quotePrefix="0" xfId="0">
      <alignment vertical="center"/>
    </xf>
    <xf numFmtId="164" fontId="25" fillId="2" borderId="5" pivotButton="0" quotePrefix="0" xfId="1"/>
    <xf numFmtId="164" fontId="25" fillId="2" borderId="24" pivotButton="0" quotePrefix="0" xfId="1"/>
    <xf numFmtId="0" fontId="11" fillId="2" borderId="24" applyAlignment="1" pivotButton="0" quotePrefix="0" xfId="0">
      <alignment horizontal="center"/>
    </xf>
    <xf numFmtId="0" fontId="5" fillId="7" borderId="24" applyAlignment="1" pivotButton="0" quotePrefix="0" xfId="3">
      <alignment horizontal="center" vertical="center" shrinkToFit="1"/>
    </xf>
    <xf numFmtId="164" fontId="25" fillId="7" borderId="5" applyAlignment="1" pivotButton="0" quotePrefix="0" xfId="3">
      <alignment horizontal="left" vertical="center" wrapText="1" shrinkToFit="1"/>
    </xf>
    <xf numFmtId="49" fontId="30" fillId="7" borderId="24" applyAlignment="1" pivotButton="0" quotePrefix="1" xfId="3">
      <alignment horizontal="center" vertical="center" wrapText="1" shrinkToFit="1"/>
    </xf>
    <xf numFmtId="164" fontId="5" fillId="2" borderId="39" applyAlignment="1" pivotButton="0" quotePrefix="0" xfId="3">
      <alignment horizontal="left" vertical="center" wrapText="1" shrinkToFit="1"/>
    </xf>
    <xf numFmtId="0" fontId="14" fillId="0" borderId="26" applyAlignment="1" pivotButton="0" quotePrefix="0" xfId="3">
      <alignment vertical="center"/>
    </xf>
    <xf numFmtId="9" fontId="5" fillId="2" borderId="30" applyAlignment="1" pivotButton="0" quotePrefix="0" xfId="2">
      <alignment horizontal="center" vertical="center" wrapText="1" shrinkToFit="1"/>
    </xf>
    <xf numFmtId="0" fontId="16" fillId="2" borderId="30" applyAlignment="1" pivotButton="0" quotePrefix="0" xfId="3">
      <alignment horizontal="center" vertical="center" wrapText="1"/>
    </xf>
    <xf numFmtId="164" fontId="25" fillId="2" borderId="30" applyAlignment="1" pivotButton="0" quotePrefix="0" xfId="5">
      <alignment horizontal="left" vertical="center" wrapText="1" shrinkToFit="1"/>
    </xf>
    <xf numFmtId="0" fontId="5" fillId="7" borderId="40" applyAlignment="1" pivotButton="0" quotePrefix="1" xfId="3">
      <alignment horizontal="center" vertical="center" wrapText="1" shrinkToFit="1"/>
    </xf>
    <xf numFmtId="164" fontId="5" fillId="7" borderId="40" applyAlignment="1" pivotButton="0" quotePrefix="0" xfId="3">
      <alignment horizontal="left" vertical="center" wrapText="1" shrinkToFit="1"/>
    </xf>
    <xf numFmtId="164" fontId="25" fillId="7" borderId="41" applyAlignment="1" pivotButton="0" quotePrefix="0" xfId="3">
      <alignment horizontal="left" vertical="center" wrapText="1" shrinkToFit="1"/>
    </xf>
    <xf numFmtId="0" fontId="14" fillId="0" borderId="42" applyAlignment="1" pivotButton="0" quotePrefix="0" xfId="3">
      <alignment vertical="center"/>
    </xf>
    <xf numFmtId="164" fontId="5" fillId="14" borderId="24" applyAlignment="1" pivotButton="0" quotePrefix="0" xfId="3">
      <alignment horizontal="left" vertical="center" wrapText="1" shrinkToFit="1"/>
    </xf>
    <xf numFmtId="164" fontId="5" fillId="14" borderId="24" applyAlignment="1" pivotButton="0" quotePrefix="0" xfId="3">
      <alignment horizontal="center" vertical="center" wrapText="1" shrinkToFit="1"/>
    </xf>
    <xf numFmtId="164" fontId="25" fillId="14" borderId="24" applyAlignment="1" pivotButton="0" quotePrefix="0" xfId="3">
      <alignment horizontal="left" vertical="center" wrapText="1" shrinkToFit="1"/>
    </xf>
    <xf numFmtId="165" fontId="13" fillId="0" borderId="5" applyAlignment="1" pivotButton="0" quotePrefix="0" xfId="0">
      <alignment horizontal="center"/>
    </xf>
    <xf numFmtId="1" fontId="13" fillId="3" borderId="24" applyAlignment="1" pivotButton="0" quotePrefix="1" xfId="4">
      <alignment horizontal="center"/>
    </xf>
    <xf numFmtId="49" fontId="5" fillId="8" borderId="8" applyAlignment="1" pivotButton="0" quotePrefix="1" xfId="1">
      <alignment horizontal="center" wrapText="1"/>
    </xf>
    <xf numFmtId="49" fontId="5" fillId="2" borderId="24" applyAlignment="1" pivotButton="0" quotePrefix="1" xfId="4">
      <alignment horizontal="center" wrapText="1"/>
    </xf>
    <xf numFmtId="166" fontId="25" fillId="2" borderId="24" pivotButton="0" quotePrefix="0" xfId="1"/>
    <xf numFmtId="166" fontId="25" fillId="15" borderId="24" pivotButton="0" quotePrefix="0" xfId="1"/>
    <xf numFmtId="166" fontId="25" fillId="2" borderId="5" pivotButton="0" quotePrefix="0" xfId="1"/>
    <xf numFmtId="0" fontId="11" fillId="2" borderId="24" applyAlignment="1" pivotButton="0" quotePrefix="0" xfId="0">
      <alignment horizontal="center" wrapText="1"/>
    </xf>
    <xf numFmtId="0" fontId="5" fillId="7" borderId="28" applyAlignment="1" pivotButton="0" quotePrefix="0" xfId="3">
      <alignment horizontal="center" vertical="center" shrinkToFit="1"/>
    </xf>
    <xf numFmtId="164" fontId="5" fillId="0" borderId="36" applyAlignment="1" pivotButton="0" quotePrefix="1" xfId="1">
      <alignment vertical="center" wrapText="1"/>
    </xf>
    <xf numFmtId="2" fontId="5" fillId="0" borderId="24" applyAlignment="1" pivotButton="0" quotePrefix="1" xfId="4">
      <alignment horizontal="center"/>
    </xf>
    <xf numFmtId="165" fontId="39" fillId="0" borderId="30" applyAlignment="1" pivotButton="0" quotePrefix="0" xfId="0">
      <alignment horizontal="center"/>
    </xf>
    <xf numFmtId="14" fontId="5" fillId="0" borderId="30" applyAlignment="1" pivotButton="0" quotePrefix="1" xfId="0">
      <alignment horizontal="center"/>
    </xf>
    <xf numFmtId="168" fontId="5" fillId="0" borderId="24" applyAlignment="1" pivotButton="0" quotePrefix="1" xfId="4">
      <alignment horizontal="center"/>
    </xf>
    <xf numFmtId="165" fontId="39" fillId="0" borderId="5" applyAlignment="1" pivotButton="0" quotePrefix="0" xfId="0">
      <alignment horizontal="center"/>
    </xf>
    <xf numFmtId="3" fontId="5" fillId="2" borderId="17" applyAlignment="1" pivotButton="0" quotePrefix="0" xfId="0">
      <alignment horizontal="center"/>
    </xf>
    <xf numFmtId="164" fontId="42" fillId="8" borderId="8" applyAlignment="1" pivotButton="0" quotePrefix="1" xfId="1">
      <alignment horizontal="center"/>
    </xf>
    <xf numFmtId="164" fontId="25" fillId="11" borderId="24" applyAlignment="1" pivotButton="0" quotePrefix="0" xfId="1">
      <alignment vertical="center"/>
    </xf>
    <xf numFmtId="1" fontId="25" fillId="0" borderId="23" applyAlignment="1" pivotButton="0" quotePrefix="1" xfId="3">
      <alignment horizontal="center" vertical="center" wrapText="1" shrinkToFit="1"/>
    </xf>
    <xf numFmtId="14" fontId="25" fillId="0" borderId="23" applyAlignment="1" pivotButton="0" quotePrefix="1" xfId="3">
      <alignment horizontal="center" vertical="center" wrapText="1" shrinkToFit="1"/>
    </xf>
    <xf numFmtId="9" fontId="25" fillId="0" borderId="23" applyAlignment="1" pivotButton="0" quotePrefix="0" xfId="2">
      <alignment horizontal="center" vertical="center" wrapText="1" shrinkToFit="1"/>
    </xf>
    <xf numFmtId="3" fontId="5" fillId="13" borderId="13" applyAlignment="1" pivotButton="0" quotePrefix="0" xfId="0">
      <alignment horizontal="center"/>
    </xf>
    <xf numFmtId="49" fontId="5" fillId="0" borderId="24" applyAlignment="1" pivotButton="0" quotePrefix="1" xfId="4">
      <alignment horizontal="center" vertical="center"/>
    </xf>
    <xf numFmtId="164" fontId="42" fillId="8" borderId="24" applyAlignment="1" pivotButton="0" quotePrefix="1" xfId="1">
      <alignment vertical="center"/>
    </xf>
    <xf numFmtId="1" fontId="42" fillId="8" borderId="24" applyAlignment="1" pivotButton="0" quotePrefix="1" xfId="1">
      <alignment horizontal="center"/>
    </xf>
    <xf numFmtId="14" fontId="5" fillId="0" borderId="24" applyAlignment="1" pivotButton="0" quotePrefix="1" xfId="0">
      <alignment horizontal="center"/>
    </xf>
    <xf numFmtId="0" fontId="16" fillId="2" borderId="5" applyAlignment="1" pivotButton="0" quotePrefix="0" xfId="3">
      <alignment vertical="center" wrapText="1"/>
    </xf>
    <xf numFmtId="1" fontId="5" fillId="2" borderId="5" applyAlignment="1" pivotButton="0" quotePrefix="1" xfId="3">
      <alignment horizontal="center" vertical="center" wrapText="1" shrinkToFit="1"/>
    </xf>
    <xf numFmtId="14" fontId="5" fillId="2" borderId="5" applyAlignment="1" pivotButton="0" quotePrefix="1" xfId="3">
      <alignment horizontal="center" vertical="center" wrapText="1" shrinkToFit="1"/>
    </xf>
    <xf numFmtId="164" fontId="5" fillId="2" borderId="5" applyAlignment="1" pivotButton="0" quotePrefix="0" xfId="3">
      <alignment horizontal="center" vertical="center" wrapText="1" shrinkToFit="1"/>
    </xf>
    <xf numFmtId="164" fontId="5" fillId="7" borderId="30" applyAlignment="1" pivotButton="0" quotePrefix="0" xfId="3">
      <alignment vertical="center" wrapText="1" shrinkToFit="1"/>
    </xf>
    <xf numFmtId="1" fontId="5" fillId="7" borderId="30" applyAlignment="1" pivotButton="0" quotePrefix="1" xfId="3">
      <alignment horizontal="center" vertical="center" wrapText="1" shrinkToFit="1"/>
    </xf>
    <xf numFmtId="14" fontId="5" fillId="7" borderId="30" applyAlignment="1" pivotButton="0" quotePrefix="1" xfId="3">
      <alignment horizontal="center" vertical="center" wrapText="1" shrinkToFit="1"/>
    </xf>
    <xf numFmtId="164" fontId="5" fillId="7" borderId="30" applyAlignment="1" pivotButton="0" quotePrefix="0" xfId="3">
      <alignment horizontal="center" vertical="center" wrapText="1" shrinkToFit="1"/>
    </xf>
    <xf numFmtId="9" fontId="5" fillId="7" borderId="30" applyAlignment="1" pivotButton="0" quotePrefix="0" xfId="2">
      <alignment horizontal="center" vertical="center" wrapText="1" shrinkToFit="1"/>
    </xf>
    <xf numFmtId="164" fontId="5" fillId="2" borderId="5" applyAlignment="1" pivotButton="0" quotePrefix="0" xfId="3">
      <alignment horizontal="left" vertical="center" wrapText="1" shrinkToFit="1"/>
    </xf>
    <xf numFmtId="9" fontId="25" fillId="2" borderId="5" applyAlignment="1" pivotButton="0" quotePrefix="0" xfId="2">
      <alignment horizontal="center" vertical="center" wrapText="1" shrinkToFit="1"/>
    </xf>
    <xf numFmtId="164" fontId="5" fillId="7" borderId="42" applyAlignment="1" pivotButton="0" quotePrefix="0" xfId="3">
      <alignment horizontal="left" vertical="center" wrapText="1" shrinkToFit="1"/>
    </xf>
    <xf numFmtId="1" fontId="5" fillId="7" borderId="42" applyAlignment="1" pivotButton="0" quotePrefix="1" xfId="3">
      <alignment horizontal="center" vertical="center" wrapText="1" shrinkToFit="1"/>
    </xf>
    <xf numFmtId="14" fontId="5" fillId="7" borderId="42" applyAlignment="1" pivotButton="0" quotePrefix="1" xfId="3">
      <alignment horizontal="center" vertical="center" wrapText="1" shrinkToFit="1"/>
    </xf>
    <xf numFmtId="164" fontId="5" fillId="7" borderId="42" applyAlignment="1" pivotButton="0" quotePrefix="0" xfId="3">
      <alignment horizontal="center" vertical="center" wrapText="1" shrinkToFit="1"/>
    </xf>
    <xf numFmtId="9" fontId="5" fillId="7" borderId="42" applyAlignment="1" pivotButton="0" quotePrefix="0" xfId="2">
      <alignment horizontal="center" vertical="center" wrapText="1" shrinkToFit="1"/>
    </xf>
    <xf numFmtId="0" fontId="35" fillId="7" borderId="40" applyAlignment="1" pivotButton="0" quotePrefix="1" xfId="3">
      <alignment horizontal="center" vertical="center" wrapText="1" shrinkToFit="1"/>
    </xf>
    <xf numFmtId="0" fontId="11" fillId="7" borderId="23" applyAlignment="1" pivotButton="0" quotePrefix="0" xfId="3">
      <alignment horizontal="center" vertical="center" shrinkToFit="1"/>
    </xf>
    <xf numFmtId="164" fontId="5" fillId="0" borderId="13" applyAlignment="1" pivotButton="0" quotePrefix="0" xfId="1">
      <alignment horizontal="center" wrapText="1"/>
    </xf>
    <xf numFmtId="165" fontId="13" fillId="0" borderId="24" applyAlignment="1" pivotButton="0" quotePrefix="0" xfId="0">
      <alignment horizontal="center"/>
    </xf>
    <xf numFmtId="1" fontId="42" fillId="8" borderId="24" applyAlignment="1" pivotButton="0" quotePrefix="1" xfId="1">
      <alignment horizontal="center" vertical="center"/>
    </xf>
    <xf numFmtId="164" fontId="42" fillId="8" borderId="24" applyAlignment="1" pivotButton="0" quotePrefix="1" xfId="1">
      <alignment horizontal="center" wrapText="1"/>
    </xf>
    <xf numFmtId="0" fontId="19" fillId="2" borderId="0" applyAlignment="1" pivotButton="0" quotePrefix="0" xfId="0">
      <alignment horizontal="center"/>
    </xf>
    <xf numFmtId="49" fontId="5" fillId="2" borderId="24" applyAlignment="1" pivotButton="0" quotePrefix="1" xfId="3">
      <alignment vertical="center" wrapText="1" shrinkToFit="1"/>
    </xf>
    <xf numFmtId="0" fontId="0" fillId="0" borderId="2" pivotButton="0" quotePrefix="0" xfId="0"/>
    <xf numFmtId="0" fontId="0" fillId="0" borderId="39" pivotButton="0" quotePrefix="0" xfId="0"/>
    <xf numFmtId="0" fontId="0" fillId="0" borderId="5" pivotButton="0" quotePrefix="0" xfId="0"/>
    <xf numFmtId="0" fontId="10" fillId="2" borderId="24" applyAlignment="1" pivotButton="0" quotePrefix="0" xfId="3">
      <alignment horizontal="center" vertical="center" shrinkToFit="1"/>
    </xf>
    <xf numFmtId="0" fontId="18" fillId="2" borderId="7" applyAlignment="1" pivotButton="0" quotePrefix="0" xfId="0">
      <alignment horizontal="left" wrapText="1"/>
    </xf>
    <xf numFmtId="0" fontId="0" fillId="0" borderId="7" pivotButton="0" quotePrefix="0" xfId="0"/>
    <xf numFmtId="164" fontId="15" fillId="2" borderId="24" applyAlignment="1" pivotButton="0" quotePrefix="0" xfId="0">
      <alignment horizontal="center"/>
    </xf>
    <xf numFmtId="164" fontId="8" fillId="2" borderId="7" applyAlignment="1" pivotButton="0" quotePrefix="0" xfId="0">
      <alignment horizontal="left" wrapText="1"/>
    </xf>
    <xf numFmtId="0" fontId="5" fillId="7" borderId="44" applyAlignment="1" pivotButton="0" quotePrefix="0" xfId="3">
      <alignment horizontal="center" vertical="center" shrinkToFit="1"/>
    </xf>
    <xf numFmtId="0" fontId="0" fillId="0" borderId="6" pivotButton="0" quotePrefix="0" xfId="0"/>
    <xf numFmtId="49" fontId="11" fillId="7" borderId="44" applyAlignment="1" pivotButton="0" quotePrefix="1" xfId="3">
      <alignment horizontal="center" vertical="center" wrapText="1" shrinkToFit="1"/>
    </xf>
    <xf numFmtId="0" fontId="5" fillId="7" borderId="44" applyAlignment="1" pivotButton="0" quotePrefix="1" xfId="3">
      <alignment horizontal="center" vertical="center" wrapText="1" shrinkToFit="1"/>
    </xf>
    <xf numFmtId="41" fontId="5" fillId="7" borderId="44" applyAlignment="1" pivotButton="0" quotePrefix="0" xfId="3">
      <alignment horizontal="center" vertical="center" wrapText="1" shrinkToFit="1"/>
    </xf>
    <xf numFmtId="43" fontId="5" fillId="7" borderId="44" applyAlignment="1" pivotButton="0" quotePrefix="0" xfId="1">
      <alignment horizontal="center" vertical="center" wrapText="1" shrinkToFit="1"/>
    </xf>
    <xf numFmtId="164" fontId="24" fillId="2" borderId="24" applyAlignment="1" pivotButton="0" quotePrefix="0" xfId="0">
      <alignment horizontal="center"/>
    </xf>
    <xf numFmtId="49" fontId="5" fillId="2" borderId="44" applyAlignment="1" pivotButton="0" quotePrefix="1" xfId="3">
      <alignment vertical="center" wrapText="1" shrinkToFit="1"/>
    </xf>
    <xf numFmtId="0" fontId="20" fillId="2" borderId="0" applyAlignment="1" pivotButton="0" quotePrefix="0" xfId="0">
      <alignment horizontal="center"/>
    </xf>
    <xf numFmtId="0" fontId="2" fillId="2" borderId="0" applyAlignment="1" pivotButton="0" quotePrefix="0" xfId="3">
      <alignment horizontal="center"/>
    </xf>
    <xf numFmtId="0" fontId="2" fillId="2" borderId="0" pivotButton="0" quotePrefix="0" xfId="3"/>
    <xf numFmtId="0" fontId="10" fillId="2" borderId="24" applyAlignment="1" pivotButton="0" quotePrefix="0" xfId="3">
      <alignment horizontal="center" vertical="center" shrinkToFit="1"/>
    </xf>
    <xf numFmtId="0" fontId="0" fillId="0" borderId="2" pivotButton="0" quotePrefix="0" xfId="0"/>
    <xf numFmtId="0" fontId="0" fillId="0" borderId="39" pivotButton="0" quotePrefix="0" xfId="0"/>
    <xf numFmtId="0" fontId="10" fillId="2" borderId="24" applyAlignment="1" pivotButton="0" quotePrefix="0" xfId="3">
      <alignment horizontal="center" vertical="center" wrapText="1"/>
    </xf>
    <xf numFmtId="0" fontId="0" fillId="0" borderId="5" pivotButton="0" quotePrefix="0" xfId="0"/>
    <xf numFmtId="0" fontId="8" fillId="2" borderId="0" applyAlignment="1" pivotButton="0" quotePrefix="0" xfId="0">
      <alignment horizontal="center" wrapText="1"/>
    </xf>
    <xf numFmtId="0" fontId="32" fillId="2" borderId="0" pivotButton="0" quotePrefix="0" xfId="3"/>
    <xf numFmtId="0" fontId="8" fillId="2" borderId="0" applyAlignment="1" pivotButton="0" quotePrefix="0" xfId="3">
      <alignment horizontal="left" vertical="center" wrapText="1"/>
    </xf>
    <xf numFmtId="0" fontId="32" fillId="2" borderId="0" applyAlignment="1" pivotButton="0" quotePrefix="0" xfId="3">
      <alignment horizontal="left"/>
    </xf>
    <xf numFmtId="0" fontId="12" fillId="2" borderId="24" applyAlignment="1" pivotButton="0" quotePrefix="0" xfId="3">
      <alignment horizontal="center" vertical="center" wrapText="1"/>
    </xf>
    <xf numFmtId="164" fontId="10" fillId="2" borderId="24" applyAlignment="1" pivotButton="0" quotePrefix="0" xfId="5">
      <alignment horizontal="center" vertical="center" wrapText="1"/>
    </xf>
    <xf numFmtId="164" fontId="15" fillId="2" borderId="24" applyAlignment="1" pivotButton="0" quotePrefix="0" xfId="0">
      <alignment horizontal="center"/>
    </xf>
    <xf numFmtId="0" fontId="11" fillId="2" borderId="24" applyAlignment="1" pivotButton="0" quotePrefix="0" xfId="3">
      <alignment horizontal="center" vertical="center" wrapText="1"/>
    </xf>
    <xf numFmtId="164" fontId="8" fillId="2" borderId="7" applyAlignment="1" pivotButton="0" quotePrefix="0" xfId="0">
      <alignment horizontal="left" wrapText="1"/>
    </xf>
    <xf numFmtId="0" fontId="0" fillId="0" borderId="7" pivotButton="0" quotePrefix="0" xfId="0"/>
    <xf numFmtId="0" fontId="4" fillId="2" borderId="0" applyAlignment="1" pivotButton="0" quotePrefix="0" xfId="3">
      <alignment horizontal="center" wrapText="1"/>
    </xf>
    <xf numFmtId="0" fontId="18" fillId="2" borderId="7" applyAlignment="1" pivotButton="0" quotePrefix="0" xfId="0">
      <alignment horizontal="left" wrapText="1"/>
    </xf>
    <xf numFmtId="0" fontId="27" fillId="2" borderId="0" applyAlignment="1" pivotButton="0" quotePrefix="0" xfId="6">
      <alignment horizontal="right" vertical="center" wrapText="1"/>
    </xf>
    <xf numFmtId="0" fontId="4" fillId="2" borderId="0" applyAlignment="1" pivotButton="0" quotePrefix="1" xfId="3">
      <alignment horizontal="center" vertical="top"/>
    </xf>
    <xf numFmtId="41" fontId="5" fillId="2" borderId="6" applyAlignment="1" pivotButton="0" quotePrefix="0" xfId="3">
      <alignment horizontal="center" vertical="center" wrapText="1" shrinkToFit="1"/>
    </xf>
    <xf numFmtId="0" fontId="5" fillId="2" borderId="6" applyAlignment="1" pivotButton="0" quotePrefix="1" xfId="3">
      <alignment horizontal="center" vertical="center" wrapText="1" shrinkToFit="1"/>
    </xf>
    <xf numFmtId="49" fontId="13" fillId="2" borderId="6" applyAlignment="1" pivotButton="0" quotePrefix="1" xfId="3">
      <alignment horizontal="center" vertical="center" wrapText="1" shrinkToFit="1"/>
    </xf>
    <xf numFmtId="0" fontId="0" fillId="0" borderId="6" pivotButton="0" quotePrefix="0" xfId="0"/>
    <xf numFmtId="0" fontId="5" fillId="2" borderId="6" applyAlignment="1" pivotButton="0" quotePrefix="0" xfId="3">
      <alignment horizontal="center" vertical="center" shrinkToFit="1"/>
    </xf>
    <xf numFmtId="164" fontId="13" fillId="0" borderId="28" applyAlignment="1" pivotButton="0" quotePrefix="0" xfId="3">
      <alignment horizontal="center" vertical="center" wrapText="1" shrinkToFit="1"/>
    </xf>
    <xf numFmtId="164" fontId="13" fillId="0" borderId="24" applyAlignment="1" pivotButton="0" quotePrefix="0" xfId="3">
      <alignment horizontal="center" vertical="center" wrapText="1" shrinkToFit="1"/>
    </xf>
    <xf numFmtId="164" fontId="13" fillId="0" borderId="6" applyAlignment="1" pivotButton="0" quotePrefix="0" xfId="3">
      <alignment horizontal="center" vertical="center" wrapText="1" shrinkToFit="1"/>
    </xf>
    <xf numFmtId="164" fontId="13" fillId="0" borderId="43" applyAlignment="1" pivotButton="0" quotePrefix="0" xfId="3">
      <alignment horizontal="center" vertical="center" wrapText="1" shrinkToFit="1"/>
    </xf>
    <xf numFmtId="0" fontId="5" fillId="7" borderId="44" applyAlignment="1" pivotButton="0" quotePrefix="0" xfId="3">
      <alignment horizontal="center" vertical="center" shrinkToFit="1"/>
    </xf>
    <xf numFmtId="0" fontId="0" fillId="0" borderId="29" pivotButton="0" quotePrefix="0" xfId="0"/>
    <xf numFmtId="0" fontId="14" fillId="0" borderId="7" applyAlignment="1" pivotButton="0" quotePrefix="0" xfId="3">
      <alignment vertical="center"/>
    </xf>
    <xf numFmtId="49" fontId="30" fillId="2" borderId="6" applyAlignment="1" pivotButton="0" quotePrefix="1" xfId="3">
      <alignment horizontal="center" vertical="center" wrapText="1" shrinkToFit="1"/>
    </xf>
    <xf numFmtId="14" fontId="5" fillId="2" borderId="7" applyAlignment="1" pivotButton="0" quotePrefix="0" xfId="0">
      <alignment horizontal="center" vertical="center"/>
    </xf>
    <xf numFmtId="49" fontId="5" fillId="2" borderId="6" applyAlignment="1" pivotButton="0" quotePrefix="0" xfId="3">
      <alignment horizontal="left" vertical="center" wrapText="1" shrinkToFit="1"/>
    </xf>
    <xf numFmtId="43" fontId="5" fillId="2" borderId="6" applyAlignment="1" pivotButton="0" quotePrefix="0" xfId="1">
      <alignment horizontal="center" vertical="center" wrapText="1" shrinkToFit="1"/>
    </xf>
    <xf numFmtId="0" fontId="10" fillId="2" borderId="44" applyAlignment="1" pivotButton="0" quotePrefix="0" xfId="3">
      <alignment horizontal="center" vertical="center" wrapText="1"/>
    </xf>
    <xf numFmtId="164" fontId="5" fillId="2" borderId="23" applyAlignment="1" pivotButton="0" quotePrefix="0" xfId="3">
      <alignment horizontal="center" vertical="center" wrapText="1" shrinkToFit="1"/>
    </xf>
    <xf numFmtId="9" fontId="25" fillId="2" borderId="23" applyAlignment="1" pivotButton="0" quotePrefix="0" xfId="2">
      <alignment horizontal="center" vertical="center" wrapText="1" shrinkToFit="1"/>
    </xf>
    <xf numFmtId="14" fontId="10" fillId="2" borderId="44" applyAlignment="1" pivotButton="0" quotePrefix="0" xfId="3">
      <alignment horizontal="center" vertical="center" wrapText="1"/>
    </xf>
    <xf numFmtId="14" fontId="5" fillId="2" borderId="23" applyAlignment="1" pivotButton="0" quotePrefix="1" xfId="3">
      <alignment horizontal="center" vertical="center" wrapText="1" shrinkToFit="1"/>
    </xf>
    <xf numFmtId="164" fontId="5" fillId="2" borderId="23" applyAlignment="1" pivotButton="0" quotePrefix="0" xfId="5">
      <alignment horizontal="left" vertical="center" wrapText="1" shrinkToFit="1"/>
    </xf>
    <xf numFmtId="49" fontId="13" fillId="0" borderId="24" applyAlignment="1" pivotButton="0" quotePrefix="1" xfId="3">
      <alignment horizontal="center" vertical="center" wrapText="1" shrinkToFit="1"/>
    </xf>
    <xf numFmtId="0" fontId="5" fillId="0" borderId="23" applyAlignment="1" pivotButton="0" quotePrefix="0" xfId="3">
      <alignment horizontal="center" vertical="center" shrinkToFit="1"/>
    </xf>
    <xf numFmtId="0" fontId="5" fillId="0" borderId="24" applyAlignment="1" pivotButton="0" quotePrefix="0" xfId="3">
      <alignment horizontal="center" vertical="center" shrinkToFit="1"/>
    </xf>
    <xf numFmtId="0" fontId="21" fillId="2" borderId="0" pivotButton="0" quotePrefix="0" xfId="3"/>
    <xf numFmtId="0" fontId="21" fillId="2" borderId="0" applyAlignment="1" pivotButton="0" quotePrefix="0" xfId="3">
      <alignment horizontal="left"/>
    </xf>
    <xf numFmtId="43" fontId="5" fillId="2" borderId="6" applyAlignment="1" pivotButton="0" quotePrefix="0" xfId="1">
      <alignment vertical="center" wrapText="1" shrinkToFit="1"/>
    </xf>
    <xf numFmtId="164" fontId="5" fillId="2" borderId="23" applyAlignment="1" pivotButton="0" quotePrefix="0" xfId="3">
      <alignment horizontal="left" vertical="center" wrapText="1" shrinkToFit="1"/>
    </xf>
    <xf numFmtId="0" fontId="16" fillId="2" borderId="23" applyAlignment="1" pivotButton="0" quotePrefix="0" xfId="3">
      <alignment vertical="center" wrapText="1"/>
    </xf>
    <xf numFmtId="1" fontId="5" fillId="2" borderId="24" applyAlignment="1" pivotButton="0" quotePrefix="1" xfId="3">
      <alignment horizontal="center" vertical="center" wrapText="1" shrinkToFit="1"/>
    </xf>
    <xf numFmtId="14" fontId="5" fillId="2" borderId="24" applyAlignment="1" pivotButton="0" quotePrefix="1" xfId="3">
      <alignment horizontal="center" vertical="center" wrapText="1" shrinkToFit="1"/>
    </xf>
    <xf numFmtId="164" fontId="10" fillId="2" borderId="24" applyAlignment="1" pivotButton="0" quotePrefix="0" xfId="5">
      <alignment horizontal="left" vertical="center" wrapText="1"/>
    </xf>
    <xf numFmtId="0" fontId="21" fillId="2" borderId="0" applyAlignment="1" pivotButton="0" quotePrefix="0" xfId="3">
      <alignment horizontal="center"/>
    </xf>
    <xf numFmtId="0" fontId="14" fillId="0" borderId="0" applyAlignment="1" pivotButton="0" quotePrefix="0" xfId="3">
      <alignment vertical="center"/>
    </xf>
    <xf numFmtId="164" fontId="5" fillId="2" borderId="24" applyAlignment="1" pivotButton="0" quotePrefix="0" xfId="3">
      <alignment horizontal="center" vertical="center" wrapText="1" shrinkToFit="1"/>
    </xf>
    <xf numFmtId="164" fontId="13" fillId="0" borderId="45" applyAlignment="1" pivotButton="0" quotePrefix="0" xfId="3">
      <alignment horizontal="center" vertical="center" wrapText="1" shrinkToFit="1"/>
    </xf>
    <xf numFmtId="164" fontId="5" fillId="7" borderId="23" applyAlignment="1" pivotButton="0" quotePrefix="0" xfId="3">
      <alignment horizontal="center" vertical="center" wrapText="1" shrinkToFit="1"/>
    </xf>
    <xf numFmtId="9" fontId="5" fillId="7" borderId="23" applyAlignment="1" pivotButton="0" quotePrefix="0" xfId="2">
      <alignment horizontal="center" vertical="center" wrapText="1" shrinkToFit="1"/>
    </xf>
    <xf numFmtId="9" fontId="25" fillId="2" borderId="24" applyAlignment="1" pivotButton="0" quotePrefix="0" xfId="2">
      <alignment horizontal="center" vertical="center" wrapText="1" shrinkToFit="1"/>
    </xf>
    <xf numFmtId="1" fontId="5" fillId="2" borderId="23" applyAlignment="1" pivotButton="0" quotePrefix="1" xfId="3">
      <alignment horizontal="center" vertical="center" wrapText="1" shrinkToFit="1"/>
    </xf>
    <xf numFmtId="49" fontId="30" fillId="7" borderId="24" applyAlignment="1" pivotButton="0" quotePrefix="1" xfId="3">
      <alignment horizontal="center" vertical="center" wrapText="1" shrinkToFit="1"/>
    </xf>
    <xf numFmtId="0" fontId="5" fillId="7" borderId="24" applyAlignment="1" pivotButton="0" quotePrefix="1" xfId="3">
      <alignment horizontal="center" vertical="center" wrapText="1" shrinkToFit="1"/>
    </xf>
    <xf numFmtId="49" fontId="5" fillId="7" borderId="24" applyAlignment="1" pivotButton="0" quotePrefix="0" xfId="3">
      <alignment horizontal="center" vertical="center" wrapText="1" shrinkToFit="1"/>
    </xf>
    <xf numFmtId="0" fontId="18" fillId="2" borderId="44" applyAlignment="1" pivotButton="0" quotePrefix="0" xfId="3">
      <alignment horizontal="center" vertical="center"/>
    </xf>
    <xf numFmtId="164" fontId="10" fillId="2" borderId="44" applyAlignment="1" pivotButton="0" quotePrefix="0" xfId="5">
      <alignment horizontal="center" vertical="center" wrapText="1"/>
    </xf>
    <xf numFmtId="0" fontId="11" fillId="3" borderId="30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5" fontId="13" fillId="0" borderId="44" applyAlignment="1" pivotButton="0" quotePrefix="0" xfId="0">
      <alignment horizontal="center" vertical="center"/>
    </xf>
    <xf numFmtId="49" fontId="5" fillId="0" borderId="44" applyAlignment="1" pivotButton="0" quotePrefix="1" xfId="4">
      <alignment horizontal="center" vertical="center"/>
    </xf>
    <xf numFmtId="49" fontId="42" fillId="8" borderId="24" applyAlignment="1" pivotButton="0" quotePrefix="1" xfId="1">
      <alignment horizontal="center"/>
    </xf>
    <xf numFmtId="164" fontId="5" fillId="0" borderId="48" applyAlignment="1" pivotButton="0" quotePrefix="1" xfId="1">
      <alignment horizontal="center" vertical="center" wrapText="1"/>
    </xf>
    <xf numFmtId="0" fontId="0" fillId="0" borderId="37" pivotButton="0" quotePrefix="0" xfId="0"/>
    <xf numFmtId="49" fontId="5" fillId="2" borderId="44" applyAlignment="1" pivotButton="0" quotePrefix="1" xfId="4">
      <alignment horizontal="center" vertical="center" wrapText="1"/>
    </xf>
    <xf numFmtId="164" fontId="42" fillId="8" borderId="44" applyAlignment="1" pivotButton="0" quotePrefix="1" xfId="1">
      <alignment horizontal="center" vertical="center"/>
    </xf>
    <xf numFmtId="165" fontId="41" fillId="2" borderId="49" applyAlignment="1" pivotButton="0" quotePrefix="0" xfId="0">
      <alignment horizontal="center" vertical="center"/>
    </xf>
    <xf numFmtId="0" fontId="0" fillId="0" borderId="38" pivotButton="0" quotePrefix="0" xfId="0"/>
    <xf numFmtId="164" fontId="42" fillId="8" borderId="44" applyAlignment="1" pivotButton="0" quotePrefix="1" xfId="1">
      <alignment horizontal="center" vertical="center" wrapText="1"/>
    </xf>
    <xf numFmtId="0" fontId="0" fillId="0" borderId="50" pivotButton="0" quotePrefix="0" xfId="0"/>
    <xf numFmtId="165" fontId="41" fillId="2" borderId="2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8" pivotButton="0" quotePrefix="0" xfId="0"/>
    <xf numFmtId="0" fontId="11" fillId="3" borderId="24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wrapText="1"/>
    </xf>
    <xf numFmtId="165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4" fontId="5" fillId="0" borderId="0" applyAlignment="1" pivotButton="0" quotePrefix="0" xfId="0">
      <alignment horizontal="center" vertical="center"/>
    </xf>
    <xf numFmtId="0" fontId="11" fillId="5" borderId="1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5" fillId="2" borderId="44" applyAlignment="1" pivotButton="0" quotePrefix="1" xfId="3">
      <alignment vertical="center" wrapText="1" shrinkToFit="1"/>
    </xf>
    <xf numFmtId="4" fontId="5" fillId="2" borderId="44" applyAlignment="1" pivotButton="0" quotePrefix="1" xfId="3">
      <alignment vertical="center" wrapText="1" shrinkToFit="1"/>
    </xf>
    <xf numFmtId="0" fontId="0" fillId="0" borderId="26" pivotButton="0" quotePrefix="0" xfId="0"/>
    <xf numFmtId="0" fontId="0" fillId="0" borderId="52" pivotButton="0" quotePrefix="0" xfId="0"/>
    <xf numFmtId="41" fontId="5" fillId="2" borderId="5" applyAlignment="1" pivotButton="0" quotePrefix="0" xfId="3">
      <alignment horizontal="center" vertical="center" wrapText="1" shrinkToFit="1"/>
    </xf>
  </cellXfs>
  <cellStyles count="10">
    <cellStyle name="Normal" xfId="0" builtinId="0"/>
    <cellStyle name="Comma" xfId="1" builtinId="3"/>
    <cellStyle name="Percent" xfId="2" builtinId="5"/>
    <cellStyle name="Normal 3" xfId="3"/>
    <cellStyle name="Normal 2" xfId="4"/>
    <cellStyle name="Comma 2 3" xfId="5"/>
    <cellStyle name="Normal_Sotrans Template (1)" xfId="6"/>
    <cellStyle name="Comma 2 2" xfId="7"/>
    <cellStyle name="Normal 5" xfId="8"/>
    <cellStyle name="Normal 28" xfId="9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47625</colOff>
      <row>0</row>
      <rowOff>0</rowOff>
    </from>
    <to>
      <col>3</col>
      <colOff>733425</colOff>
      <row>2</row>
      <rowOff>38100</rowOff>
    </to>
    <pic>
      <nvPicPr>
        <cNvPr id="2" name="Picture 3" descr="Sotrans_Slogan (H)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7625" y="0"/>
          <a:ext cx="2876550" cy="7334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0</colOff>
      <row>0</row>
      <rowOff>57151</rowOff>
    </from>
    <to>
      <col>3</col>
      <colOff>657225</colOff>
      <row>1</row>
      <rowOff>485775</rowOff>
    </to>
    <pic>
      <nvPicPr>
        <cNvPr id="2" name="Picture 3" descr="Sotrans_Slogan (H)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7151"/>
          <a:ext cx="2486025" cy="619124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47625</colOff>
      <row>0</row>
      <rowOff>0</rowOff>
    </from>
    <to>
      <col>3</col>
      <colOff>733425</colOff>
      <row>2</row>
      <rowOff>38100</rowOff>
    </to>
    <pic>
      <nvPicPr>
        <cNvPr id="2" name="Picture 3" descr="Sotrans_Slogan (H)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7625" y="0"/>
          <a:ext cx="2609850" cy="7334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I19" sqref="I19"/>
    </sheetView>
  </sheetViews>
  <sheetFormatPr baseColWidth="8" defaultRowHeight="13.8"/>
  <cols>
    <col width="4.109375" customWidth="1" style="703" min="1" max="1"/>
    <col width="13.33203125" customWidth="1" style="703" min="2" max="2"/>
    <col width="11.44140625" customWidth="1" style="703" min="3" max="3"/>
    <col width="15.88671875" customWidth="1" style="704" min="4" max="4"/>
    <col width="13.44140625" customWidth="1" style="704" min="5" max="5"/>
    <col width="15.6640625" customWidth="1" style="704" min="6" max="6"/>
    <col width="5.109375" customWidth="1" style="703" min="7" max="7"/>
    <col width="7.44140625" customWidth="1" style="703" min="8" max="8"/>
    <col width="7.109375" customWidth="1" style="703" min="9" max="9"/>
    <col width="9.5546875" customWidth="1" style="704" min="10" max="10"/>
    <col width="21.5546875" customWidth="1" style="713" min="11" max="11"/>
    <col hidden="1" width="18.44140625" customWidth="1" style="713" min="12" max="12"/>
    <col width="10.33203125" customWidth="1" style="711" min="13" max="13"/>
    <col width="9.88671875" customWidth="1" style="711" min="14" max="14"/>
    <col width="12.33203125" customWidth="1" style="711" min="15" max="15"/>
    <col width="7.6640625" customWidth="1" style="711" min="16" max="16"/>
    <col width="9.5546875" customWidth="1" style="711" min="17" max="17"/>
    <col width="13" customWidth="1" style="711" min="18" max="18"/>
    <col width="13.33203125" customWidth="1" style="704" min="19" max="19"/>
    <col width="11.5546875" customWidth="1" style="704" min="20" max="20"/>
    <col width="6.88671875" bestFit="1" customWidth="1" style="704" min="21" max="21"/>
    <col width="17.88671875" customWidth="1" style="704" min="22" max="22"/>
    <col width="9" customWidth="1" style="704" min="23" max="258"/>
    <col width="4.109375" customWidth="1" style="704" min="259" max="259"/>
    <col width="13.33203125" customWidth="1" style="704" min="260" max="260"/>
    <col width="9.5546875" customWidth="1" style="704" min="261" max="261"/>
    <col width="15" customWidth="1" style="704" min="262" max="262"/>
    <col width="13" customWidth="1" style="704" min="263" max="264"/>
    <col width="4.33203125" customWidth="1" style="704" min="265" max="265"/>
    <col width="4.88671875" customWidth="1" style="704" min="266" max="266"/>
    <col width="9.5546875" customWidth="1" style="704" min="267" max="267"/>
    <col width="36" customWidth="1" style="704" min="268" max="268"/>
    <col width="11.109375" customWidth="1" style="704" min="269" max="269"/>
    <col width="12.44140625" customWidth="1" style="704" min="270" max="270"/>
    <col width="13.88671875" customWidth="1" style="704" min="271" max="271"/>
    <col width="7.6640625" customWidth="1" style="704" min="272" max="272"/>
    <col width="13" customWidth="1" style="704" min="273" max="273"/>
    <col width="11.5546875" customWidth="1" style="704" min="274" max="274"/>
    <col width="13.33203125" customWidth="1" style="704" min="275" max="275"/>
    <col width="19.44140625" customWidth="1" style="704" min="276" max="276"/>
    <col width="18.88671875" customWidth="1" style="704" min="277" max="277"/>
    <col width="9" customWidth="1" style="704" min="278" max="514"/>
    <col width="4.109375" customWidth="1" style="704" min="515" max="515"/>
    <col width="13.33203125" customWidth="1" style="704" min="516" max="516"/>
    <col width="9.5546875" customWidth="1" style="704" min="517" max="517"/>
    <col width="15" customWidth="1" style="704" min="518" max="518"/>
    <col width="13" customWidth="1" style="704" min="519" max="520"/>
    <col width="4.33203125" customWidth="1" style="704" min="521" max="521"/>
    <col width="4.88671875" customWidth="1" style="704" min="522" max="522"/>
    <col width="9.5546875" customWidth="1" style="704" min="523" max="523"/>
    <col width="36" customWidth="1" style="704" min="524" max="524"/>
    <col width="11.109375" customWidth="1" style="704" min="525" max="525"/>
    <col width="12.44140625" customWidth="1" style="704" min="526" max="526"/>
    <col width="13.88671875" customWidth="1" style="704" min="527" max="527"/>
    <col width="7.6640625" customWidth="1" style="704" min="528" max="528"/>
    <col width="13" customWidth="1" style="704" min="529" max="529"/>
    <col width="11.5546875" customWidth="1" style="704" min="530" max="530"/>
    <col width="13.33203125" customWidth="1" style="704" min="531" max="531"/>
    <col width="19.44140625" customWidth="1" style="704" min="532" max="532"/>
    <col width="18.88671875" customWidth="1" style="704" min="533" max="533"/>
    <col width="9" customWidth="1" style="704" min="534" max="770"/>
    <col width="4.109375" customWidth="1" style="704" min="771" max="771"/>
    <col width="13.33203125" customWidth="1" style="704" min="772" max="772"/>
    <col width="9.5546875" customWidth="1" style="704" min="773" max="773"/>
    <col width="15" customWidth="1" style="704" min="774" max="774"/>
    <col width="13" customWidth="1" style="704" min="775" max="776"/>
    <col width="4.33203125" customWidth="1" style="704" min="777" max="777"/>
    <col width="4.88671875" customWidth="1" style="704" min="778" max="778"/>
    <col width="9.5546875" customWidth="1" style="704" min="779" max="779"/>
    <col width="36" customWidth="1" style="704" min="780" max="780"/>
    <col width="11.109375" customWidth="1" style="704" min="781" max="781"/>
    <col width="12.44140625" customWidth="1" style="704" min="782" max="782"/>
    <col width="13.88671875" customWidth="1" style="704" min="783" max="783"/>
    <col width="7.6640625" customWidth="1" style="704" min="784" max="784"/>
    <col width="13" customWidth="1" style="704" min="785" max="785"/>
    <col width="11.5546875" customWidth="1" style="704" min="786" max="786"/>
    <col width="13.33203125" customWidth="1" style="704" min="787" max="787"/>
    <col width="19.44140625" customWidth="1" style="704" min="788" max="788"/>
    <col width="18.88671875" customWidth="1" style="704" min="789" max="789"/>
    <col width="9" customWidth="1" style="704" min="790" max="1026"/>
    <col width="4.109375" customWidth="1" style="704" min="1027" max="1027"/>
    <col width="13.33203125" customWidth="1" style="704" min="1028" max="1028"/>
    <col width="9.5546875" customWidth="1" style="704" min="1029" max="1029"/>
    <col width="15" customWidth="1" style="704" min="1030" max="1030"/>
    <col width="13" customWidth="1" style="704" min="1031" max="1032"/>
    <col width="4.33203125" customWidth="1" style="704" min="1033" max="1033"/>
    <col width="4.88671875" customWidth="1" style="704" min="1034" max="1034"/>
    <col width="9.5546875" customWidth="1" style="704" min="1035" max="1035"/>
    <col width="36" customWidth="1" style="704" min="1036" max="1036"/>
    <col width="11.109375" customWidth="1" style="704" min="1037" max="1037"/>
    <col width="12.44140625" customWidth="1" style="704" min="1038" max="1038"/>
    <col width="13.88671875" customWidth="1" style="704" min="1039" max="1039"/>
    <col width="7.6640625" customWidth="1" style="704" min="1040" max="1040"/>
    <col width="13" customWidth="1" style="704" min="1041" max="1041"/>
    <col width="11.5546875" customWidth="1" style="704" min="1042" max="1042"/>
    <col width="13.33203125" customWidth="1" style="704" min="1043" max="1043"/>
    <col width="19.44140625" customWidth="1" style="704" min="1044" max="1044"/>
    <col width="18.88671875" customWidth="1" style="704" min="1045" max="1045"/>
    <col width="9" customWidth="1" style="704" min="1046" max="1282"/>
    <col width="4.109375" customWidth="1" style="704" min="1283" max="1283"/>
    <col width="13.33203125" customWidth="1" style="704" min="1284" max="1284"/>
    <col width="9.5546875" customWidth="1" style="704" min="1285" max="1285"/>
    <col width="15" customWidth="1" style="704" min="1286" max="1286"/>
    <col width="13" customWidth="1" style="704" min="1287" max="1288"/>
    <col width="4.33203125" customWidth="1" style="704" min="1289" max="1289"/>
    <col width="4.88671875" customWidth="1" style="704" min="1290" max="1290"/>
    <col width="9.5546875" customWidth="1" style="704" min="1291" max="1291"/>
    <col width="36" customWidth="1" style="704" min="1292" max="1292"/>
    <col width="11.109375" customWidth="1" style="704" min="1293" max="1293"/>
    <col width="12.44140625" customWidth="1" style="704" min="1294" max="1294"/>
    <col width="13.88671875" customWidth="1" style="704" min="1295" max="1295"/>
    <col width="7.6640625" customWidth="1" style="704" min="1296" max="1296"/>
    <col width="13" customWidth="1" style="704" min="1297" max="1297"/>
    <col width="11.5546875" customWidth="1" style="704" min="1298" max="1298"/>
    <col width="13.33203125" customWidth="1" style="704" min="1299" max="1299"/>
    <col width="19.44140625" customWidth="1" style="704" min="1300" max="1300"/>
    <col width="18.88671875" customWidth="1" style="704" min="1301" max="1301"/>
    <col width="9" customWidth="1" style="704" min="1302" max="1538"/>
    <col width="4.109375" customWidth="1" style="704" min="1539" max="1539"/>
    <col width="13.33203125" customWidth="1" style="704" min="1540" max="1540"/>
    <col width="9.5546875" customWidth="1" style="704" min="1541" max="1541"/>
    <col width="15" customWidth="1" style="704" min="1542" max="1542"/>
    <col width="13" customWidth="1" style="704" min="1543" max="1544"/>
    <col width="4.33203125" customWidth="1" style="704" min="1545" max="1545"/>
    <col width="4.88671875" customWidth="1" style="704" min="1546" max="1546"/>
    <col width="9.5546875" customWidth="1" style="704" min="1547" max="1547"/>
    <col width="36" customWidth="1" style="704" min="1548" max="1548"/>
    <col width="11.109375" customWidth="1" style="704" min="1549" max="1549"/>
    <col width="12.44140625" customWidth="1" style="704" min="1550" max="1550"/>
    <col width="13.88671875" customWidth="1" style="704" min="1551" max="1551"/>
    <col width="7.6640625" customWidth="1" style="704" min="1552" max="1552"/>
    <col width="13" customWidth="1" style="704" min="1553" max="1553"/>
    <col width="11.5546875" customWidth="1" style="704" min="1554" max="1554"/>
    <col width="13.33203125" customWidth="1" style="704" min="1555" max="1555"/>
    <col width="19.44140625" customWidth="1" style="704" min="1556" max="1556"/>
    <col width="18.88671875" customWidth="1" style="704" min="1557" max="1557"/>
    <col width="9" customWidth="1" style="704" min="1558" max="1794"/>
    <col width="4.109375" customWidth="1" style="704" min="1795" max="1795"/>
    <col width="13.33203125" customWidth="1" style="704" min="1796" max="1796"/>
    <col width="9.5546875" customWidth="1" style="704" min="1797" max="1797"/>
    <col width="15" customWidth="1" style="704" min="1798" max="1798"/>
    <col width="13" customWidth="1" style="704" min="1799" max="1800"/>
    <col width="4.33203125" customWidth="1" style="704" min="1801" max="1801"/>
    <col width="4.88671875" customWidth="1" style="704" min="1802" max="1802"/>
    <col width="9.5546875" customWidth="1" style="704" min="1803" max="1803"/>
    <col width="36" customWidth="1" style="704" min="1804" max="1804"/>
    <col width="11.109375" customWidth="1" style="704" min="1805" max="1805"/>
    <col width="12.44140625" customWidth="1" style="704" min="1806" max="1806"/>
    <col width="13.88671875" customWidth="1" style="704" min="1807" max="1807"/>
    <col width="7.6640625" customWidth="1" style="704" min="1808" max="1808"/>
    <col width="13" customWidth="1" style="704" min="1809" max="1809"/>
    <col width="11.5546875" customWidth="1" style="704" min="1810" max="1810"/>
    <col width="13.33203125" customWidth="1" style="704" min="1811" max="1811"/>
    <col width="19.44140625" customWidth="1" style="704" min="1812" max="1812"/>
    <col width="18.88671875" customWidth="1" style="704" min="1813" max="1813"/>
    <col width="9" customWidth="1" style="704" min="1814" max="2050"/>
    <col width="4.109375" customWidth="1" style="704" min="2051" max="2051"/>
    <col width="13.33203125" customWidth="1" style="704" min="2052" max="2052"/>
    <col width="9.5546875" customWidth="1" style="704" min="2053" max="2053"/>
    <col width="15" customWidth="1" style="704" min="2054" max="2054"/>
    <col width="13" customWidth="1" style="704" min="2055" max="2056"/>
    <col width="4.33203125" customWidth="1" style="704" min="2057" max="2057"/>
    <col width="4.88671875" customWidth="1" style="704" min="2058" max="2058"/>
    <col width="9.5546875" customWidth="1" style="704" min="2059" max="2059"/>
    <col width="36" customWidth="1" style="704" min="2060" max="2060"/>
    <col width="11.109375" customWidth="1" style="704" min="2061" max="2061"/>
    <col width="12.44140625" customWidth="1" style="704" min="2062" max="2062"/>
    <col width="13.88671875" customWidth="1" style="704" min="2063" max="2063"/>
    <col width="7.6640625" customWidth="1" style="704" min="2064" max="2064"/>
    <col width="13" customWidth="1" style="704" min="2065" max="2065"/>
    <col width="11.5546875" customWidth="1" style="704" min="2066" max="2066"/>
    <col width="13.33203125" customWidth="1" style="704" min="2067" max="2067"/>
    <col width="19.44140625" customWidth="1" style="704" min="2068" max="2068"/>
    <col width="18.88671875" customWidth="1" style="704" min="2069" max="2069"/>
    <col width="9" customWidth="1" style="704" min="2070" max="2306"/>
    <col width="4.109375" customWidth="1" style="704" min="2307" max="2307"/>
    <col width="13.33203125" customWidth="1" style="704" min="2308" max="2308"/>
    <col width="9.5546875" customWidth="1" style="704" min="2309" max="2309"/>
    <col width="15" customWidth="1" style="704" min="2310" max="2310"/>
    <col width="13" customWidth="1" style="704" min="2311" max="2312"/>
    <col width="4.33203125" customWidth="1" style="704" min="2313" max="2313"/>
    <col width="4.88671875" customWidth="1" style="704" min="2314" max="2314"/>
    <col width="9.5546875" customWidth="1" style="704" min="2315" max="2315"/>
    <col width="36" customWidth="1" style="704" min="2316" max="2316"/>
    <col width="11.109375" customWidth="1" style="704" min="2317" max="2317"/>
    <col width="12.44140625" customWidth="1" style="704" min="2318" max="2318"/>
    <col width="13.88671875" customWidth="1" style="704" min="2319" max="2319"/>
    <col width="7.6640625" customWidth="1" style="704" min="2320" max="2320"/>
    <col width="13" customWidth="1" style="704" min="2321" max="2321"/>
    <col width="11.5546875" customWidth="1" style="704" min="2322" max="2322"/>
    <col width="13.33203125" customWidth="1" style="704" min="2323" max="2323"/>
    <col width="19.44140625" customWidth="1" style="704" min="2324" max="2324"/>
    <col width="18.88671875" customWidth="1" style="704" min="2325" max="2325"/>
    <col width="9" customWidth="1" style="704" min="2326" max="2562"/>
    <col width="4.109375" customWidth="1" style="704" min="2563" max="2563"/>
    <col width="13.33203125" customWidth="1" style="704" min="2564" max="2564"/>
    <col width="9.5546875" customWidth="1" style="704" min="2565" max="2565"/>
    <col width="15" customWidth="1" style="704" min="2566" max="2566"/>
    <col width="13" customWidth="1" style="704" min="2567" max="2568"/>
    <col width="4.33203125" customWidth="1" style="704" min="2569" max="2569"/>
    <col width="4.88671875" customWidth="1" style="704" min="2570" max="2570"/>
    <col width="9.5546875" customWidth="1" style="704" min="2571" max="2571"/>
    <col width="36" customWidth="1" style="704" min="2572" max="2572"/>
    <col width="11.109375" customWidth="1" style="704" min="2573" max="2573"/>
    <col width="12.44140625" customWidth="1" style="704" min="2574" max="2574"/>
    <col width="13.88671875" customWidth="1" style="704" min="2575" max="2575"/>
    <col width="7.6640625" customWidth="1" style="704" min="2576" max="2576"/>
    <col width="13" customWidth="1" style="704" min="2577" max="2577"/>
    <col width="11.5546875" customWidth="1" style="704" min="2578" max="2578"/>
    <col width="13.33203125" customWidth="1" style="704" min="2579" max="2579"/>
    <col width="19.44140625" customWidth="1" style="704" min="2580" max="2580"/>
    <col width="18.88671875" customWidth="1" style="704" min="2581" max="2581"/>
    <col width="9" customWidth="1" style="704" min="2582" max="2818"/>
    <col width="4.109375" customWidth="1" style="704" min="2819" max="2819"/>
    <col width="13.33203125" customWidth="1" style="704" min="2820" max="2820"/>
    <col width="9.5546875" customWidth="1" style="704" min="2821" max="2821"/>
    <col width="15" customWidth="1" style="704" min="2822" max="2822"/>
    <col width="13" customWidth="1" style="704" min="2823" max="2824"/>
    <col width="4.33203125" customWidth="1" style="704" min="2825" max="2825"/>
    <col width="4.88671875" customWidth="1" style="704" min="2826" max="2826"/>
    <col width="9.5546875" customWidth="1" style="704" min="2827" max="2827"/>
    <col width="36" customWidth="1" style="704" min="2828" max="2828"/>
    <col width="11.109375" customWidth="1" style="704" min="2829" max="2829"/>
    <col width="12.44140625" customWidth="1" style="704" min="2830" max="2830"/>
    <col width="13.88671875" customWidth="1" style="704" min="2831" max="2831"/>
    <col width="7.6640625" customWidth="1" style="704" min="2832" max="2832"/>
    <col width="13" customWidth="1" style="704" min="2833" max="2833"/>
    <col width="11.5546875" customWidth="1" style="704" min="2834" max="2834"/>
    <col width="13.33203125" customWidth="1" style="704" min="2835" max="2835"/>
    <col width="19.44140625" customWidth="1" style="704" min="2836" max="2836"/>
    <col width="18.88671875" customWidth="1" style="704" min="2837" max="2837"/>
    <col width="9" customWidth="1" style="704" min="2838" max="3074"/>
    <col width="4.109375" customWidth="1" style="704" min="3075" max="3075"/>
    <col width="13.33203125" customWidth="1" style="704" min="3076" max="3076"/>
    <col width="9.5546875" customWidth="1" style="704" min="3077" max="3077"/>
    <col width="15" customWidth="1" style="704" min="3078" max="3078"/>
    <col width="13" customWidth="1" style="704" min="3079" max="3080"/>
    <col width="4.33203125" customWidth="1" style="704" min="3081" max="3081"/>
    <col width="4.88671875" customWidth="1" style="704" min="3082" max="3082"/>
    <col width="9.5546875" customWidth="1" style="704" min="3083" max="3083"/>
    <col width="36" customWidth="1" style="704" min="3084" max="3084"/>
    <col width="11.109375" customWidth="1" style="704" min="3085" max="3085"/>
    <col width="12.44140625" customWidth="1" style="704" min="3086" max="3086"/>
    <col width="13.88671875" customWidth="1" style="704" min="3087" max="3087"/>
    <col width="7.6640625" customWidth="1" style="704" min="3088" max="3088"/>
    <col width="13" customWidth="1" style="704" min="3089" max="3089"/>
    <col width="11.5546875" customWidth="1" style="704" min="3090" max="3090"/>
    <col width="13.33203125" customWidth="1" style="704" min="3091" max="3091"/>
    <col width="19.44140625" customWidth="1" style="704" min="3092" max="3092"/>
    <col width="18.88671875" customWidth="1" style="704" min="3093" max="3093"/>
    <col width="9" customWidth="1" style="704" min="3094" max="3330"/>
    <col width="4.109375" customWidth="1" style="704" min="3331" max="3331"/>
    <col width="13.33203125" customWidth="1" style="704" min="3332" max="3332"/>
    <col width="9.5546875" customWidth="1" style="704" min="3333" max="3333"/>
    <col width="15" customWidth="1" style="704" min="3334" max="3334"/>
    <col width="13" customWidth="1" style="704" min="3335" max="3336"/>
    <col width="4.33203125" customWidth="1" style="704" min="3337" max="3337"/>
    <col width="4.88671875" customWidth="1" style="704" min="3338" max="3338"/>
    <col width="9.5546875" customWidth="1" style="704" min="3339" max="3339"/>
    <col width="36" customWidth="1" style="704" min="3340" max="3340"/>
    <col width="11.109375" customWidth="1" style="704" min="3341" max="3341"/>
    <col width="12.44140625" customWidth="1" style="704" min="3342" max="3342"/>
    <col width="13.88671875" customWidth="1" style="704" min="3343" max="3343"/>
    <col width="7.6640625" customWidth="1" style="704" min="3344" max="3344"/>
    <col width="13" customWidth="1" style="704" min="3345" max="3345"/>
    <col width="11.5546875" customWidth="1" style="704" min="3346" max="3346"/>
    <col width="13.33203125" customWidth="1" style="704" min="3347" max="3347"/>
    <col width="19.44140625" customWidth="1" style="704" min="3348" max="3348"/>
    <col width="18.88671875" customWidth="1" style="704" min="3349" max="3349"/>
    <col width="9" customWidth="1" style="704" min="3350" max="3586"/>
    <col width="4.109375" customWidth="1" style="704" min="3587" max="3587"/>
    <col width="13.33203125" customWidth="1" style="704" min="3588" max="3588"/>
    <col width="9.5546875" customWidth="1" style="704" min="3589" max="3589"/>
    <col width="15" customWidth="1" style="704" min="3590" max="3590"/>
    <col width="13" customWidth="1" style="704" min="3591" max="3592"/>
    <col width="4.33203125" customWidth="1" style="704" min="3593" max="3593"/>
    <col width="4.88671875" customWidth="1" style="704" min="3594" max="3594"/>
    <col width="9.5546875" customWidth="1" style="704" min="3595" max="3595"/>
    <col width="36" customWidth="1" style="704" min="3596" max="3596"/>
    <col width="11.109375" customWidth="1" style="704" min="3597" max="3597"/>
    <col width="12.44140625" customWidth="1" style="704" min="3598" max="3598"/>
    <col width="13.88671875" customWidth="1" style="704" min="3599" max="3599"/>
    <col width="7.6640625" customWidth="1" style="704" min="3600" max="3600"/>
    <col width="13" customWidth="1" style="704" min="3601" max="3601"/>
    <col width="11.5546875" customWidth="1" style="704" min="3602" max="3602"/>
    <col width="13.33203125" customWidth="1" style="704" min="3603" max="3603"/>
    <col width="19.44140625" customWidth="1" style="704" min="3604" max="3604"/>
    <col width="18.88671875" customWidth="1" style="704" min="3605" max="3605"/>
    <col width="9" customWidth="1" style="704" min="3606" max="3842"/>
    <col width="4.109375" customWidth="1" style="704" min="3843" max="3843"/>
    <col width="13.33203125" customWidth="1" style="704" min="3844" max="3844"/>
    <col width="9.5546875" customWidth="1" style="704" min="3845" max="3845"/>
    <col width="15" customWidth="1" style="704" min="3846" max="3846"/>
    <col width="13" customWidth="1" style="704" min="3847" max="3848"/>
    <col width="4.33203125" customWidth="1" style="704" min="3849" max="3849"/>
    <col width="4.88671875" customWidth="1" style="704" min="3850" max="3850"/>
    <col width="9.5546875" customWidth="1" style="704" min="3851" max="3851"/>
    <col width="36" customWidth="1" style="704" min="3852" max="3852"/>
    <col width="11.109375" customWidth="1" style="704" min="3853" max="3853"/>
    <col width="12.44140625" customWidth="1" style="704" min="3854" max="3854"/>
    <col width="13.88671875" customWidth="1" style="704" min="3855" max="3855"/>
    <col width="7.6640625" customWidth="1" style="704" min="3856" max="3856"/>
    <col width="13" customWidth="1" style="704" min="3857" max="3857"/>
    <col width="11.5546875" customWidth="1" style="704" min="3858" max="3858"/>
    <col width="13.33203125" customWidth="1" style="704" min="3859" max="3859"/>
    <col width="19.44140625" customWidth="1" style="704" min="3860" max="3860"/>
    <col width="18.88671875" customWidth="1" style="704" min="3861" max="3861"/>
    <col width="9" customWidth="1" style="704" min="3862" max="4098"/>
    <col width="4.109375" customWidth="1" style="704" min="4099" max="4099"/>
    <col width="13.33203125" customWidth="1" style="704" min="4100" max="4100"/>
    <col width="9.5546875" customWidth="1" style="704" min="4101" max="4101"/>
    <col width="15" customWidth="1" style="704" min="4102" max="4102"/>
    <col width="13" customWidth="1" style="704" min="4103" max="4104"/>
    <col width="4.33203125" customWidth="1" style="704" min="4105" max="4105"/>
    <col width="4.88671875" customWidth="1" style="704" min="4106" max="4106"/>
    <col width="9.5546875" customWidth="1" style="704" min="4107" max="4107"/>
    <col width="36" customWidth="1" style="704" min="4108" max="4108"/>
    <col width="11.109375" customWidth="1" style="704" min="4109" max="4109"/>
    <col width="12.44140625" customWidth="1" style="704" min="4110" max="4110"/>
    <col width="13.88671875" customWidth="1" style="704" min="4111" max="4111"/>
    <col width="7.6640625" customWidth="1" style="704" min="4112" max="4112"/>
    <col width="13" customWidth="1" style="704" min="4113" max="4113"/>
    <col width="11.5546875" customWidth="1" style="704" min="4114" max="4114"/>
    <col width="13.33203125" customWidth="1" style="704" min="4115" max="4115"/>
    <col width="19.44140625" customWidth="1" style="704" min="4116" max="4116"/>
    <col width="18.88671875" customWidth="1" style="704" min="4117" max="4117"/>
    <col width="9" customWidth="1" style="704" min="4118" max="4354"/>
    <col width="4.109375" customWidth="1" style="704" min="4355" max="4355"/>
    <col width="13.33203125" customWidth="1" style="704" min="4356" max="4356"/>
    <col width="9.5546875" customWidth="1" style="704" min="4357" max="4357"/>
    <col width="15" customWidth="1" style="704" min="4358" max="4358"/>
    <col width="13" customWidth="1" style="704" min="4359" max="4360"/>
    <col width="4.33203125" customWidth="1" style="704" min="4361" max="4361"/>
    <col width="4.88671875" customWidth="1" style="704" min="4362" max="4362"/>
    <col width="9.5546875" customWidth="1" style="704" min="4363" max="4363"/>
    <col width="36" customWidth="1" style="704" min="4364" max="4364"/>
    <col width="11.109375" customWidth="1" style="704" min="4365" max="4365"/>
    <col width="12.44140625" customWidth="1" style="704" min="4366" max="4366"/>
    <col width="13.88671875" customWidth="1" style="704" min="4367" max="4367"/>
    <col width="7.6640625" customWidth="1" style="704" min="4368" max="4368"/>
    <col width="13" customWidth="1" style="704" min="4369" max="4369"/>
    <col width="11.5546875" customWidth="1" style="704" min="4370" max="4370"/>
    <col width="13.33203125" customWidth="1" style="704" min="4371" max="4371"/>
    <col width="19.44140625" customWidth="1" style="704" min="4372" max="4372"/>
    <col width="18.88671875" customWidth="1" style="704" min="4373" max="4373"/>
    <col width="9" customWidth="1" style="704" min="4374" max="4610"/>
    <col width="4.109375" customWidth="1" style="704" min="4611" max="4611"/>
    <col width="13.33203125" customWidth="1" style="704" min="4612" max="4612"/>
    <col width="9.5546875" customWidth="1" style="704" min="4613" max="4613"/>
    <col width="15" customWidth="1" style="704" min="4614" max="4614"/>
    <col width="13" customWidth="1" style="704" min="4615" max="4616"/>
    <col width="4.33203125" customWidth="1" style="704" min="4617" max="4617"/>
    <col width="4.88671875" customWidth="1" style="704" min="4618" max="4618"/>
    <col width="9.5546875" customWidth="1" style="704" min="4619" max="4619"/>
    <col width="36" customWidth="1" style="704" min="4620" max="4620"/>
    <col width="11.109375" customWidth="1" style="704" min="4621" max="4621"/>
    <col width="12.44140625" customWidth="1" style="704" min="4622" max="4622"/>
    <col width="13.88671875" customWidth="1" style="704" min="4623" max="4623"/>
    <col width="7.6640625" customWidth="1" style="704" min="4624" max="4624"/>
    <col width="13" customWidth="1" style="704" min="4625" max="4625"/>
    <col width="11.5546875" customWidth="1" style="704" min="4626" max="4626"/>
    <col width="13.33203125" customWidth="1" style="704" min="4627" max="4627"/>
    <col width="19.44140625" customWidth="1" style="704" min="4628" max="4628"/>
    <col width="18.88671875" customWidth="1" style="704" min="4629" max="4629"/>
    <col width="9" customWidth="1" style="704" min="4630" max="4866"/>
    <col width="4.109375" customWidth="1" style="704" min="4867" max="4867"/>
    <col width="13.33203125" customWidth="1" style="704" min="4868" max="4868"/>
    <col width="9.5546875" customWidth="1" style="704" min="4869" max="4869"/>
    <col width="15" customWidth="1" style="704" min="4870" max="4870"/>
    <col width="13" customWidth="1" style="704" min="4871" max="4872"/>
    <col width="4.33203125" customWidth="1" style="704" min="4873" max="4873"/>
    <col width="4.88671875" customWidth="1" style="704" min="4874" max="4874"/>
    <col width="9.5546875" customWidth="1" style="704" min="4875" max="4875"/>
    <col width="36" customWidth="1" style="704" min="4876" max="4876"/>
    <col width="11.109375" customWidth="1" style="704" min="4877" max="4877"/>
    <col width="12.44140625" customWidth="1" style="704" min="4878" max="4878"/>
    <col width="13.88671875" customWidth="1" style="704" min="4879" max="4879"/>
    <col width="7.6640625" customWidth="1" style="704" min="4880" max="4880"/>
    <col width="13" customWidth="1" style="704" min="4881" max="4881"/>
    <col width="11.5546875" customWidth="1" style="704" min="4882" max="4882"/>
    <col width="13.33203125" customWidth="1" style="704" min="4883" max="4883"/>
    <col width="19.44140625" customWidth="1" style="704" min="4884" max="4884"/>
    <col width="18.88671875" customWidth="1" style="704" min="4885" max="4885"/>
    <col width="9" customWidth="1" style="704" min="4886" max="5122"/>
    <col width="4.109375" customWidth="1" style="704" min="5123" max="5123"/>
    <col width="13.33203125" customWidth="1" style="704" min="5124" max="5124"/>
    <col width="9.5546875" customWidth="1" style="704" min="5125" max="5125"/>
    <col width="15" customWidth="1" style="704" min="5126" max="5126"/>
    <col width="13" customWidth="1" style="704" min="5127" max="5128"/>
    <col width="4.33203125" customWidth="1" style="704" min="5129" max="5129"/>
    <col width="4.88671875" customWidth="1" style="704" min="5130" max="5130"/>
    <col width="9.5546875" customWidth="1" style="704" min="5131" max="5131"/>
    <col width="36" customWidth="1" style="704" min="5132" max="5132"/>
    <col width="11.109375" customWidth="1" style="704" min="5133" max="5133"/>
    <col width="12.44140625" customWidth="1" style="704" min="5134" max="5134"/>
    <col width="13.88671875" customWidth="1" style="704" min="5135" max="5135"/>
    <col width="7.6640625" customWidth="1" style="704" min="5136" max="5136"/>
    <col width="13" customWidth="1" style="704" min="5137" max="5137"/>
    <col width="11.5546875" customWidth="1" style="704" min="5138" max="5138"/>
    <col width="13.33203125" customWidth="1" style="704" min="5139" max="5139"/>
    <col width="19.44140625" customWidth="1" style="704" min="5140" max="5140"/>
    <col width="18.88671875" customWidth="1" style="704" min="5141" max="5141"/>
    <col width="9" customWidth="1" style="704" min="5142" max="5378"/>
    <col width="4.109375" customWidth="1" style="704" min="5379" max="5379"/>
    <col width="13.33203125" customWidth="1" style="704" min="5380" max="5380"/>
    <col width="9.5546875" customWidth="1" style="704" min="5381" max="5381"/>
    <col width="15" customWidth="1" style="704" min="5382" max="5382"/>
    <col width="13" customWidth="1" style="704" min="5383" max="5384"/>
    <col width="4.33203125" customWidth="1" style="704" min="5385" max="5385"/>
    <col width="4.88671875" customWidth="1" style="704" min="5386" max="5386"/>
    <col width="9.5546875" customWidth="1" style="704" min="5387" max="5387"/>
    <col width="36" customWidth="1" style="704" min="5388" max="5388"/>
    <col width="11.109375" customWidth="1" style="704" min="5389" max="5389"/>
    <col width="12.44140625" customWidth="1" style="704" min="5390" max="5390"/>
    <col width="13.88671875" customWidth="1" style="704" min="5391" max="5391"/>
    <col width="7.6640625" customWidth="1" style="704" min="5392" max="5392"/>
    <col width="13" customWidth="1" style="704" min="5393" max="5393"/>
    <col width="11.5546875" customWidth="1" style="704" min="5394" max="5394"/>
    <col width="13.33203125" customWidth="1" style="704" min="5395" max="5395"/>
    <col width="19.44140625" customWidth="1" style="704" min="5396" max="5396"/>
    <col width="18.88671875" customWidth="1" style="704" min="5397" max="5397"/>
    <col width="9" customWidth="1" style="704" min="5398" max="5634"/>
    <col width="4.109375" customWidth="1" style="704" min="5635" max="5635"/>
    <col width="13.33203125" customWidth="1" style="704" min="5636" max="5636"/>
    <col width="9.5546875" customWidth="1" style="704" min="5637" max="5637"/>
    <col width="15" customWidth="1" style="704" min="5638" max="5638"/>
    <col width="13" customWidth="1" style="704" min="5639" max="5640"/>
    <col width="4.33203125" customWidth="1" style="704" min="5641" max="5641"/>
    <col width="4.88671875" customWidth="1" style="704" min="5642" max="5642"/>
    <col width="9.5546875" customWidth="1" style="704" min="5643" max="5643"/>
    <col width="36" customWidth="1" style="704" min="5644" max="5644"/>
    <col width="11.109375" customWidth="1" style="704" min="5645" max="5645"/>
    <col width="12.44140625" customWidth="1" style="704" min="5646" max="5646"/>
    <col width="13.88671875" customWidth="1" style="704" min="5647" max="5647"/>
    <col width="7.6640625" customWidth="1" style="704" min="5648" max="5648"/>
    <col width="13" customWidth="1" style="704" min="5649" max="5649"/>
    <col width="11.5546875" customWidth="1" style="704" min="5650" max="5650"/>
    <col width="13.33203125" customWidth="1" style="704" min="5651" max="5651"/>
    <col width="19.44140625" customWidth="1" style="704" min="5652" max="5652"/>
    <col width="18.88671875" customWidth="1" style="704" min="5653" max="5653"/>
    <col width="9" customWidth="1" style="704" min="5654" max="5890"/>
    <col width="4.109375" customWidth="1" style="704" min="5891" max="5891"/>
    <col width="13.33203125" customWidth="1" style="704" min="5892" max="5892"/>
    <col width="9.5546875" customWidth="1" style="704" min="5893" max="5893"/>
    <col width="15" customWidth="1" style="704" min="5894" max="5894"/>
    <col width="13" customWidth="1" style="704" min="5895" max="5896"/>
    <col width="4.33203125" customWidth="1" style="704" min="5897" max="5897"/>
    <col width="4.88671875" customWidth="1" style="704" min="5898" max="5898"/>
    <col width="9.5546875" customWidth="1" style="704" min="5899" max="5899"/>
    <col width="36" customWidth="1" style="704" min="5900" max="5900"/>
    <col width="11.109375" customWidth="1" style="704" min="5901" max="5901"/>
    <col width="12.44140625" customWidth="1" style="704" min="5902" max="5902"/>
    <col width="13.88671875" customWidth="1" style="704" min="5903" max="5903"/>
    <col width="7.6640625" customWidth="1" style="704" min="5904" max="5904"/>
    <col width="13" customWidth="1" style="704" min="5905" max="5905"/>
    <col width="11.5546875" customWidth="1" style="704" min="5906" max="5906"/>
    <col width="13.33203125" customWidth="1" style="704" min="5907" max="5907"/>
    <col width="19.44140625" customWidth="1" style="704" min="5908" max="5908"/>
    <col width="18.88671875" customWidth="1" style="704" min="5909" max="5909"/>
    <col width="9" customWidth="1" style="704" min="5910" max="6146"/>
    <col width="4.109375" customWidth="1" style="704" min="6147" max="6147"/>
    <col width="13.33203125" customWidth="1" style="704" min="6148" max="6148"/>
    <col width="9.5546875" customWidth="1" style="704" min="6149" max="6149"/>
    <col width="15" customWidth="1" style="704" min="6150" max="6150"/>
    <col width="13" customWidth="1" style="704" min="6151" max="6152"/>
    <col width="4.33203125" customWidth="1" style="704" min="6153" max="6153"/>
    <col width="4.88671875" customWidth="1" style="704" min="6154" max="6154"/>
    <col width="9.5546875" customWidth="1" style="704" min="6155" max="6155"/>
    <col width="36" customWidth="1" style="704" min="6156" max="6156"/>
    <col width="11.109375" customWidth="1" style="704" min="6157" max="6157"/>
    <col width="12.44140625" customWidth="1" style="704" min="6158" max="6158"/>
    <col width="13.88671875" customWidth="1" style="704" min="6159" max="6159"/>
    <col width="7.6640625" customWidth="1" style="704" min="6160" max="6160"/>
    <col width="13" customWidth="1" style="704" min="6161" max="6161"/>
    <col width="11.5546875" customWidth="1" style="704" min="6162" max="6162"/>
    <col width="13.33203125" customWidth="1" style="704" min="6163" max="6163"/>
    <col width="19.44140625" customWidth="1" style="704" min="6164" max="6164"/>
    <col width="18.88671875" customWidth="1" style="704" min="6165" max="6165"/>
    <col width="9" customWidth="1" style="704" min="6166" max="6402"/>
    <col width="4.109375" customWidth="1" style="704" min="6403" max="6403"/>
    <col width="13.33203125" customWidth="1" style="704" min="6404" max="6404"/>
    <col width="9.5546875" customWidth="1" style="704" min="6405" max="6405"/>
    <col width="15" customWidth="1" style="704" min="6406" max="6406"/>
    <col width="13" customWidth="1" style="704" min="6407" max="6408"/>
    <col width="4.33203125" customWidth="1" style="704" min="6409" max="6409"/>
    <col width="4.88671875" customWidth="1" style="704" min="6410" max="6410"/>
    <col width="9.5546875" customWidth="1" style="704" min="6411" max="6411"/>
    <col width="36" customWidth="1" style="704" min="6412" max="6412"/>
    <col width="11.109375" customWidth="1" style="704" min="6413" max="6413"/>
    <col width="12.44140625" customWidth="1" style="704" min="6414" max="6414"/>
    <col width="13.88671875" customWidth="1" style="704" min="6415" max="6415"/>
    <col width="7.6640625" customWidth="1" style="704" min="6416" max="6416"/>
    <col width="13" customWidth="1" style="704" min="6417" max="6417"/>
    <col width="11.5546875" customWidth="1" style="704" min="6418" max="6418"/>
    <col width="13.33203125" customWidth="1" style="704" min="6419" max="6419"/>
    <col width="19.44140625" customWidth="1" style="704" min="6420" max="6420"/>
    <col width="18.88671875" customWidth="1" style="704" min="6421" max="6421"/>
    <col width="9" customWidth="1" style="704" min="6422" max="6658"/>
    <col width="4.109375" customWidth="1" style="704" min="6659" max="6659"/>
    <col width="13.33203125" customWidth="1" style="704" min="6660" max="6660"/>
    <col width="9.5546875" customWidth="1" style="704" min="6661" max="6661"/>
    <col width="15" customWidth="1" style="704" min="6662" max="6662"/>
    <col width="13" customWidth="1" style="704" min="6663" max="6664"/>
    <col width="4.33203125" customWidth="1" style="704" min="6665" max="6665"/>
    <col width="4.88671875" customWidth="1" style="704" min="6666" max="6666"/>
    <col width="9.5546875" customWidth="1" style="704" min="6667" max="6667"/>
    <col width="36" customWidth="1" style="704" min="6668" max="6668"/>
    <col width="11.109375" customWidth="1" style="704" min="6669" max="6669"/>
    <col width="12.44140625" customWidth="1" style="704" min="6670" max="6670"/>
    <col width="13.88671875" customWidth="1" style="704" min="6671" max="6671"/>
    <col width="7.6640625" customWidth="1" style="704" min="6672" max="6672"/>
    <col width="13" customWidth="1" style="704" min="6673" max="6673"/>
    <col width="11.5546875" customWidth="1" style="704" min="6674" max="6674"/>
    <col width="13.33203125" customWidth="1" style="704" min="6675" max="6675"/>
    <col width="19.44140625" customWidth="1" style="704" min="6676" max="6676"/>
    <col width="18.88671875" customWidth="1" style="704" min="6677" max="6677"/>
    <col width="9" customWidth="1" style="704" min="6678" max="6914"/>
    <col width="4.109375" customWidth="1" style="704" min="6915" max="6915"/>
    <col width="13.33203125" customWidth="1" style="704" min="6916" max="6916"/>
    <col width="9.5546875" customWidth="1" style="704" min="6917" max="6917"/>
    <col width="15" customWidth="1" style="704" min="6918" max="6918"/>
    <col width="13" customWidth="1" style="704" min="6919" max="6920"/>
    <col width="4.33203125" customWidth="1" style="704" min="6921" max="6921"/>
    <col width="4.88671875" customWidth="1" style="704" min="6922" max="6922"/>
    <col width="9.5546875" customWidth="1" style="704" min="6923" max="6923"/>
    <col width="36" customWidth="1" style="704" min="6924" max="6924"/>
    <col width="11.109375" customWidth="1" style="704" min="6925" max="6925"/>
    <col width="12.44140625" customWidth="1" style="704" min="6926" max="6926"/>
    <col width="13.88671875" customWidth="1" style="704" min="6927" max="6927"/>
    <col width="7.6640625" customWidth="1" style="704" min="6928" max="6928"/>
    <col width="13" customWidth="1" style="704" min="6929" max="6929"/>
    <col width="11.5546875" customWidth="1" style="704" min="6930" max="6930"/>
    <col width="13.33203125" customWidth="1" style="704" min="6931" max="6931"/>
    <col width="19.44140625" customWidth="1" style="704" min="6932" max="6932"/>
    <col width="18.88671875" customWidth="1" style="704" min="6933" max="6933"/>
    <col width="9" customWidth="1" style="704" min="6934" max="7170"/>
    <col width="4.109375" customWidth="1" style="704" min="7171" max="7171"/>
    <col width="13.33203125" customWidth="1" style="704" min="7172" max="7172"/>
    <col width="9.5546875" customWidth="1" style="704" min="7173" max="7173"/>
    <col width="15" customWidth="1" style="704" min="7174" max="7174"/>
    <col width="13" customWidth="1" style="704" min="7175" max="7176"/>
    <col width="4.33203125" customWidth="1" style="704" min="7177" max="7177"/>
    <col width="4.88671875" customWidth="1" style="704" min="7178" max="7178"/>
    <col width="9.5546875" customWidth="1" style="704" min="7179" max="7179"/>
    <col width="36" customWidth="1" style="704" min="7180" max="7180"/>
    <col width="11.109375" customWidth="1" style="704" min="7181" max="7181"/>
    <col width="12.44140625" customWidth="1" style="704" min="7182" max="7182"/>
    <col width="13.88671875" customWidth="1" style="704" min="7183" max="7183"/>
    <col width="7.6640625" customWidth="1" style="704" min="7184" max="7184"/>
    <col width="13" customWidth="1" style="704" min="7185" max="7185"/>
    <col width="11.5546875" customWidth="1" style="704" min="7186" max="7186"/>
    <col width="13.33203125" customWidth="1" style="704" min="7187" max="7187"/>
    <col width="19.44140625" customWidth="1" style="704" min="7188" max="7188"/>
    <col width="18.88671875" customWidth="1" style="704" min="7189" max="7189"/>
    <col width="9" customWidth="1" style="704" min="7190" max="7426"/>
    <col width="4.109375" customWidth="1" style="704" min="7427" max="7427"/>
    <col width="13.33203125" customWidth="1" style="704" min="7428" max="7428"/>
    <col width="9.5546875" customWidth="1" style="704" min="7429" max="7429"/>
    <col width="15" customWidth="1" style="704" min="7430" max="7430"/>
    <col width="13" customWidth="1" style="704" min="7431" max="7432"/>
    <col width="4.33203125" customWidth="1" style="704" min="7433" max="7433"/>
    <col width="4.88671875" customWidth="1" style="704" min="7434" max="7434"/>
    <col width="9.5546875" customWidth="1" style="704" min="7435" max="7435"/>
    <col width="36" customWidth="1" style="704" min="7436" max="7436"/>
    <col width="11.109375" customWidth="1" style="704" min="7437" max="7437"/>
    <col width="12.44140625" customWidth="1" style="704" min="7438" max="7438"/>
    <col width="13.88671875" customWidth="1" style="704" min="7439" max="7439"/>
    <col width="7.6640625" customWidth="1" style="704" min="7440" max="7440"/>
    <col width="13" customWidth="1" style="704" min="7441" max="7441"/>
    <col width="11.5546875" customWidth="1" style="704" min="7442" max="7442"/>
    <col width="13.33203125" customWidth="1" style="704" min="7443" max="7443"/>
    <col width="19.44140625" customWidth="1" style="704" min="7444" max="7444"/>
    <col width="18.88671875" customWidth="1" style="704" min="7445" max="7445"/>
    <col width="9" customWidth="1" style="704" min="7446" max="7682"/>
    <col width="4.109375" customWidth="1" style="704" min="7683" max="7683"/>
    <col width="13.33203125" customWidth="1" style="704" min="7684" max="7684"/>
    <col width="9.5546875" customWidth="1" style="704" min="7685" max="7685"/>
    <col width="15" customWidth="1" style="704" min="7686" max="7686"/>
    <col width="13" customWidth="1" style="704" min="7687" max="7688"/>
    <col width="4.33203125" customWidth="1" style="704" min="7689" max="7689"/>
    <col width="4.88671875" customWidth="1" style="704" min="7690" max="7690"/>
    <col width="9.5546875" customWidth="1" style="704" min="7691" max="7691"/>
    <col width="36" customWidth="1" style="704" min="7692" max="7692"/>
    <col width="11.109375" customWidth="1" style="704" min="7693" max="7693"/>
    <col width="12.44140625" customWidth="1" style="704" min="7694" max="7694"/>
    <col width="13.88671875" customWidth="1" style="704" min="7695" max="7695"/>
    <col width="7.6640625" customWidth="1" style="704" min="7696" max="7696"/>
    <col width="13" customWidth="1" style="704" min="7697" max="7697"/>
    <col width="11.5546875" customWidth="1" style="704" min="7698" max="7698"/>
    <col width="13.33203125" customWidth="1" style="704" min="7699" max="7699"/>
    <col width="19.44140625" customWidth="1" style="704" min="7700" max="7700"/>
    <col width="18.88671875" customWidth="1" style="704" min="7701" max="7701"/>
    <col width="9" customWidth="1" style="704" min="7702" max="7938"/>
    <col width="4.109375" customWidth="1" style="704" min="7939" max="7939"/>
    <col width="13.33203125" customWidth="1" style="704" min="7940" max="7940"/>
    <col width="9.5546875" customWidth="1" style="704" min="7941" max="7941"/>
    <col width="15" customWidth="1" style="704" min="7942" max="7942"/>
    <col width="13" customWidth="1" style="704" min="7943" max="7944"/>
    <col width="4.33203125" customWidth="1" style="704" min="7945" max="7945"/>
    <col width="4.88671875" customWidth="1" style="704" min="7946" max="7946"/>
    <col width="9.5546875" customWidth="1" style="704" min="7947" max="7947"/>
    <col width="36" customWidth="1" style="704" min="7948" max="7948"/>
    <col width="11.109375" customWidth="1" style="704" min="7949" max="7949"/>
    <col width="12.44140625" customWidth="1" style="704" min="7950" max="7950"/>
    <col width="13.88671875" customWidth="1" style="704" min="7951" max="7951"/>
    <col width="7.6640625" customWidth="1" style="704" min="7952" max="7952"/>
    <col width="13" customWidth="1" style="704" min="7953" max="7953"/>
    <col width="11.5546875" customWidth="1" style="704" min="7954" max="7954"/>
    <col width="13.33203125" customWidth="1" style="704" min="7955" max="7955"/>
    <col width="19.44140625" customWidth="1" style="704" min="7956" max="7956"/>
    <col width="18.88671875" customWidth="1" style="704" min="7957" max="7957"/>
    <col width="9" customWidth="1" style="704" min="7958" max="8194"/>
    <col width="4.109375" customWidth="1" style="704" min="8195" max="8195"/>
    <col width="13.33203125" customWidth="1" style="704" min="8196" max="8196"/>
    <col width="9.5546875" customWidth="1" style="704" min="8197" max="8197"/>
    <col width="15" customWidth="1" style="704" min="8198" max="8198"/>
    <col width="13" customWidth="1" style="704" min="8199" max="8200"/>
    <col width="4.33203125" customWidth="1" style="704" min="8201" max="8201"/>
    <col width="4.88671875" customWidth="1" style="704" min="8202" max="8202"/>
    <col width="9.5546875" customWidth="1" style="704" min="8203" max="8203"/>
    <col width="36" customWidth="1" style="704" min="8204" max="8204"/>
    <col width="11.109375" customWidth="1" style="704" min="8205" max="8205"/>
    <col width="12.44140625" customWidth="1" style="704" min="8206" max="8206"/>
    <col width="13.88671875" customWidth="1" style="704" min="8207" max="8207"/>
    <col width="7.6640625" customWidth="1" style="704" min="8208" max="8208"/>
    <col width="13" customWidth="1" style="704" min="8209" max="8209"/>
    <col width="11.5546875" customWidth="1" style="704" min="8210" max="8210"/>
    <col width="13.33203125" customWidth="1" style="704" min="8211" max="8211"/>
    <col width="19.44140625" customWidth="1" style="704" min="8212" max="8212"/>
    <col width="18.88671875" customWidth="1" style="704" min="8213" max="8213"/>
    <col width="9" customWidth="1" style="704" min="8214" max="8450"/>
    <col width="4.109375" customWidth="1" style="704" min="8451" max="8451"/>
    <col width="13.33203125" customWidth="1" style="704" min="8452" max="8452"/>
    <col width="9.5546875" customWidth="1" style="704" min="8453" max="8453"/>
    <col width="15" customWidth="1" style="704" min="8454" max="8454"/>
    <col width="13" customWidth="1" style="704" min="8455" max="8456"/>
    <col width="4.33203125" customWidth="1" style="704" min="8457" max="8457"/>
    <col width="4.88671875" customWidth="1" style="704" min="8458" max="8458"/>
    <col width="9.5546875" customWidth="1" style="704" min="8459" max="8459"/>
    <col width="36" customWidth="1" style="704" min="8460" max="8460"/>
    <col width="11.109375" customWidth="1" style="704" min="8461" max="8461"/>
    <col width="12.44140625" customWidth="1" style="704" min="8462" max="8462"/>
    <col width="13.88671875" customWidth="1" style="704" min="8463" max="8463"/>
    <col width="7.6640625" customWidth="1" style="704" min="8464" max="8464"/>
    <col width="13" customWidth="1" style="704" min="8465" max="8465"/>
    <col width="11.5546875" customWidth="1" style="704" min="8466" max="8466"/>
    <col width="13.33203125" customWidth="1" style="704" min="8467" max="8467"/>
    <col width="19.44140625" customWidth="1" style="704" min="8468" max="8468"/>
    <col width="18.88671875" customWidth="1" style="704" min="8469" max="8469"/>
    <col width="9" customWidth="1" style="704" min="8470" max="8706"/>
    <col width="4.109375" customWidth="1" style="704" min="8707" max="8707"/>
    <col width="13.33203125" customWidth="1" style="704" min="8708" max="8708"/>
    <col width="9.5546875" customWidth="1" style="704" min="8709" max="8709"/>
    <col width="15" customWidth="1" style="704" min="8710" max="8710"/>
    <col width="13" customWidth="1" style="704" min="8711" max="8712"/>
    <col width="4.33203125" customWidth="1" style="704" min="8713" max="8713"/>
    <col width="4.88671875" customWidth="1" style="704" min="8714" max="8714"/>
    <col width="9.5546875" customWidth="1" style="704" min="8715" max="8715"/>
    <col width="36" customWidth="1" style="704" min="8716" max="8716"/>
    <col width="11.109375" customWidth="1" style="704" min="8717" max="8717"/>
    <col width="12.44140625" customWidth="1" style="704" min="8718" max="8718"/>
    <col width="13.88671875" customWidth="1" style="704" min="8719" max="8719"/>
    <col width="7.6640625" customWidth="1" style="704" min="8720" max="8720"/>
    <col width="13" customWidth="1" style="704" min="8721" max="8721"/>
    <col width="11.5546875" customWidth="1" style="704" min="8722" max="8722"/>
    <col width="13.33203125" customWidth="1" style="704" min="8723" max="8723"/>
    <col width="19.44140625" customWidth="1" style="704" min="8724" max="8724"/>
    <col width="18.88671875" customWidth="1" style="704" min="8725" max="8725"/>
    <col width="9" customWidth="1" style="704" min="8726" max="8962"/>
    <col width="4.109375" customWidth="1" style="704" min="8963" max="8963"/>
    <col width="13.33203125" customWidth="1" style="704" min="8964" max="8964"/>
    <col width="9.5546875" customWidth="1" style="704" min="8965" max="8965"/>
    <col width="15" customWidth="1" style="704" min="8966" max="8966"/>
    <col width="13" customWidth="1" style="704" min="8967" max="8968"/>
    <col width="4.33203125" customWidth="1" style="704" min="8969" max="8969"/>
    <col width="4.88671875" customWidth="1" style="704" min="8970" max="8970"/>
    <col width="9.5546875" customWidth="1" style="704" min="8971" max="8971"/>
    <col width="36" customWidth="1" style="704" min="8972" max="8972"/>
    <col width="11.109375" customWidth="1" style="704" min="8973" max="8973"/>
    <col width="12.44140625" customWidth="1" style="704" min="8974" max="8974"/>
    <col width="13.88671875" customWidth="1" style="704" min="8975" max="8975"/>
    <col width="7.6640625" customWidth="1" style="704" min="8976" max="8976"/>
    <col width="13" customWidth="1" style="704" min="8977" max="8977"/>
    <col width="11.5546875" customWidth="1" style="704" min="8978" max="8978"/>
    <col width="13.33203125" customWidth="1" style="704" min="8979" max="8979"/>
    <col width="19.44140625" customWidth="1" style="704" min="8980" max="8980"/>
    <col width="18.88671875" customWidth="1" style="704" min="8981" max="8981"/>
    <col width="9" customWidth="1" style="704" min="8982" max="9218"/>
    <col width="4.109375" customWidth="1" style="704" min="9219" max="9219"/>
    <col width="13.33203125" customWidth="1" style="704" min="9220" max="9220"/>
    <col width="9.5546875" customWidth="1" style="704" min="9221" max="9221"/>
    <col width="15" customWidth="1" style="704" min="9222" max="9222"/>
    <col width="13" customWidth="1" style="704" min="9223" max="9224"/>
    <col width="4.33203125" customWidth="1" style="704" min="9225" max="9225"/>
    <col width="4.88671875" customWidth="1" style="704" min="9226" max="9226"/>
    <col width="9.5546875" customWidth="1" style="704" min="9227" max="9227"/>
    <col width="36" customWidth="1" style="704" min="9228" max="9228"/>
    <col width="11.109375" customWidth="1" style="704" min="9229" max="9229"/>
    <col width="12.44140625" customWidth="1" style="704" min="9230" max="9230"/>
    <col width="13.88671875" customWidth="1" style="704" min="9231" max="9231"/>
    <col width="7.6640625" customWidth="1" style="704" min="9232" max="9232"/>
    <col width="13" customWidth="1" style="704" min="9233" max="9233"/>
    <col width="11.5546875" customWidth="1" style="704" min="9234" max="9234"/>
    <col width="13.33203125" customWidth="1" style="704" min="9235" max="9235"/>
    <col width="19.44140625" customWidth="1" style="704" min="9236" max="9236"/>
    <col width="18.88671875" customWidth="1" style="704" min="9237" max="9237"/>
    <col width="9" customWidth="1" style="704" min="9238" max="9474"/>
    <col width="4.109375" customWidth="1" style="704" min="9475" max="9475"/>
    <col width="13.33203125" customWidth="1" style="704" min="9476" max="9476"/>
    <col width="9.5546875" customWidth="1" style="704" min="9477" max="9477"/>
    <col width="15" customWidth="1" style="704" min="9478" max="9478"/>
    <col width="13" customWidth="1" style="704" min="9479" max="9480"/>
    <col width="4.33203125" customWidth="1" style="704" min="9481" max="9481"/>
    <col width="4.88671875" customWidth="1" style="704" min="9482" max="9482"/>
    <col width="9.5546875" customWidth="1" style="704" min="9483" max="9483"/>
    <col width="36" customWidth="1" style="704" min="9484" max="9484"/>
    <col width="11.109375" customWidth="1" style="704" min="9485" max="9485"/>
    <col width="12.44140625" customWidth="1" style="704" min="9486" max="9486"/>
    <col width="13.88671875" customWidth="1" style="704" min="9487" max="9487"/>
    <col width="7.6640625" customWidth="1" style="704" min="9488" max="9488"/>
    <col width="13" customWidth="1" style="704" min="9489" max="9489"/>
    <col width="11.5546875" customWidth="1" style="704" min="9490" max="9490"/>
    <col width="13.33203125" customWidth="1" style="704" min="9491" max="9491"/>
    <col width="19.44140625" customWidth="1" style="704" min="9492" max="9492"/>
    <col width="18.88671875" customWidth="1" style="704" min="9493" max="9493"/>
    <col width="9" customWidth="1" style="704" min="9494" max="9730"/>
    <col width="4.109375" customWidth="1" style="704" min="9731" max="9731"/>
    <col width="13.33203125" customWidth="1" style="704" min="9732" max="9732"/>
    <col width="9.5546875" customWidth="1" style="704" min="9733" max="9733"/>
    <col width="15" customWidth="1" style="704" min="9734" max="9734"/>
    <col width="13" customWidth="1" style="704" min="9735" max="9736"/>
    <col width="4.33203125" customWidth="1" style="704" min="9737" max="9737"/>
    <col width="4.88671875" customWidth="1" style="704" min="9738" max="9738"/>
    <col width="9.5546875" customWidth="1" style="704" min="9739" max="9739"/>
    <col width="36" customWidth="1" style="704" min="9740" max="9740"/>
    <col width="11.109375" customWidth="1" style="704" min="9741" max="9741"/>
    <col width="12.44140625" customWidth="1" style="704" min="9742" max="9742"/>
    <col width="13.88671875" customWidth="1" style="704" min="9743" max="9743"/>
    <col width="7.6640625" customWidth="1" style="704" min="9744" max="9744"/>
    <col width="13" customWidth="1" style="704" min="9745" max="9745"/>
    <col width="11.5546875" customWidth="1" style="704" min="9746" max="9746"/>
    <col width="13.33203125" customWidth="1" style="704" min="9747" max="9747"/>
    <col width="19.44140625" customWidth="1" style="704" min="9748" max="9748"/>
    <col width="18.88671875" customWidth="1" style="704" min="9749" max="9749"/>
    <col width="9" customWidth="1" style="704" min="9750" max="9986"/>
    <col width="4.109375" customWidth="1" style="704" min="9987" max="9987"/>
    <col width="13.33203125" customWidth="1" style="704" min="9988" max="9988"/>
    <col width="9.5546875" customWidth="1" style="704" min="9989" max="9989"/>
    <col width="15" customWidth="1" style="704" min="9990" max="9990"/>
    <col width="13" customWidth="1" style="704" min="9991" max="9992"/>
    <col width="4.33203125" customWidth="1" style="704" min="9993" max="9993"/>
    <col width="4.88671875" customWidth="1" style="704" min="9994" max="9994"/>
    <col width="9.5546875" customWidth="1" style="704" min="9995" max="9995"/>
    <col width="36" customWidth="1" style="704" min="9996" max="9996"/>
    <col width="11.109375" customWidth="1" style="704" min="9997" max="9997"/>
    <col width="12.44140625" customWidth="1" style="704" min="9998" max="9998"/>
    <col width="13.88671875" customWidth="1" style="704" min="9999" max="9999"/>
    <col width="7.6640625" customWidth="1" style="704" min="10000" max="10000"/>
    <col width="13" customWidth="1" style="704" min="10001" max="10001"/>
    <col width="11.5546875" customWidth="1" style="704" min="10002" max="10002"/>
    <col width="13.33203125" customWidth="1" style="704" min="10003" max="10003"/>
    <col width="19.44140625" customWidth="1" style="704" min="10004" max="10004"/>
    <col width="18.88671875" customWidth="1" style="704" min="10005" max="10005"/>
    <col width="9" customWidth="1" style="704" min="10006" max="10242"/>
    <col width="4.109375" customWidth="1" style="704" min="10243" max="10243"/>
    <col width="13.33203125" customWidth="1" style="704" min="10244" max="10244"/>
    <col width="9.5546875" customWidth="1" style="704" min="10245" max="10245"/>
    <col width="15" customWidth="1" style="704" min="10246" max="10246"/>
    <col width="13" customWidth="1" style="704" min="10247" max="10248"/>
    <col width="4.33203125" customWidth="1" style="704" min="10249" max="10249"/>
    <col width="4.88671875" customWidth="1" style="704" min="10250" max="10250"/>
    <col width="9.5546875" customWidth="1" style="704" min="10251" max="10251"/>
    <col width="36" customWidth="1" style="704" min="10252" max="10252"/>
    <col width="11.109375" customWidth="1" style="704" min="10253" max="10253"/>
    <col width="12.44140625" customWidth="1" style="704" min="10254" max="10254"/>
    <col width="13.88671875" customWidth="1" style="704" min="10255" max="10255"/>
    <col width="7.6640625" customWidth="1" style="704" min="10256" max="10256"/>
    <col width="13" customWidth="1" style="704" min="10257" max="10257"/>
    <col width="11.5546875" customWidth="1" style="704" min="10258" max="10258"/>
    <col width="13.33203125" customWidth="1" style="704" min="10259" max="10259"/>
    <col width="19.44140625" customWidth="1" style="704" min="10260" max="10260"/>
    <col width="18.88671875" customWidth="1" style="704" min="10261" max="10261"/>
    <col width="9" customWidth="1" style="704" min="10262" max="10498"/>
    <col width="4.109375" customWidth="1" style="704" min="10499" max="10499"/>
    <col width="13.33203125" customWidth="1" style="704" min="10500" max="10500"/>
    <col width="9.5546875" customWidth="1" style="704" min="10501" max="10501"/>
    <col width="15" customWidth="1" style="704" min="10502" max="10502"/>
    <col width="13" customWidth="1" style="704" min="10503" max="10504"/>
    <col width="4.33203125" customWidth="1" style="704" min="10505" max="10505"/>
    <col width="4.88671875" customWidth="1" style="704" min="10506" max="10506"/>
    <col width="9.5546875" customWidth="1" style="704" min="10507" max="10507"/>
    <col width="36" customWidth="1" style="704" min="10508" max="10508"/>
    <col width="11.109375" customWidth="1" style="704" min="10509" max="10509"/>
    <col width="12.44140625" customWidth="1" style="704" min="10510" max="10510"/>
    <col width="13.88671875" customWidth="1" style="704" min="10511" max="10511"/>
    <col width="7.6640625" customWidth="1" style="704" min="10512" max="10512"/>
    <col width="13" customWidth="1" style="704" min="10513" max="10513"/>
    <col width="11.5546875" customWidth="1" style="704" min="10514" max="10514"/>
    <col width="13.33203125" customWidth="1" style="704" min="10515" max="10515"/>
    <col width="19.44140625" customWidth="1" style="704" min="10516" max="10516"/>
    <col width="18.88671875" customWidth="1" style="704" min="10517" max="10517"/>
    <col width="9" customWidth="1" style="704" min="10518" max="10754"/>
    <col width="4.109375" customWidth="1" style="704" min="10755" max="10755"/>
    <col width="13.33203125" customWidth="1" style="704" min="10756" max="10756"/>
    <col width="9.5546875" customWidth="1" style="704" min="10757" max="10757"/>
    <col width="15" customWidth="1" style="704" min="10758" max="10758"/>
    <col width="13" customWidth="1" style="704" min="10759" max="10760"/>
    <col width="4.33203125" customWidth="1" style="704" min="10761" max="10761"/>
    <col width="4.88671875" customWidth="1" style="704" min="10762" max="10762"/>
    <col width="9.5546875" customWidth="1" style="704" min="10763" max="10763"/>
    <col width="36" customWidth="1" style="704" min="10764" max="10764"/>
    <col width="11.109375" customWidth="1" style="704" min="10765" max="10765"/>
    <col width="12.44140625" customWidth="1" style="704" min="10766" max="10766"/>
    <col width="13.88671875" customWidth="1" style="704" min="10767" max="10767"/>
    <col width="7.6640625" customWidth="1" style="704" min="10768" max="10768"/>
    <col width="13" customWidth="1" style="704" min="10769" max="10769"/>
    <col width="11.5546875" customWidth="1" style="704" min="10770" max="10770"/>
    <col width="13.33203125" customWidth="1" style="704" min="10771" max="10771"/>
    <col width="19.44140625" customWidth="1" style="704" min="10772" max="10772"/>
    <col width="18.88671875" customWidth="1" style="704" min="10773" max="10773"/>
    <col width="9" customWidth="1" style="704" min="10774" max="11010"/>
    <col width="4.109375" customWidth="1" style="704" min="11011" max="11011"/>
    <col width="13.33203125" customWidth="1" style="704" min="11012" max="11012"/>
    <col width="9.5546875" customWidth="1" style="704" min="11013" max="11013"/>
    <col width="15" customWidth="1" style="704" min="11014" max="11014"/>
    <col width="13" customWidth="1" style="704" min="11015" max="11016"/>
    <col width="4.33203125" customWidth="1" style="704" min="11017" max="11017"/>
    <col width="4.88671875" customWidth="1" style="704" min="11018" max="11018"/>
    <col width="9.5546875" customWidth="1" style="704" min="11019" max="11019"/>
    <col width="36" customWidth="1" style="704" min="11020" max="11020"/>
    <col width="11.109375" customWidth="1" style="704" min="11021" max="11021"/>
    <col width="12.44140625" customWidth="1" style="704" min="11022" max="11022"/>
    <col width="13.88671875" customWidth="1" style="704" min="11023" max="11023"/>
    <col width="7.6640625" customWidth="1" style="704" min="11024" max="11024"/>
    <col width="13" customWidth="1" style="704" min="11025" max="11025"/>
    <col width="11.5546875" customWidth="1" style="704" min="11026" max="11026"/>
    <col width="13.33203125" customWidth="1" style="704" min="11027" max="11027"/>
    <col width="19.44140625" customWidth="1" style="704" min="11028" max="11028"/>
    <col width="18.88671875" customWidth="1" style="704" min="11029" max="11029"/>
    <col width="9" customWidth="1" style="704" min="11030" max="11266"/>
    <col width="4.109375" customWidth="1" style="704" min="11267" max="11267"/>
    <col width="13.33203125" customWidth="1" style="704" min="11268" max="11268"/>
    <col width="9.5546875" customWidth="1" style="704" min="11269" max="11269"/>
    <col width="15" customWidth="1" style="704" min="11270" max="11270"/>
    <col width="13" customWidth="1" style="704" min="11271" max="11272"/>
    <col width="4.33203125" customWidth="1" style="704" min="11273" max="11273"/>
    <col width="4.88671875" customWidth="1" style="704" min="11274" max="11274"/>
    <col width="9.5546875" customWidth="1" style="704" min="11275" max="11275"/>
    <col width="36" customWidth="1" style="704" min="11276" max="11276"/>
    <col width="11.109375" customWidth="1" style="704" min="11277" max="11277"/>
    <col width="12.44140625" customWidth="1" style="704" min="11278" max="11278"/>
    <col width="13.88671875" customWidth="1" style="704" min="11279" max="11279"/>
    <col width="7.6640625" customWidth="1" style="704" min="11280" max="11280"/>
    <col width="13" customWidth="1" style="704" min="11281" max="11281"/>
    <col width="11.5546875" customWidth="1" style="704" min="11282" max="11282"/>
    <col width="13.33203125" customWidth="1" style="704" min="11283" max="11283"/>
    <col width="19.44140625" customWidth="1" style="704" min="11284" max="11284"/>
    <col width="18.88671875" customWidth="1" style="704" min="11285" max="11285"/>
    <col width="9" customWidth="1" style="704" min="11286" max="11522"/>
    <col width="4.109375" customWidth="1" style="704" min="11523" max="11523"/>
    <col width="13.33203125" customWidth="1" style="704" min="11524" max="11524"/>
    <col width="9.5546875" customWidth="1" style="704" min="11525" max="11525"/>
    <col width="15" customWidth="1" style="704" min="11526" max="11526"/>
    <col width="13" customWidth="1" style="704" min="11527" max="11528"/>
    <col width="4.33203125" customWidth="1" style="704" min="11529" max="11529"/>
    <col width="4.88671875" customWidth="1" style="704" min="11530" max="11530"/>
    <col width="9.5546875" customWidth="1" style="704" min="11531" max="11531"/>
    <col width="36" customWidth="1" style="704" min="11532" max="11532"/>
    <col width="11.109375" customWidth="1" style="704" min="11533" max="11533"/>
    <col width="12.44140625" customWidth="1" style="704" min="11534" max="11534"/>
    <col width="13.88671875" customWidth="1" style="704" min="11535" max="11535"/>
    <col width="7.6640625" customWidth="1" style="704" min="11536" max="11536"/>
    <col width="13" customWidth="1" style="704" min="11537" max="11537"/>
    <col width="11.5546875" customWidth="1" style="704" min="11538" max="11538"/>
    <col width="13.33203125" customWidth="1" style="704" min="11539" max="11539"/>
    <col width="19.44140625" customWidth="1" style="704" min="11540" max="11540"/>
    <col width="18.88671875" customWidth="1" style="704" min="11541" max="11541"/>
    <col width="9" customWidth="1" style="704" min="11542" max="11778"/>
    <col width="4.109375" customWidth="1" style="704" min="11779" max="11779"/>
    <col width="13.33203125" customWidth="1" style="704" min="11780" max="11780"/>
    <col width="9.5546875" customWidth="1" style="704" min="11781" max="11781"/>
    <col width="15" customWidth="1" style="704" min="11782" max="11782"/>
    <col width="13" customWidth="1" style="704" min="11783" max="11784"/>
    <col width="4.33203125" customWidth="1" style="704" min="11785" max="11785"/>
    <col width="4.88671875" customWidth="1" style="704" min="11786" max="11786"/>
    <col width="9.5546875" customWidth="1" style="704" min="11787" max="11787"/>
    <col width="36" customWidth="1" style="704" min="11788" max="11788"/>
    <col width="11.109375" customWidth="1" style="704" min="11789" max="11789"/>
    <col width="12.44140625" customWidth="1" style="704" min="11790" max="11790"/>
    <col width="13.88671875" customWidth="1" style="704" min="11791" max="11791"/>
    <col width="7.6640625" customWidth="1" style="704" min="11792" max="11792"/>
    <col width="13" customWidth="1" style="704" min="11793" max="11793"/>
    <col width="11.5546875" customWidth="1" style="704" min="11794" max="11794"/>
    <col width="13.33203125" customWidth="1" style="704" min="11795" max="11795"/>
    <col width="19.44140625" customWidth="1" style="704" min="11796" max="11796"/>
    <col width="18.88671875" customWidth="1" style="704" min="11797" max="11797"/>
    <col width="9" customWidth="1" style="704" min="11798" max="12034"/>
    <col width="4.109375" customWidth="1" style="704" min="12035" max="12035"/>
    <col width="13.33203125" customWidth="1" style="704" min="12036" max="12036"/>
    <col width="9.5546875" customWidth="1" style="704" min="12037" max="12037"/>
    <col width="15" customWidth="1" style="704" min="12038" max="12038"/>
    <col width="13" customWidth="1" style="704" min="12039" max="12040"/>
    <col width="4.33203125" customWidth="1" style="704" min="12041" max="12041"/>
    <col width="4.88671875" customWidth="1" style="704" min="12042" max="12042"/>
    <col width="9.5546875" customWidth="1" style="704" min="12043" max="12043"/>
    <col width="36" customWidth="1" style="704" min="12044" max="12044"/>
    <col width="11.109375" customWidth="1" style="704" min="12045" max="12045"/>
    <col width="12.44140625" customWidth="1" style="704" min="12046" max="12046"/>
    <col width="13.88671875" customWidth="1" style="704" min="12047" max="12047"/>
    <col width="7.6640625" customWidth="1" style="704" min="12048" max="12048"/>
    <col width="13" customWidth="1" style="704" min="12049" max="12049"/>
    <col width="11.5546875" customWidth="1" style="704" min="12050" max="12050"/>
    <col width="13.33203125" customWidth="1" style="704" min="12051" max="12051"/>
    <col width="19.44140625" customWidth="1" style="704" min="12052" max="12052"/>
    <col width="18.88671875" customWidth="1" style="704" min="12053" max="12053"/>
    <col width="9" customWidth="1" style="704" min="12054" max="12290"/>
    <col width="4.109375" customWidth="1" style="704" min="12291" max="12291"/>
    <col width="13.33203125" customWidth="1" style="704" min="12292" max="12292"/>
    <col width="9.5546875" customWidth="1" style="704" min="12293" max="12293"/>
    <col width="15" customWidth="1" style="704" min="12294" max="12294"/>
    <col width="13" customWidth="1" style="704" min="12295" max="12296"/>
    <col width="4.33203125" customWidth="1" style="704" min="12297" max="12297"/>
    <col width="4.88671875" customWidth="1" style="704" min="12298" max="12298"/>
    <col width="9.5546875" customWidth="1" style="704" min="12299" max="12299"/>
    <col width="36" customWidth="1" style="704" min="12300" max="12300"/>
    <col width="11.109375" customWidth="1" style="704" min="12301" max="12301"/>
    <col width="12.44140625" customWidth="1" style="704" min="12302" max="12302"/>
    <col width="13.88671875" customWidth="1" style="704" min="12303" max="12303"/>
    <col width="7.6640625" customWidth="1" style="704" min="12304" max="12304"/>
    <col width="13" customWidth="1" style="704" min="12305" max="12305"/>
    <col width="11.5546875" customWidth="1" style="704" min="12306" max="12306"/>
    <col width="13.33203125" customWidth="1" style="704" min="12307" max="12307"/>
    <col width="19.44140625" customWidth="1" style="704" min="12308" max="12308"/>
    <col width="18.88671875" customWidth="1" style="704" min="12309" max="12309"/>
    <col width="9" customWidth="1" style="704" min="12310" max="12546"/>
    <col width="4.109375" customWidth="1" style="704" min="12547" max="12547"/>
    <col width="13.33203125" customWidth="1" style="704" min="12548" max="12548"/>
    <col width="9.5546875" customWidth="1" style="704" min="12549" max="12549"/>
    <col width="15" customWidth="1" style="704" min="12550" max="12550"/>
    <col width="13" customWidth="1" style="704" min="12551" max="12552"/>
    <col width="4.33203125" customWidth="1" style="704" min="12553" max="12553"/>
    <col width="4.88671875" customWidth="1" style="704" min="12554" max="12554"/>
    <col width="9.5546875" customWidth="1" style="704" min="12555" max="12555"/>
    <col width="36" customWidth="1" style="704" min="12556" max="12556"/>
    <col width="11.109375" customWidth="1" style="704" min="12557" max="12557"/>
    <col width="12.44140625" customWidth="1" style="704" min="12558" max="12558"/>
    <col width="13.88671875" customWidth="1" style="704" min="12559" max="12559"/>
    <col width="7.6640625" customWidth="1" style="704" min="12560" max="12560"/>
    <col width="13" customWidth="1" style="704" min="12561" max="12561"/>
    <col width="11.5546875" customWidth="1" style="704" min="12562" max="12562"/>
    <col width="13.33203125" customWidth="1" style="704" min="12563" max="12563"/>
    <col width="19.44140625" customWidth="1" style="704" min="12564" max="12564"/>
    <col width="18.88671875" customWidth="1" style="704" min="12565" max="12565"/>
    <col width="9" customWidth="1" style="704" min="12566" max="12802"/>
    <col width="4.109375" customWidth="1" style="704" min="12803" max="12803"/>
    <col width="13.33203125" customWidth="1" style="704" min="12804" max="12804"/>
    <col width="9.5546875" customWidth="1" style="704" min="12805" max="12805"/>
    <col width="15" customWidth="1" style="704" min="12806" max="12806"/>
    <col width="13" customWidth="1" style="704" min="12807" max="12808"/>
    <col width="4.33203125" customWidth="1" style="704" min="12809" max="12809"/>
    <col width="4.88671875" customWidth="1" style="704" min="12810" max="12810"/>
    <col width="9.5546875" customWidth="1" style="704" min="12811" max="12811"/>
    <col width="36" customWidth="1" style="704" min="12812" max="12812"/>
    <col width="11.109375" customWidth="1" style="704" min="12813" max="12813"/>
    <col width="12.44140625" customWidth="1" style="704" min="12814" max="12814"/>
    <col width="13.88671875" customWidth="1" style="704" min="12815" max="12815"/>
    <col width="7.6640625" customWidth="1" style="704" min="12816" max="12816"/>
    <col width="13" customWidth="1" style="704" min="12817" max="12817"/>
    <col width="11.5546875" customWidth="1" style="704" min="12818" max="12818"/>
    <col width="13.33203125" customWidth="1" style="704" min="12819" max="12819"/>
    <col width="19.44140625" customWidth="1" style="704" min="12820" max="12820"/>
    <col width="18.88671875" customWidth="1" style="704" min="12821" max="12821"/>
    <col width="9" customWidth="1" style="704" min="12822" max="13058"/>
    <col width="4.109375" customWidth="1" style="704" min="13059" max="13059"/>
    <col width="13.33203125" customWidth="1" style="704" min="13060" max="13060"/>
    <col width="9.5546875" customWidth="1" style="704" min="13061" max="13061"/>
    <col width="15" customWidth="1" style="704" min="13062" max="13062"/>
    <col width="13" customWidth="1" style="704" min="13063" max="13064"/>
    <col width="4.33203125" customWidth="1" style="704" min="13065" max="13065"/>
    <col width="4.88671875" customWidth="1" style="704" min="13066" max="13066"/>
    <col width="9.5546875" customWidth="1" style="704" min="13067" max="13067"/>
    <col width="36" customWidth="1" style="704" min="13068" max="13068"/>
    <col width="11.109375" customWidth="1" style="704" min="13069" max="13069"/>
    <col width="12.44140625" customWidth="1" style="704" min="13070" max="13070"/>
    <col width="13.88671875" customWidth="1" style="704" min="13071" max="13071"/>
    <col width="7.6640625" customWidth="1" style="704" min="13072" max="13072"/>
    <col width="13" customWidth="1" style="704" min="13073" max="13073"/>
    <col width="11.5546875" customWidth="1" style="704" min="13074" max="13074"/>
    <col width="13.33203125" customWidth="1" style="704" min="13075" max="13075"/>
    <col width="19.44140625" customWidth="1" style="704" min="13076" max="13076"/>
    <col width="18.88671875" customWidth="1" style="704" min="13077" max="13077"/>
    <col width="9" customWidth="1" style="704" min="13078" max="13314"/>
    <col width="4.109375" customWidth="1" style="704" min="13315" max="13315"/>
    <col width="13.33203125" customWidth="1" style="704" min="13316" max="13316"/>
    <col width="9.5546875" customWidth="1" style="704" min="13317" max="13317"/>
    <col width="15" customWidth="1" style="704" min="13318" max="13318"/>
    <col width="13" customWidth="1" style="704" min="13319" max="13320"/>
    <col width="4.33203125" customWidth="1" style="704" min="13321" max="13321"/>
    <col width="4.88671875" customWidth="1" style="704" min="13322" max="13322"/>
    <col width="9.5546875" customWidth="1" style="704" min="13323" max="13323"/>
    <col width="36" customWidth="1" style="704" min="13324" max="13324"/>
    <col width="11.109375" customWidth="1" style="704" min="13325" max="13325"/>
    <col width="12.44140625" customWidth="1" style="704" min="13326" max="13326"/>
    <col width="13.88671875" customWidth="1" style="704" min="13327" max="13327"/>
    <col width="7.6640625" customWidth="1" style="704" min="13328" max="13328"/>
    <col width="13" customWidth="1" style="704" min="13329" max="13329"/>
    <col width="11.5546875" customWidth="1" style="704" min="13330" max="13330"/>
    <col width="13.33203125" customWidth="1" style="704" min="13331" max="13331"/>
    <col width="19.44140625" customWidth="1" style="704" min="13332" max="13332"/>
    <col width="18.88671875" customWidth="1" style="704" min="13333" max="13333"/>
    <col width="9" customWidth="1" style="704" min="13334" max="13570"/>
    <col width="4.109375" customWidth="1" style="704" min="13571" max="13571"/>
    <col width="13.33203125" customWidth="1" style="704" min="13572" max="13572"/>
    <col width="9.5546875" customWidth="1" style="704" min="13573" max="13573"/>
    <col width="15" customWidth="1" style="704" min="13574" max="13574"/>
    <col width="13" customWidth="1" style="704" min="13575" max="13576"/>
    <col width="4.33203125" customWidth="1" style="704" min="13577" max="13577"/>
    <col width="4.88671875" customWidth="1" style="704" min="13578" max="13578"/>
    <col width="9.5546875" customWidth="1" style="704" min="13579" max="13579"/>
    <col width="36" customWidth="1" style="704" min="13580" max="13580"/>
    <col width="11.109375" customWidth="1" style="704" min="13581" max="13581"/>
    <col width="12.44140625" customWidth="1" style="704" min="13582" max="13582"/>
    <col width="13.88671875" customWidth="1" style="704" min="13583" max="13583"/>
    <col width="7.6640625" customWidth="1" style="704" min="13584" max="13584"/>
    <col width="13" customWidth="1" style="704" min="13585" max="13585"/>
    <col width="11.5546875" customWidth="1" style="704" min="13586" max="13586"/>
    <col width="13.33203125" customWidth="1" style="704" min="13587" max="13587"/>
    <col width="19.44140625" customWidth="1" style="704" min="13588" max="13588"/>
    <col width="18.88671875" customWidth="1" style="704" min="13589" max="13589"/>
    <col width="9" customWidth="1" style="704" min="13590" max="13826"/>
    <col width="4.109375" customWidth="1" style="704" min="13827" max="13827"/>
    <col width="13.33203125" customWidth="1" style="704" min="13828" max="13828"/>
    <col width="9.5546875" customWidth="1" style="704" min="13829" max="13829"/>
    <col width="15" customWidth="1" style="704" min="13830" max="13830"/>
    <col width="13" customWidth="1" style="704" min="13831" max="13832"/>
    <col width="4.33203125" customWidth="1" style="704" min="13833" max="13833"/>
    <col width="4.88671875" customWidth="1" style="704" min="13834" max="13834"/>
    <col width="9.5546875" customWidth="1" style="704" min="13835" max="13835"/>
    <col width="36" customWidth="1" style="704" min="13836" max="13836"/>
    <col width="11.109375" customWidth="1" style="704" min="13837" max="13837"/>
    <col width="12.44140625" customWidth="1" style="704" min="13838" max="13838"/>
    <col width="13.88671875" customWidth="1" style="704" min="13839" max="13839"/>
    <col width="7.6640625" customWidth="1" style="704" min="13840" max="13840"/>
    <col width="13" customWidth="1" style="704" min="13841" max="13841"/>
    <col width="11.5546875" customWidth="1" style="704" min="13842" max="13842"/>
    <col width="13.33203125" customWidth="1" style="704" min="13843" max="13843"/>
    <col width="19.44140625" customWidth="1" style="704" min="13844" max="13844"/>
    <col width="18.88671875" customWidth="1" style="704" min="13845" max="13845"/>
    <col width="9" customWidth="1" style="704" min="13846" max="14082"/>
    <col width="4.109375" customWidth="1" style="704" min="14083" max="14083"/>
    <col width="13.33203125" customWidth="1" style="704" min="14084" max="14084"/>
    <col width="9.5546875" customWidth="1" style="704" min="14085" max="14085"/>
    <col width="15" customWidth="1" style="704" min="14086" max="14086"/>
    <col width="13" customWidth="1" style="704" min="14087" max="14088"/>
    <col width="4.33203125" customWidth="1" style="704" min="14089" max="14089"/>
    <col width="4.88671875" customWidth="1" style="704" min="14090" max="14090"/>
    <col width="9.5546875" customWidth="1" style="704" min="14091" max="14091"/>
    <col width="36" customWidth="1" style="704" min="14092" max="14092"/>
    <col width="11.109375" customWidth="1" style="704" min="14093" max="14093"/>
    <col width="12.44140625" customWidth="1" style="704" min="14094" max="14094"/>
    <col width="13.88671875" customWidth="1" style="704" min="14095" max="14095"/>
    <col width="7.6640625" customWidth="1" style="704" min="14096" max="14096"/>
    <col width="13" customWidth="1" style="704" min="14097" max="14097"/>
    <col width="11.5546875" customWidth="1" style="704" min="14098" max="14098"/>
    <col width="13.33203125" customWidth="1" style="704" min="14099" max="14099"/>
    <col width="19.44140625" customWidth="1" style="704" min="14100" max="14100"/>
    <col width="18.88671875" customWidth="1" style="704" min="14101" max="14101"/>
    <col width="9" customWidth="1" style="704" min="14102" max="14338"/>
    <col width="4.109375" customWidth="1" style="704" min="14339" max="14339"/>
    <col width="13.33203125" customWidth="1" style="704" min="14340" max="14340"/>
    <col width="9.5546875" customWidth="1" style="704" min="14341" max="14341"/>
    <col width="15" customWidth="1" style="704" min="14342" max="14342"/>
    <col width="13" customWidth="1" style="704" min="14343" max="14344"/>
    <col width="4.33203125" customWidth="1" style="704" min="14345" max="14345"/>
    <col width="4.88671875" customWidth="1" style="704" min="14346" max="14346"/>
    <col width="9.5546875" customWidth="1" style="704" min="14347" max="14347"/>
    <col width="36" customWidth="1" style="704" min="14348" max="14348"/>
    <col width="11.109375" customWidth="1" style="704" min="14349" max="14349"/>
    <col width="12.44140625" customWidth="1" style="704" min="14350" max="14350"/>
    <col width="13.88671875" customWidth="1" style="704" min="14351" max="14351"/>
    <col width="7.6640625" customWidth="1" style="704" min="14352" max="14352"/>
    <col width="13" customWidth="1" style="704" min="14353" max="14353"/>
    <col width="11.5546875" customWidth="1" style="704" min="14354" max="14354"/>
    <col width="13.33203125" customWidth="1" style="704" min="14355" max="14355"/>
    <col width="19.44140625" customWidth="1" style="704" min="14356" max="14356"/>
    <col width="18.88671875" customWidth="1" style="704" min="14357" max="14357"/>
    <col width="9" customWidth="1" style="704" min="14358" max="14594"/>
    <col width="4.109375" customWidth="1" style="704" min="14595" max="14595"/>
    <col width="13.33203125" customWidth="1" style="704" min="14596" max="14596"/>
    <col width="9.5546875" customWidth="1" style="704" min="14597" max="14597"/>
    <col width="15" customWidth="1" style="704" min="14598" max="14598"/>
    <col width="13" customWidth="1" style="704" min="14599" max="14600"/>
    <col width="4.33203125" customWidth="1" style="704" min="14601" max="14601"/>
    <col width="4.88671875" customWidth="1" style="704" min="14602" max="14602"/>
    <col width="9.5546875" customWidth="1" style="704" min="14603" max="14603"/>
    <col width="36" customWidth="1" style="704" min="14604" max="14604"/>
    <col width="11.109375" customWidth="1" style="704" min="14605" max="14605"/>
    <col width="12.44140625" customWidth="1" style="704" min="14606" max="14606"/>
    <col width="13.88671875" customWidth="1" style="704" min="14607" max="14607"/>
    <col width="7.6640625" customWidth="1" style="704" min="14608" max="14608"/>
    <col width="13" customWidth="1" style="704" min="14609" max="14609"/>
    <col width="11.5546875" customWidth="1" style="704" min="14610" max="14610"/>
    <col width="13.33203125" customWidth="1" style="704" min="14611" max="14611"/>
    <col width="19.44140625" customWidth="1" style="704" min="14612" max="14612"/>
    <col width="18.88671875" customWidth="1" style="704" min="14613" max="14613"/>
    <col width="9" customWidth="1" style="704" min="14614" max="14850"/>
    <col width="4.109375" customWidth="1" style="704" min="14851" max="14851"/>
    <col width="13.33203125" customWidth="1" style="704" min="14852" max="14852"/>
    <col width="9.5546875" customWidth="1" style="704" min="14853" max="14853"/>
    <col width="15" customWidth="1" style="704" min="14854" max="14854"/>
    <col width="13" customWidth="1" style="704" min="14855" max="14856"/>
    <col width="4.33203125" customWidth="1" style="704" min="14857" max="14857"/>
    <col width="4.88671875" customWidth="1" style="704" min="14858" max="14858"/>
    <col width="9.5546875" customWidth="1" style="704" min="14859" max="14859"/>
    <col width="36" customWidth="1" style="704" min="14860" max="14860"/>
    <col width="11.109375" customWidth="1" style="704" min="14861" max="14861"/>
    <col width="12.44140625" customWidth="1" style="704" min="14862" max="14862"/>
    <col width="13.88671875" customWidth="1" style="704" min="14863" max="14863"/>
    <col width="7.6640625" customWidth="1" style="704" min="14864" max="14864"/>
    <col width="13" customWidth="1" style="704" min="14865" max="14865"/>
    <col width="11.5546875" customWidth="1" style="704" min="14866" max="14866"/>
    <col width="13.33203125" customWidth="1" style="704" min="14867" max="14867"/>
    <col width="19.44140625" customWidth="1" style="704" min="14868" max="14868"/>
    <col width="18.88671875" customWidth="1" style="704" min="14869" max="14869"/>
    <col width="9" customWidth="1" style="704" min="14870" max="15106"/>
    <col width="4.109375" customWidth="1" style="704" min="15107" max="15107"/>
    <col width="13.33203125" customWidth="1" style="704" min="15108" max="15108"/>
    <col width="9.5546875" customWidth="1" style="704" min="15109" max="15109"/>
    <col width="15" customWidth="1" style="704" min="15110" max="15110"/>
    <col width="13" customWidth="1" style="704" min="15111" max="15112"/>
    <col width="4.33203125" customWidth="1" style="704" min="15113" max="15113"/>
    <col width="4.88671875" customWidth="1" style="704" min="15114" max="15114"/>
    <col width="9.5546875" customWidth="1" style="704" min="15115" max="15115"/>
    <col width="36" customWidth="1" style="704" min="15116" max="15116"/>
    <col width="11.109375" customWidth="1" style="704" min="15117" max="15117"/>
    <col width="12.44140625" customWidth="1" style="704" min="15118" max="15118"/>
    <col width="13.88671875" customWidth="1" style="704" min="15119" max="15119"/>
    <col width="7.6640625" customWidth="1" style="704" min="15120" max="15120"/>
    <col width="13" customWidth="1" style="704" min="15121" max="15121"/>
    <col width="11.5546875" customWidth="1" style="704" min="15122" max="15122"/>
    <col width="13.33203125" customWidth="1" style="704" min="15123" max="15123"/>
    <col width="19.44140625" customWidth="1" style="704" min="15124" max="15124"/>
    <col width="18.88671875" customWidth="1" style="704" min="15125" max="15125"/>
    <col width="9" customWidth="1" style="704" min="15126" max="15362"/>
    <col width="4.109375" customWidth="1" style="704" min="15363" max="15363"/>
    <col width="13.33203125" customWidth="1" style="704" min="15364" max="15364"/>
    <col width="9.5546875" customWidth="1" style="704" min="15365" max="15365"/>
    <col width="15" customWidth="1" style="704" min="15366" max="15366"/>
    <col width="13" customWidth="1" style="704" min="15367" max="15368"/>
    <col width="4.33203125" customWidth="1" style="704" min="15369" max="15369"/>
    <col width="4.88671875" customWidth="1" style="704" min="15370" max="15370"/>
    <col width="9.5546875" customWidth="1" style="704" min="15371" max="15371"/>
    <col width="36" customWidth="1" style="704" min="15372" max="15372"/>
    <col width="11.109375" customWidth="1" style="704" min="15373" max="15373"/>
    <col width="12.44140625" customWidth="1" style="704" min="15374" max="15374"/>
    <col width="13.88671875" customWidth="1" style="704" min="15375" max="15375"/>
    <col width="7.6640625" customWidth="1" style="704" min="15376" max="15376"/>
    <col width="13" customWidth="1" style="704" min="15377" max="15377"/>
    <col width="11.5546875" customWidth="1" style="704" min="15378" max="15378"/>
    <col width="13.33203125" customWidth="1" style="704" min="15379" max="15379"/>
    <col width="19.44140625" customWidth="1" style="704" min="15380" max="15380"/>
    <col width="18.88671875" customWidth="1" style="704" min="15381" max="15381"/>
    <col width="9" customWidth="1" style="704" min="15382" max="15618"/>
    <col width="4.109375" customWidth="1" style="704" min="15619" max="15619"/>
    <col width="13.33203125" customWidth="1" style="704" min="15620" max="15620"/>
    <col width="9.5546875" customWidth="1" style="704" min="15621" max="15621"/>
    <col width="15" customWidth="1" style="704" min="15622" max="15622"/>
    <col width="13" customWidth="1" style="704" min="15623" max="15624"/>
    <col width="4.33203125" customWidth="1" style="704" min="15625" max="15625"/>
    <col width="4.88671875" customWidth="1" style="704" min="15626" max="15626"/>
    <col width="9.5546875" customWidth="1" style="704" min="15627" max="15627"/>
    <col width="36" customWidth="1" style="704" min="15628" max="15628"/>
    <col width="11.109375" customWidth="1" style="704" min="15629" max="15629"/>
    <col width="12.44140625" customWidth="1" style="704" min="15630" max="15630"/>
    <col width="13.88671875" customWidth="1" style="704" min="15631" max="15631"/>
    <col width="7.6640625" customWidth="1" style="704" min="15632" max="15632"/>
    <col width="13" customWidth="1" style="704" min="15633" max="15633"/>
    <col width="11.5546875" customWidth="1" style="704" min="15634" max="15634"/>
    <col width="13.33203125" customWidth="1" style="704" min="15635" max="15635"/>
    <col width="19.44140625" customWidth="1" style="704" min="15636" max="15636"/>
    <col width="18.88671875" customWidth="1" style="704" min="15637" max="15637"/>
    <col width="9" customWidth="1" style="704" min="15638" max="15874"/>
    <col width="4.109375" customWidth="1" style="704" min="15875" max="15875"/>
    <col width="13.33203125" customWidth="1" style="704" min="15876" max="15876"/>
    <col width="9.5546875" customWidth="1" style="704" min="15877" max="15877"/>
    <col width="15" customWidth="1" style="704" min="15878" max="15878"/>
    <col width="13" customWidth="1" style="704" min="15879" max="15880"/>
    <col width="4.33203125" customWidth="1" style="704" min="15881" max="15881"/>
    <col width="4.88671875" customWidth="1" style="704" min="15882" max="15882"/>
    <col width="9.5546875" customWidth="1" style="704" min="15883" max="15883"/>
    <col width="36" customWidth="1" style="704" min="15884" max="15884"/>
    <col width="11.109375" customWidth="1" style="704" min="15885" max="15885"/>
    <col width="12.44140625" customWidth="1" style="704" min="15886" max="15886"/>
    <col width="13.88671875" customWidth="1" style="704" min="15887" max="15887"/>
    <col width="7.6640625" customWidth="1" style="704" min="15888" max="15888"/>
    <col width="13" customWidth="1" style="704" min="15889" max="15889"/>
    <col width="11.5546875" customWidth="1" style="704" min="15890" max="15890"/>
    <col width="13.33203125" customWidth="1" style="704" min="15891" max="15891"/>
    <col width="19.44140625" customWidth="1" style="704" min="15892" max="15892"/>
    <col width="18.88671875" customWidth="1" style="704" min="15893" max="15893"/>
    <col width="9" customWidth="1" style="704" min="15894" max="16130"/>
    <col width="4.109375" customWidth="1" style="704" min="16131" max="16131"/>
    <col width="13.33203125" customWidth="1" style="704" min="16132" max="16132"/>
    <col width="9.5546875" customWidth="1" style="704" min="16133" max="16133"/>
    <col width="15" customWidth="1" style="704" min="16134" max="16134"/>
    <col width="13" customWidth="1" style="704" min="16135" max="16136"/>
    <col width="4.33203125" customWidth="1" style="704" min="16137" max="16137"/>
    <col width="4.88671875" customWidth="1" style="704" min="16138" max="16138"/>
    <col width="9.5546875" customWidth="1" style="704" min="16139" max="16139"/>
    <col width="36" customWidth="1" style="704" min="16140" max="16140"/>
    <col width="11.109375" customWidth="1" style="704" min="16141" max="16141"/>
    <col width="12.44140625" customWidth="1" style="704" min="16142" max="16142"/>
    <col width="13.88671875" customWidth="1" style="704" min="16143" max="16143"/>
    <col width="7.6640625" customWidth="1" style="704" min="16144" max="16144"/>
    <col width="13" customWidth="1" style="704" min="16145" max="16145"/>
    <col width="11.5546875" customWidth="1" style="704" min="16146" max="16146"/>
    <col width="13.33203125" customWidth="1" style="704" min="16147" max="16147"/>
    <col width="19.44140625" customWidth="1" style="704" min="16148" max="16148"/>
    <col width="18.88671875" customWidth="1" style="704" min="16149" max="16149"/>
    <col width="9" customWidth="1" style="704" min="16150" max="16384"/>
  </cols>
  <sheetData>
    <row r="1" ht="14.25" customHeight="1">
      <c r="R1" s="722" t="inlineStr">
        <is>
          <t xml:space="preserve">
Add: 1B Hoang Dieu St., Dist. 4
HoChiMinh City, Vietnam
Tel: (84.8) 3826 9727
 Fax: (84.8) 3940 2566
Website: www.sotrans.com.vn
</t>
        </is>
      </c>
      <c r="U1" s="722" t="n"/>
    </row>
    <row r="2" ht="40.5" customHeight="1">
      <c r="B2" s="44" t="n"/>
      <c r="C2" s="44" t="n"/>
      <c r="D2" s="77" t="n"/>
      <c r="E2" s="720" t="inlineStr">
        <is>
          <t>BẢNG KÊ CHI PHÍ GIAO NHẬN HẢI QUAN HÀNG XUẤT NHẬP KHẨU
THÁNG 12/ 2024</t>
        </is>
      </c>
      <c r="U2" s="722" t="n"/>
    </row>
    <row r="3" ht="20.4" customHeight="1">
      <c r="B3" s="45" t="n"/>
      <c r="C3" s="45" t="n"/>
      <c r="D3" s="78" t="n"/>
      <c r="E3" s="723" t="inlineStr">
        <is>
          <t>2024年12月进出口货物报关费用清单</t>
        </is>
      </c>
      <c r="Q3" s="78" t="n"/>
      <c r="U3" s="722" t="n"/>
    </row>
    <row r="4" ht="15.6" customHeight="1">
      <c r="A4" s="2" t="n"/>
      <c r="B4" s="50" t="n"/>
      <c r="C4" s="2" t="n"/>
      <c r="D4" s="3" t="n"/>
      <c r="E4" s="3" t="n"/>
      <c r="F4" s="3" t="n"/>
      <c r="G4" s="2" t="n"/>
      <c r="H4" s="2" t="n"/>
      <c r="I4" s="2" t="n"/>
      <c r="J4" s="2" t="n"/>
      <c r="K4" s="79" t="n"/>
      <c r="L4" s="79" t="n"/>
      <c r="M4" s="80" t="n"/>
      <c r="N4" s="80" t="n"/>
      <c r="O4" s="80" t="n"/>
      <c r="P4" s="80" t="n"/>
      <c r="Q4" s="80" t="n"/>
      <c r="U4" s="722" t="n"/>
    </row>
    <row r="5" ht="15.6" customFormat="1" customHeight="1" s="81">
      <c r="A5" s="4" t="n"/>
      <c r="B5" s="50" t="inlineStr">
        <is>
          <t>To :</t>
        </is>
      </c>
      <c r="C5" s="64" t="inlineStr">
        <is>
          <t xml:space="preserve">CÔNG TY TNHH JW STONE VIỆT NAM </t>
        </is>
      </c>
      <c r="G5" s="56" t="n"/>
      <c r="H5" s="4" t="n"/>
      <c r="I5" s="4" t="n"/>
      <c r="J5" s="5" t="n"/>
      <c r="K5" s="82" t="n"/>
      <c r="L5" s="82" t="n"/>
      <c r="M5" s="83" t="n"/>
      <c r="N5" s="83" t="n"/>
      <c r="O5" s="83" t="n"/>
      <c r="P5" s="83" t="n"/>
      <c r="Q5" s="83" t="n"/>
      <c r="R5" s="711" t="n"/>
      <c r="S5" s="711" t="n"/>
      <c r="T5" s="711" t="n"/>
      <c r="U5" s="711" t="n"/>
    </row>
    <row r="6" ht="15.6" customFormat="1" customHeight="1" s="81">
      <c r="A6" s="4" t="n"/>
      <c r="B6" s="50" t="inlineStr">
        <is>
          <t>Address:</t>
        </is>
      </c>
      <c r="C6" s="25" t="inlineStr">
        <is>
          <t>Lô E5-1 (Khu B4), Đường D9, Khu công nghiệp Rạch Bắp, Phường An Tây, Thành Phố Bến Cát, Tỉnh Bình Dương, Việt Nam</t>
        </is>
      </c>
      <c r="G6" s="84" t="n"/>
      <c r="H6" s="4" t="n"/>
      <c r="I6" s="4" t="n"/>
      <c r="J6" s="5" t="n"/>
      <c r="K6" s="82" t="n"/>
      <c r="L6" s="82" t="n"/>
      <c r="M6" s="83" t="n"/>
      <c r="N6" s="83" t="n"/>
      <c r="O6" s="83" t="n"/>
      <c r="P6" s="83" t="n"/>
      <c r="Q6" s="83" t="n"/>
      <c r="R6" s="711" t="n"/>
      <c r="S6" s="711" t="n"/>
      <c r="T6" s="711" t="n"/>
      <c r="U6" s="711" t="n"/>
    </row>
    <row r="7" ht="15.6" customFormat="1" customHeight="1" s="81">
      <c r="A7" s="4" t="n"/>
      <c r="B7" s="50" t="inlineStr">
        <is>
          <t>Tax code:</t>
        </is>
      </c>
      <c r="C7" s="25" t="inlineStr">
        <is>
          <t>3702792496</t>
        </is>
      </c>
      <c r="G7" s="58" t="n"/>
      <c r="H7" s="4" t="n"/>
      <c r="I7" s="4" t="n"/>
      <c r="J7" s="5" t="n"/>
      <c r="K7" s="82" t="n"/>
      <c r="L7" s="82" t="n"/>
      <c r="M7" s="83" t="n"/>
      <c r="N7" s="83" t="n"/>
      <c r="O7" s="83" t="n"/>
      <c r="P7" s="83" t="n"/>
      <c r="Q7" s="83" t="n"/>
      <c r="R7" s="83" t="n"/>
      <c r="S7" s="5" t="n"/>
      <c r="T7" s="7" t="n"/>
      <c r="U7" s="7" t="n"/>
    </row>
    <row r="8" ht="15.6" customHeight="1">
      <c r="A8" s="2" t="n"/>
      <c r="B8" s="50" t="n"/>
      <c r="C8" s="2" t="n"/>
      <c r="D8" s="3" t="n"/>
      <c r="E8" s="3" t="n"/>
      <c r="F8" s="3" t="n"/>
      <c r="G8" s="2" t="n"/>
      <c r="H8" s="2" t="n"/>
      <c r="I8" s="2" t="n"/>
      <c r="J8" s="2" t="n"/>
      <c r="K8" s="79" t="n"/>
      <c r="L8" s="79" t="n"/>
      <c r="M8" s="80" t="n"/>
      <c r="N8" s="80" t="n"/>
      <c r="O8" s="80" t="n"/>
      <c r="P8" s="80" t="n"/>
      <c r="Q8" s="80" t="n"/>
      <c r="R8" s="80" t="n"/>
      <c r="S8" s="2" t="n"/>
      <c r="T8" s="8" t="n"/>
      <c r="U8" s="8" t="n"/>
    </row>
    <row r="9" ht="14.25" customHeight="1">
      <c r="A9" s="708" t="inlineStr">
        <is>
          <t>No.</t>
        </is>
      </c>
      <c r="B9" s="708" t="inlineStr">
        <is>
          <t>Customs delcaration</t>
        </is>
      </c>
      <c r="C9" s="708" t="inlineStr">
        <is>
          <t>Date</t>
        </is>
      </c>
      <c r="D9" s="708" t="inlineStr">
        <is>
          <t xml:space="preserve">Bill of Lading
/ Booking </t>
        </is>
      </c>
      <c r="E9" s="708" t="inlineStr">
        <is>
          <t>Invoice No.</t>
        </is>
      </c>
      <c r="F9" s="708" t="inlineStr">
        <is>
          <t>Commodity</t>
        </is>
      </c>
      <c r="G9" s="717" t="inlineStr">
        <is>
          <t>Quantity</t>
        </is>
      </c>
      <c r="H9" s="706" t="n"/>
      <c r="I9" s="706" t="n"/>
      <c r="J9" s="707" t="n"/>
      <c r="K9" s="714" t="n"/>
      <c r="L9" s="706" t="n"/>
      <c r="M9" s="706" t="n"/>
      <c r="N9" s="706" t="n"/>
      <c r="O9" s="706" t="n"/>
      <c r="P9" s="706" t="n"/>
      <c r="Q9" s="706" t="n"/>
      <c r="R9" s="706" t="n"/>
      <c r="S9" s="707" t="n"/>
      <c r="T9" s="715" t="inlineStr">
        <is>
          <t>Remarks</t>
        </is>
      </c>
      <c r="U9" s="85" t="n"/>
    </row>
    <row r="10" ht="39.6" customHeight="1">
      <c r="A10" s="709" t="n"/>
      <c r="B10" s="709" t="n"/>
      <c r="C10" s="709" t="n"/>
      <c r="D10" s="709" t="n"/>
      <c r="E10" s="709" t="n"/>
      <c r="F10" s="709" t="n"/>
      <c r="G10" s="9" t="inlineStr">
        <is>
          <t>20'</t>
        </is>
      </c>
      <c r="H10" s="9" t="inlineStr">
        <is>
          <t>40'/45''</t>
        </is>
      </c>
      <c r="I10" s="9" t="inlineStr">
        <is>
          <t>LCL
(CBM)</t>
        </is>
      </c>
      <c r="J10" s="9" t="inlineStr">
        <is>
          <t>Gross weight
/cont (kg)</t>
        </is>
      </c>
      <c r="K10" s="714" t="inlineStr">
        <is>
          <t>Description</t>
        </is>
      </c>
      <c r="L10" s="707" t="n"/>
      <c r="M10" s="23" t="inlineStr">
        <is>
          <t>Invoice No.</t>
        </is>
      </c>
      <c r="N10" s="23" t="inlineStr">
        <is>
          <t>Invoice Date</t>
        </is>
      </c>
      <c r="O10" s="23" t="inlineStr">
        <is>
          <t xml:space="preserve">Before VAT Amount </t>
        </is>
      </c>
      <c r="P10" s="714" t="inlineStr">
        <is>
          <t>VAT 
Amount</t>
        </is>
      </c>
      <c r="Q10" s="707" t="n"/>
      <c r="R10" s="23" t="inlineStr">
        <is>
          <t xml:space="preserve">After VAT Amount </t>
        </is>
      </c>
      <c r="S10" s="23" t="inlineStr">
        <is>
          <t>TOTAL</t>
        </is>
      </c>
      <c r="T10" s="709" t="n"/>
      <c r="U10" s="85" t="n"/>
    </row>
    <row r="11" hidden="1" ht="41.4" customHeight="1">
      <c r="A11" s="31" t="n"/>
      <c r="B11" s="31" t="inlineStr">
        <is>
          <t>海关申报</t>
        </is>
      </c>
      <c r="C11" s="31" t="inlineStr">
        <is>
          <t>日</t>
        </is>
      </c>
      <c r="D11" s="31" t="inlineStr">
        <is>
          <t>提单</t>
        </is>
      </c>
      <c r="E11" s="31" t="inlineStr">
        <is>
          <t>发票号码。</t>
        </is>
      </c>
      <c r="F11" s="31" t="inlineStr">
        <is>
          <t>商品</t>
        </is>
      </c>
      <c r="G11" s="31" t="inlineStr">
        <is>
          <t>小柜</t>
        </is>
      </c>
      <c r="H11" s="31" t="inlineStr">
        <is>
          <t>大柜</t>
        </is>
      </c>
      <c r="I11" s="31" t="inlineStr">
        <is>
          <t>拼箱
（煤层气）</t>
        </is>
      </c>
      <c r="J11" s="31" t="inlineStr">
        <is>
          <t>总重量
/柜（kg)</t>
        </is>
      </c>
      <c r="K11" s="708" t="inlineStr">
        <is>
          <t>描述内容</t>
        </is>
      </c>
      <c r="L11" s="707" t="n"/>
      <c r="M11" s="31" t="inlineStr">
        <is>
          <t>发票号码</t>
        </is>
      </c>
      <c r="N11" s="31" t="inlineStr">
        <is>
          <t>发票日期</t>
        </is>
      </c>
      <c r="O11" s="31" t="inlineStr">
        <is>
          <t>税前金额</t>
        </is>
      </c>
      <c r="P11" s="31" t="inlineStr">
        <is>
          <t>增值税金额</t>
        </is>
      </c>
      <c r="Q11" s="31" t="inlineStr">
        <is>
          <t>增值税金额</t>
        </is>
      </c>
      <c r="R11" s="31" t="inlineStr">
        <is>
          <t>税后金额</t>
        </is>
      </c>
      <c r="S11" s="31" t="inlineStr">
        <is>
          <t>总金额</t>
        </is>
      </c>
      <c r="T11" s="31" t="inlineStr">
        <is>
          <t>备注</t>
        </is>
      </c>
      <c r="U11" s="85" t="n"/>
    </row>
    <row r="12" ht="51" customFormat="1" customHeight="1" s="124">
      <c r="A12" s="125" t="n">
        <v>1</v>
      </c>
      <c r="B12" s="131" t="inlineStr">
        <is>
          <t>306946468900</t>
        </is>
      </c>
      <c r="C12" s="132" t="n">
        <v>45625</v>
      </c>
      <c r="D12" s="126" t="n">
        <v>35448042</v>
      </c>
      <c r="E12" s="126" t="inlineStr">
        <is>
          <t>SV-20241024-01</t>
        </is>
      </c>
      <c r="F12" s="127" t="inlineStr">
        <is>
          <t>Mặt đá nhân tạo</t>
        </is>
      </c>
      <c r="G12" s="128" t="n">
        <v>1</v>
      </c>
      <c r="H12" s="128" t="n"/>
      <c r="I12" s="128" t="n"/>
      <c r="J12" s="129" t="n"/>
      <c r="K12" s="123" t="inlineStr">
        <is>
          <t>Phí xin giấy chứng nhận xuất xứ hàng xuất khẩu</t>
        </is>
      </c>
      <c r="L12" s="133" t="inlineStr">
        <is>
          <t>出口货物原产地证C/O申请费用</t>
        </is>
      </c>
      <c r="M12" s="134" t="n"/>
      <c r="N12" s="135" t="n"/>
      <c r="O12" s="136">
        <f>600000*1</f>
        <v/>
      </c>
      <c r="P12" s="137" t="n">
        <v>0.08</v>
      </c>
      <c r="Q12" s="122">
        <f>+O12*0.08</f>
        <v/>
      </c>
      <c r="R12" s="122">
        <f>+O12+Q12</f>
        <v/>
      </c>
      <c r="S12" s="130">
        <f>+SUM(R12:R12)</f>
        <v/>
      </c>
      <c r="T12" s="121" t="inlineStr">
        <is>
          <t>Phí dịch vụ</t>
        </is>
      </c>
      <c r="U12" s="138" t="inlineStr">
        <is>
          <t>服务费</t>
        </is>
      </c>
      <c r="V12" s="123" t="inlineStr">
        <is>
          <t>ok</t>
        </is>
      </c>
    </row>
    <row r="13" ht="18.75" customHeight="1">
      <c r="A13" s="705" t="inlineStr">
        <is>
          <t>TOTAL</t>
        </is>
      </c>
      <c r="B13" s="706" t="n"/>
      <c r="C13" s="706" t="n"/>
      <c r="D13" s="706" t="n"/>
      <c r="E13" s="706" t="n"/>
      <c r="F13" s="707" t="n"/>
      <c r="G13" s="86">
        <f>+SUM(G12:G12)</f>
        <v/>
      </c>
      <c r="H13" s="86">
        <f>+SUM(H12:H12)</f>
        <v/>
      </c>
      <c r="I13" s="86" t="n"/>
      <c r="J13" s="87" t="n"/>
      <c r="K13" s="88" t="n"/>
      <c r="L13" s="89" t="n"/>
      <c r="M13" s="90" t="n"/>
      <c r="N13" s="91" t="n"/>
      <c r="O13" s="105">
        <f>+SUM(O12:O12)</f>
        <v/>
      </c>
      <c r="P13" s="88" t="n"/>
      <c r="Q13" s="105">
        <f>+SUM(Q12:Q12)</f>
        <v/>
      </c>
      <c r="R13" s="105">
        <f>+SUM(R12:R12)</f>
        <v/>
      </c>
      <c r="S13" s="88">
        <f>SUM(S8:S12)</f>
        <v/>
      </c>
      <c r="T13" s="14" t="n"/>
      <c r="U13" s="14" t="n"/>
    </row>
    <row r="14" ht="15.6" customHeight="1">
      <c r="A14" s="15" t="n"/>
      <c r="B14" s="51" t="n"/>
      <c r="C14" s="52" t="n"/>
      <c r="D14" s="16" t="n"/>
      <c r="E14" s="16" t="n"/>
      <c r="F14" s="16" t="n"/>
      <c r="G14" s="15" t="n"/>
      <c r="H14" s="15" t="n"/>
      <c r="I14" s="15" t="n"/>
      <c r="J14" s="15" t="n"/>
      <c r="K14" s="92" t="n"/>
      <c r="L14" s="92" t="n"/>
      <c r="M14" s="93" t="n"/>
      <c r="N14" s="93" t="n"/>
      <c r="O14" s="93" t="n"/>
      <c r="P14" s="93" t="n"/>
      <c r="Q14" s="93" t="n"/>
      <c r="R14" s="93" t="n"/>
      <c r="S14" s="15" t="n"/>
      <c r="T14" s="94" t="n"/>
      <c r="U14" s="94" t="n"/>
    </row>
    <row r="15" ht="15.6" customHeight="1">
      <c r="A15" s="15" t="n"/>
      <c r="B15" s="51" t="n"/>
      <c r="C15" s="52" t="n"/>
      <c r="D15" s="16" t="n"/>
      <c r="E15" s="16" t="n"/>
      <c r="F15" s="16" t="n"/>
      <c r="G15" s="712" t="n"/>
      <c r="O15" s="712" t="n"/>
      <c r="U15" s="712" t="n"/>
    </row>
    <row r="16" ht="27.6" customHeight="1">
      <c r="A16" s="15" t="n"/>
      <c r="B16" s="51" t="n"/>
      <c r="C16" s="95" t="n"/>
      <c r="D16" s="96" t="n"/>
      <c r="E16" s="97" t="n"/>
      <c r="F16" s="721" t="inlineStr">
        <is>
          <t>Tổng cộng phí dịch vụ logistics: 
物流服务费合计：</t>
        </is>
      </c>
      <c r="J16" s="719" t="n"/>
      <c r="K16" s="716">
        <f>+K17+K18</f>
        <v/>
      </c>
      <c r="L16" s="706" t="n"/>
      <c r="M16" s="706" t="n"/>
      <c r="N16" s="707" t="n"/>
      <c r="O16" s="98" t="n"/>
      <c r="P16" s="98" t="n"/>
      <c r="Q16" s="98" t="n"/>
      <c r="R16" s="99">
        <f>+S13-K16</f>
        <v/>
      </c>
      <c r="S16" s="26" t="n"/>
      <c r="T16" s="712" t="n"/>
      <c r="U16" s="712" t="n"/>
    </row>
    <row r="17" ht="29.1" customHeight="1">
      <c r="A17" s="15" t="n"/>
      <c r="B17" s="51" t="n"/>
      <c r="C17" s="48" t="n"/>
      <c r="D17" s="100" t="n"/>
      <c r="E17" s="100" t="n"/>
      <c r="F17" s="718" t="inlineStr">
        <is>
          <t>Phí dịch vụ logistics (đã VAT):
物流服务费（含增值税）：</t>
        </is>
      </c>
      <c r="J17" s="719" t="n"/>
      <c r="K17" s="716">
        <f>SUMIF($T:$T,"Phí dịch vụ",$R:$R)</f>
        <v/>
      </c>
      <c r="L17" s="706" t="n"/>
      <c r="M17" s="706" t="n"/>
      <c r="N17" s="707" t="n"/>
      <c r="O17" s="98" t="n"/>
      <c r="P17" s="98" t="n"/>
      <c r="Q17" s="98" t="n"/>
      <c r="R17" s="98" t="n"/>
      <c r="S17" s="712" t="n"/>
      <c r="T17" s="712" t="n"/>
      <c r="U17" s="712" t="n"/>
    </row>
    <row r="18" ht="32.1" customHeight="1">
      <c r="A18" s="15" t="n"/>
      <c r="B18" s="51" t="n"/>
      <c r="C18" s="37" t="n"/>
      <c r="D18" s="101" t="n"/>
      <c r="E18" s="101" t="n"/>
      <c r="F18" s="718" t="inlineStr">
        <is>
          <t>Phí chi hộ:
代付费用</t>
        </is>
      </c>
      <c r="J18" s="719" t="n"/>
      <c r="K18" s="716">
        <f>SUMIF($T:$T,"Phí chi hộ",$R:$R)</f>
        <v/>
      </c>
      <c r="L18" s="706" t="n"/>
      <c r="M18" s="706" t="n"/>
      <c r="N18" s="707" t="n"/>
      <c r="O18" s="98" t="n"/>
      <c r="P18" s="98" t="n"/>
      <c r="Q18" s="98" t="n"/>
      <c r="R18" s="98" t="n"/>
      <c r="S18" s="712" t="n"/>
      <c r="T18" s="712" t="n"/>
      <c r="U18" s="712" t="n"/>
    </row>
    <row r="19" ht="15.6" customHeight="1">
      <c r="A19" s="15" t="n"/>
      <c r="B19" s="17" t="n"/>
      <c r="C19" s="54" t="inlineStr">
        <is>
          <t>1. Đã bàn giao toàn bộ chứng từ gốc theo bảng kê trên</t>
        </is>
      </c>
      <c r="D19" s="18" t="n"/>
      <c r="E19" s="18" t="n"/>
      <c r="F19" s="18" t="n"/>
      <c r="G19" s="17" t="n"/>
      <c r="H19" s="17" t="n"/>
      <c r="I19" s="17" t="n"/>
      <c r="J19" s="17" t="n"/>
      <c r="K19" s="92" t="n"/>
      <c r="L19" s="92" t="n"/>
      <c r="M19" s="93" t="n"/>
      <c r="N19" s="710" t="inlineStr">
        <is>
          <t xml:space="preserve"> CÔNG TY TNHH MTV SOTRANS LOGISTICS </t>
        </is>
      </c>
      <c r="U19" s="710" t="n"/>
    </row>
    <row r="20" ht="15.6" customHeight="1">
      <c r="A20" s="15" t="n"/>
      <c r="B20" s="17" t="n"/>
      <c r="C20" s="54" t="inlineStr">
        <is>
          <t>2. Thanh toán cho công ty chúng tôi số tiền trên bằng chuyển khoản theo thông tin sau :</t>
        </is>
      </c>
      <c r="D20" s="18" t="n"/>
      <c r="E20" s="18" t="n"/>
      <c r="F20" s="18" t="n"/>
      <c r="G20" s="17" t="n"/>
      <c r="H20" s="17" t="n"/>
      <c r="I20" s="17" t="n"/>
      <c r="J20" s="17" t="n"/>
      <c r="K20" s="92" t="n"/>
      <c r="L20" s="92" t="n"/>
      <c r="M20" s="93" t="n"/>
      <c r="N20" s="93" t="n"/>
      <c r="O20" s="702" t="inlineStr">
        <is>
          <t>Ngày…..….../…....…/ 2024</t>
        </is>
      </c>
      <c r="T20" s="24" t="n"/>
      <c r="U20" s="24" t="n"/>
    </row>
    <row r="21">
      <c r="A21" s="15" t="n"/>
      <c r="B21" s="17" t="n"/>
      <c r="C21" s="54" t="inlineStr">
        <is>
          <t>CTY thụ hưởng : Công Ty TNHH MTV Sotrans Logistics</t>
        </is>
      </c>
      <c r="D21" s="18" t="n"/>
      <c r="E21" s="18" t="n"/>
      <c r="F21" s="18" t="n"/>
      <c r="G21" s="17" t="n"/>
      <c r="H21" s="17" t="n"/>
      <c r="I21" s="17" t="n"/>
      <c r="J21" s="17" t="n"/>
      <c r="K21" s="92" t="n"/>
      <c r="L21" s="92" t="n"/>
      <c r="M21" s="93" t="n"/>
      <c r="N21" s="93" t="n"/>
      <c r="O21" s="15" t="n"/>
      <c r="P21" s="15" t="n"/>
      <c r="Q21" s="15" t="n"/>
      <c r="R21" s="15" t="n"/>
      <c r="S21" s="15" t="n"/>
      <c r="T21" s="15" t="n"/>
      <c r="U21" s="15" t="n"/>
    </row>
    <row r="22">
      <c r="A22" s="15" t="n"/>
      <c r="B22" s="17" t="n"/>
      <c r="C22" s="54" t="inlineStr">
        <is>
          <t>Số tài khoản : 007.100.128.1934</t>
        </is>
      </c>
      <c r="D22" s="18" t="n"/>
      <c r="E22" s="18" t="n"/>
      <c r="F22" s="18" t="n"/>
      <c r="G22" s="17" t="n"/>
      <c r="H22" s="17" t="n"/>
      <c r="I22" s="17" t="n"/>
      <c r="J22" s="17" t="n"/>
      <c r="K22" s="92" t="n"/>
      <c r="L22" s="92" t="n"/>
      <c r="M22" s="93" t="n"/>
      <c r="N22" s="93" t="n"/>
      <c r="O22" s="15" t="n"/>
      <c r="P22" s="15" t="n"/>
      <c r="Q22" s="15" t="n"/>
      <c r="R22" s="15" t="n"/>
      <c r="S22" s="15" t="n"/>
      <c r="T22" s="15" t="n"/>
      <c r="U22" s="15" t="n"/>
    </row>
    <row r="23">
      <c r="A23" s="15" t="n"/>
      <c r="B23" s="17" t="n"/>
      <c r="C23" s="54" t="inlineStr">
        <is>
          <t>Ngân hàng : VIETCOMBANK - CN. TPHCM</t>
        </is>
      </c>
      <c r="D23" s="18" t="n"/>
      <c r="E23" s="18" t="n"/>
      <c r="F23" s="18" t="n"/>
      <c r="G23" s="17" t="n"/>
      <c r="H23" s="17" t="n"/>
      <c r="I23" s="17" t="n"/>
      <c r="J23" s="17" t="n"/>
      <c r="K23" s="92" t="n"/>
      <c r="L23" s="92" t="n"/>
      <c r="M23" s="93" t="n"/>
      <c r="N23" s="93" t="n"/>
      <c r="O23" s="15" t="n"/>
      <c r="P23" s="15" t="n"/>
      <c r="Q23" s="15" t="n"/>
      <c r="R23" s="15" t="n"/>
      <c r="S23" s="15" t="n"/>
      <c r="T23" s="15" t="n"/>
      <c r="U23" s="15" t="n"/>
    </row>
    <row r="24" ht="15.75" customHeight="1">
      <c r="A24" s="15" t="n"/>
      <c r="B24" s="17" t="n"/>
      <c r="C24" s="18" t="n"/>
      <c r="D24" s="18" t="n"/>
      <c r="E24" s="18" t="n"/>
      <c r="F24" s="18" t="n"/>
      <c r="G24" s="17" t="n"/>
      <c r="H24" s="17" t="n"/>
      <c r="I24" s="17" t="n"/>
      <c r="J24" s="17" t="n"/>
      <c r="K24" s="92" t="n"/>
      <c r="L24" s="92" t="n"/>
      <c r="M24" s="93" t="n"/>
      <c r="N24" s="93" t="n"/>
      <c r="O24" s="93" t="n"/>
      <c r="P24" s="93" t="n"/>
      <c r="Q24" s="93" t="n"/>
      <c r="R24" s="93" t="n"/>
      <c r="S24" s="15" t="n"/>
      <c r="T24" s="94" t="n"/>
      <c r="U24" s="94" t="n"/>
    </row>
    <row r="25" ht="15.75" customHeight="1">
      <c r="A25" s="15" t="n"/>
      <c r="B25" s="17" t="n"/>
      <c r="C25" s="18" t="n"/>
      <c r="D25" s="19" t="inlineStr">
        <is>
          <t>KHÁCH HÀNG XÁC NHẬN</t>
        </is>
      </c>
      <c r="E25" s="19" t="n"/>
      <c r="F25" s="19" t="n"/>
      <c r="G25" s="49" t="n"/>
      <c r="H25" s="49" t="n"/>
      <c r="I25" s="49" t="n"/>
      <c r="J25" s="19" t="n"/>
      <c r="K25" s="92" t="n"/>
      <c r="L25" s="92" t="n"/>
      <c r="M25" s="93" t="n"/>
      <c r="N25" s="102" t="n"/>
      <c r="O25" s="710" t="inlineStr">
        <is>
          <t xml:space="preserve">Nguyễn Thị Hương Giang </t>
        </is>
      </c>
      <c r="T25" s="102" t="n"/>
      <c r="U25" s="102" t="n"/>
    </row>
    <row r="26" ht="15.6" customHeight="1">
      <c r="A26" s="15" t="n"/>
      <c r="B26" s="710" t="inlineStr">
        <is>
          <t>Your confirmation</t>
        </is>
      </c>
      <c r="I26" s="710" t="n"/>
      <c r="J26" s="710" t="n"/>
      <c r="K26" s="92" t="n"/>
      <c r="L26" s="92" t="n"/>
      <c r="M26" s="93" t="n"/>
      <c r="N26" s="93" t="n"/>
      <c r="O26" s="15" t="n"/>
      <c r="P26" s="15" t="n"/>
      <c r="Q26" s="15" t="n"/>
      <c r="R26" s="15" t="n"/>
      <c r="S26" s="15" t="n"/>
      <c r="T26" s="15" t="n"/>
      <c r="U26" s="15" t="n"/>
    </row>
    <row r="27" ht="15.6" customHeight="1">
      <c r="A27" s="15" t="n"/>
      <c r="B27" s="702" t="inlineStr">
        <is>
          <t>Ngày…..….../…....…/ 2024</t>
        </is>
      </c>
      <c r="I27" s="702" t="n"/>
      <c r="J27" s="702" t="n"/>
      <c r="K27" s="92" t="n"/>
      <c r="L27" s="92" t="n"/>
      <c r="M27" s="93" t="n"/>
      <c r="N27" s="93" t="n"/>
      <c r="O27" s="93" t="n"/>
      <c r="P27" s="93" t="n"/>
      <c r="Q27" s="93" t="n"/>
      <c r="R27" s="93" t="n"/>
      <c r="S27" s="15" t="n"/>
      <c r="T27" s="94" t="n"/>
      <c r="U27" s="94" t="n"/>
    </row>
    <row r="28" ht="15.6" customHeight="1">
      <c r="A28" s="15" t="n"/>
      <c r="B28" s="51" t="n"/>
      <c r="C28" s="52" t="n"/>
      <c r="D28" s="16" t="n"/>
      <c r="E28" s="16" t="n"/>
      <c r="F28" s="16" t="n"/>
      <c r="G28" s="15" t="n"/>
      <c r="H28" s="15" t="n"/>
      <c r="I28" s="15" t="n"/>
      <c r="J28" s="15" t="n"/>
      <c r="K28" s="92" t="n"/>
      <c r="L28" s="92" t="n"/>
      <c r="M28" s="93" t="n"/>
      <c r="N28" s="93" t="n"/>
      <c r="O28" s="93" t="n"/>
      <c r="P28" s="93" t="n"/>
      <c r="Q28" s="93" t="n"/>
      <c r="R28" s="93" t="n"/>
      <c r="S28" s="15" t="n"/>
      <c r="T28" s="94" t="n"/>
      <c r="U28" s="94" t="n"/>
    </row>
    <row r="29" ht="15.6" customHeight="1">
      <c r="A29" s="15" t="n"/>
      <c r="B29" s="51" t="n"/>
      <c r="C29" s="52" t="n"/>
      <c r="D29" s="16" t="n"/>
      <c r="E29" s="16" t="n"/>
      <c r="F29" s="16" t="n"/>
      <c r="G29" s="15" t="n"/>
      <c r="H29" s="15" t="n"/>
      <c r="I29" s="15" t="n"/>
      <c r="J29" s="15" t="n"/>
      <c r="K29" s="92" t="n"/>
      <c r="L29" s="92" t="n"/>
      <c r="M29" s="93" t="n"/>
      <c r="N29" s="93" t="n"/>
      <c r="O29" s="93" t="n"/>
      <c r="P29" s="93" t="n"/>
      <c r="Q29" s="93" t="n"/>
      <c r="R29" s="93" t="n"/>
      <c r="S29" s="15" t="n"/>
      <c r="T29" s="94" t="n"/>
      <c r="U29" s="94" t="n"/>
    </row>
    <row r="30" ht="15.6" customHeight="1">
      <c r="A30" s="2" t="n"/>
      <c r="B30" s="50" t="n"/>
      <c r="C30" s="2" t="n"/>
      <c r="D30" s="3" t="n"/>
      <c r="E30" s="3" t="n"/>
      <c r="F30" s="3" t="n"/>
      <c r="G30" s="2" t="n"/>
      <c r="H30" s="2" t="n"/>
      <c r="I30" s="2" t="n"/>
      <c r="J30" s="2" t="n"/>
      <c r="K30" s="79" t="n"/>
      <c r="L30" s="79" t="n"/>
      <c r="M30" s="80" t="n"/>
      <c r="N30" s="80" t="n"/>
      <c r="O30" s="80" t="n"/>
      <c r="P30" s="80" t="n"/>
      <c r="Q30" s="80" t="n"/>
      <c r="R30" s="80" t="n"/>
      <c r="S30" s="2" t="n"/>
      <c r="T30" s="8" t="n"/>
      <c r="U30" s="8" t="n"/>
    </row>
    <row r="31" ht="15" customHeight="1">
      <c r="B31" s="103" t="n"/>
      <c r="J31" s="703" t="n"/>
      <c r="M31" s="104" t="n"/>
      <c r="N31" s="104" t="n"/>
      <c r="O31" s="104" t="n"/>
      <c r="P31" s="104" t="n"/>
      <c r="Q31" s="104" t="n"/>
      <c r="R31" s="104" t="n"/>
      <c r="S31" s="703" t="n"/>
    </row>
    <row r="32" ht="15" customHeight="1">
      <c r="B32" s="103" t="n"/>
      <c r="J32" s="703" t="n"/>
      <c r="M32" s="104" t="n"/>
      <c r="N32" s="104" t="n"/>
      <c r="O32" s="104" t="n"/>
      <c r="P32" s="104" t="n"/>
      <c r="Q32" s="104" t="n"/>
      <c r="R32" s="104" t="n"/>
      <c r="S32" s="703" t="n"/>
    </row>
    <row r="33" ht="15" customHeight="1">
      <c r="B33" s="103" t="n"/>
      <c r="J33" s="703" t="n"/>
      <c r="M33" s="104" t="n"/>
      <c r="N33" s="104" t="n"/>
      <c r="O33" s="104" t="n"/>
      <c r="P33" s="104" t="n"/>
      <c r="Q33" s="104" t="n"/>
      <c r="R33" s="104" t="n"/>
      <c r="S33" s="703" t="n"/>
    </row>
    <row r="34" ht="15" customHeight="1">
      <c r="B34" s="103" t="n"/>
      <c r="J34" s="703" t="n"/>
      <c r="M34" s="104" t="n"/>
      <c r="N34" s="104" t="n"/>
      <c r="O34" s="104" t="n"/>
      <c r="P34" s="104" t="n"/>
      <c r="Q34" s="104" t="n"/>
      <c r="R34" s="104" t="n"/>
      <c r="S34" s="703" t="n"/>
    </row>
    <row r="35" ht="15" customHeight="1">
      <c r="B35" s="103" t="n"/>
      <c r="J35" s="703" t="n"/>
      <c r="M35" s="104" t="n"/>
      <c r="N35" s="104" t="n"/>
      <c r="O35" s="104" t="n"/>
      <c r="P35" s="104" t="n"/>
      <c r="Q35" s="104" t="n"/>
      <c r="R35" s="104" t="n"/>
      <c r="S35" s="703" t="n"/>
    </row>
    <row r="36" ht="15" customHeight="1">
      <c r="B36" s="103" t="n"/>
      <c r="J36" s="703" t="n"/>
      <c r="M36" s="104" t="n"/>
      <c r="N36" s="104" t="n"/>
      <c r="O36" s="104" t="n"/>
      <c r="P36" s="104" t="n"/>
      <c r="Q36" s="104" t="n"/>
      <c r="R36" s="104" t="n"/>
      <c r="S36" s="703" t="n"/>
    </row>
  </sheetData>
  <mergeCells count="29">
    <mergeCell ref="E2:Q2"/>
    <mergeCell ref="N19:T19"/>
    <mergeCell ref="K17:N17"/>
    <mergeCell ref="F16:J16"/>
    <mergeCell ref="P10:Q10"/>
    <mergeCell ref="C9:C10"/>
    <mergeCell ref="T9:T10"/>
    <mergeCell ref="G9:J9"/>
    <mergeCell ref="K11:L11"/>
    <mergeCell ref="E9:E10"/>
    <mergeCell ref="B26:H26"/>
    <mergeCell ref="K18:N18"/>
    <mergeCell ref="O20:S20"/>
    <mergeCell ref="K16:N16"/>
    <mergeCell ref="F18:J18"/>
    <mergeCell ref="F17:J17"/>
    <mergeCell ref="R1:T4"/>
    <mergeCell ref="B9:B10"/>
    <mergeCell ref="D9:D10"/>
    <mergeCell ref="B27:H27"/>
    <mergeCell ref="A13:F13"/>
    <mergeCell ref="F9:F10"/>
    <mergeCell ref="O25:S25"/>
    <mergeCell ref="G15:N15"/>
    <mergeCell ref="E3:P3"/>
    <mergeCell ref="O15:T15"/>
    <mergeCell ref="A9:A10"/>
    <mergeCell ref="K9:S9"/>
    <mergeCell ref="K10:L10"/>
  </mergeCells>
  <conditionalFormatting sqref="C19:C25">
    <cfRule type="duplicateValues" priority="7" dxfId="3"/>
  </conditionalFormatting>
  <conditionalFormatting sqref="M1:M11 M13:M1048576">
    <cfRule type="duplicateValues" priority="24" dxfId="0"/>
  </conditionalFormatting>
  <conditionalFormatting sqref="M12">
    <cfRule type="duplicateValues" priority="38" dxfId="0"/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AB234"/>
  <sheetViews>
    <sheetView tabSelected="1" zoomScale="70" zoomScaleNormal="70" workbookViewId="0">
      <pane xSplit="3" ySplit="12" topLeftCell="D13" activePane="bottomRight" state="frozen"/>
      <selection activeCell="A8" sqref="A8"/>
      <selection pane="topRight" activeCell="D8" sqref="D8"/>
      <selection pane="bottomLeft" activeCell="A13" sqref="A13"/>
      <selection pane="bottomRight" activeCell="G16" sqref="G16"/>
    </sheetView>
  </sheetViews>
  <sheetFormatPr baseColWidth="8" defaultRowHeight="13.8"/>
  <cols>
    <col width="4.109375" customWidth="1" style="757" min="1" max="1"/>
    <col width="26" bestFit="1" customWidth="1" style="757" min="2" max="2"/>
    <col width="11.5546875" customWidth="1" style="108" min="3" max="3"/>
    <col width="20.88671875" customWidth="1" style="757" min="4" max="4"/>
    <col width="18.5546875" customWidth="1" style="757" min="5" max="5"/>
    <col width="16.109375" customWidth="1" style="757" min="6" max="6"/>
    <col width="18.5546875" customWidth="1" style="757" min="7" max="9"/>
    <col width="14.88671875" customWidth="1" style="750" min="10" max="10"/>
    <col width="5.88671875" customWidth="1" style="757" min="11" max="11"/>
    <col width="4.88671875" customWidth="1" style="757" min="12" max="12"/>
    <col width="8" customWidth="1" style="757" min="13" max="13"/>
    <col width="9.109375" customWidth="1" style="757" min="14" max="14"/>
    <col width="10.6640625" customWidth="1" style="749" min="15" max="15"/>
    <col width="26.88671875" customWidth="1" style="750" min="16" max="16"/>
    <col width="21.33203125" customWidth="1" style="749" min="17" max="17"/>
    <col width="9.44140625" bestFit="1" customWidth="1" style="749" min="18" max="18"/>
    <col width="10.44140625" bestFit="1" customWidth="1" style="749" min="19" max="19"/>
    <col width="15.6640625" bestFit="1" customWidth="1" style="749" min="20" max="20"/>
    <col width="7.6640625" customWidth="1" style="749" min="21" max="21"/>
    <col width="14.44140625" bestFit="1" customWidth="1" style="749" min="22" max="22"/>
    <col width="15.5546875" customWidth="1" style="749" min="23" max="23"/>
    <col width="15.6640625" bestFit="1" customWidth="1" style="749" min="24" max="24"/>
    <col width="15.33203125" customWidth="1" style="750" min="25" max="25"/>
    <col width="10.109375" customWidth="1" style="749" min="26" max="26"/>
    <col width="35" customWidth="1" style="65" min="27" max="27"/>
    <col width="12.109375" customWidth="1" style="749" min="28" max="28"/>
    <col width="9.109375" customWidth="1" style="348" min="29" max="264"/>
    <col width="4.109375" customWidth="1" style="348" min="265" max="265"/>
    <col width="13.6640625" customWidth="1" style="348" min="266" max="266"/>
    <col width="9.5546875" customWidth="1" style="348" min="267" max="267"/>
    <col width="15" customWidth="1" style="348" min="268" max="268"/>
    <col width="13.6640625" customWidth="1" style="348" min="269" max="269"/>
    <col width="14" customWidth="1" style="348" min="270" max="270"/>
    <col width="4.33203125" customWidth="1" style="348" min="271" max="271"/>
    <col width="4.88671875" customWidth="1" style="348" min="272" max="272"/>
    <col width="9.5546875" customWidth="1" style="348" min="273" max="273"/>
    <col width="20.109375" customWidth="1" style="348" min="274" max="274"/>
    <col width="11.109375" customWidth="1" style="348" min="275" max="275"/>
    <col width="12.44140625" customWidth="1" style="348" min="276" max="276"/>
    <col width="13.88671875" customWidth="1" style="348" min="277" max="277"/>
    <col width="7.6640625" customWidth="1" style="348" min="278" max="278"/>
    <col width="9" customWidth="1" style="348" min="279" max="279"/>
    <col width="11.5546875" customWidth="1" style="348" min="280" max="280"/>
    <col width="13.33203125" customWidth="1" style="348" min="281" max="281"/>
    <col width="29" customWidth="1" style="348" min="282" max="282"/>
    <col width="13.6640625" customWidth="1" style="348" min="283" max="283"/>
    <col width="9.109375" customWidth="1" style="348" min="284" max="520"/>
    <col width="4.109375" customWidth="1" style="348" min="521" max="521"/>
    <col width="13.6640625" customWidth="1" style="348" min="522" max="522"/>
    <col width="9.5546875" customWidth="1" style="348" min="523" max="523"/>
    <col width="15" customWidth="1" style="348" min="524" max="524"/>
    <col width="13.6640625" customWidth="1" style="348" min="525" max="525"/>
    <col width="14" customWidth="1" style="348" min="526" max="526"/>
    <col width="4.33203125" customWidth="1" style="348" min="527" max="527"/>
    <col width="4.88671875" customWidth="1" style="348" min="528" max="528"/>
    <col width="9.5546875" customWidth="1" style="348" min="529" max="529"/>
    <col width="20.109375" customWidth="1" style="348" min="530" max="530"/>
    <col width="11.109375" customWidth="1" style="348" min="531" max="531"/>
    <col width="12.44140625" customWidth="1" style="348" min="532" max="532"/>
    <col width="13.88671875" customWidth="1" style="348" min="533" max="533"/>
    <col width="7.6640625" customWidth="1" style="348" min="534" max="534"/>
    <col width="9" customWidth="1" style="348" min="535" max="535"/>
    <col width="11.5546875" customWidth="1" style="348" min="536" max="536"/>
    <col width="13.33203125" customWidth="1" style="348" min="537" max="537"/>
    <col width="29" customWidth="1" style="348" min="538" max="538"/>
    <col width="13.6640625" customWidth="1" style="348" min="539" max="539"/>
    <col width="9.109375" customWidth="1" style="348" min="540" max="776"/>
    <col width="4.109375" customWidth="1" style="348" min="777" max="777"/>
    <col width="13.6640625" customWidth="1" style="348" min="778" max="778"/>
    <col width="9.5546875" customWidth="1" style="348" min="779" max="779"/>
    <col width="15" customWidth="1" style="348" min="780" max="780"/>
    <col width="13.6640625" customWidth="1" style="348" min="781" max="781"/>
    <col width="14" customWidth="1" style="348" min="782" max="782"/>
    <col width="4.33203125" customWidth="1" style="348" min="783" max="783"/>
    <col width="4.88671875" customWidth="1" style="348" min="784" max="784"/>
    <col width="9.5546875" customWidth="1" style="348" min="785" max="785"/>
    <col width="20.109375" customWidth="1" style="348" min="786" max="786"/>
    <col width="11.109375" customWidth="1" style="348" min="787" max="787"/>
    <col width="12.44140625" customWidth="1" style="348" min="788" max="788"/>
    <col width="13.88671875" customWidth="1" style="348" min="789" max="789"/>
    <col width="7.6640625" customWidth="1" style="348" min="790" max="790"/>
    <col width="9" customWidth="1" style="348" min="791" max="791"/>
    <col width="11.5546875" customWidth="1" style="348" min="792" max="792"/>
    <col width="13.33203125" customWidth="1" style="348" min="793" max="793"/>
    <col width="29" customWidth="1" style="348" min="794" max="794"/>
    <col width="13.6640625" customWidth="1" style="348" min="795" max="795"/>
    <col width="9.109375" customWidth="1" style="348" min="796" max="1032"/>
    <col width="4.109375" customWidth="1" style="348" min="1033" max="1033"/>
    <col width="13.6640625" customWidth="1" style="348" min="1034" max="1034"/>
    <col width="9.5546875" customWidth="1" style="348" min="1035" max="1035"/>
    <col width="15" customWidth="1" style="348" min="1036" max="1036"/>
    <col width="13.6640625" customWidth="1" style="348" min="1037" max="1037"/>
    <col width="14" customWidth="1" style="348" min="1038" max="1038"/>
    <col width="4.33203125" customWidth="1" style="348" min="1039" max="1039"/>
    <col width="4.88671875" customWidth="1" style="348" min="1040" max="1040"/>
    <col width="9.5546875" customWidth="1" style="348" min="1041" max="1041"/>
    <col width="20.109375" customWidth="1" style="348" min="1042" max="1042"/>
    <col width="11.109375" customWidth="1" style="348" min="1043" max="1043"/>
    <col width="12.44140625" customWidth="1" style="348" min="1044" max="1044"/>
    <col width="13.88671875" customWidth="1" style="348" min="1045" max="1045"/>
    <col width="7.6640625" customWidth="1" style="348" min="1046" max="1046"/>
    <col width="9" customWidth="1" style="348" min="1047" max="1047"/>
    <col width="11.5546875" customWidth="1" style="348" min="1048" max="1048"/>
    <col width="13.33203125" customWidth="1" style="348" min="1049" max="1049"/>
    <col width="29" customWidth="1" style="348" min="1050" max="1050"/>
    <col width="13.6640625" customWidth="1" style="348" min="1051" max="1051"/>
    <col width="9.109375" customWidth="1" style="348" min="1052" max="1288"/>
    <col width="4.109375" customWidth="1" style="348" min="1289" max="1289"/>
    <col width="13.6640625" customWidth="1" style="348" min="1290" max="1290"/>
    <col width="9.5546875" customWidth="1" style="348" min="1291" max="1291"/>
    <col width="15" customWidth="1" style="348" min="1292" max="1292"/>
    <col width="13.6640625" customWidth="1" style="348" min="1293" max="1293"/>
    <col width="14" customWidth="1" style="348" min="1294" max="1294"/>
    <col width="4.33203125" customWidth="1" style="348" min="1295" max="1295"/>
    <col width="4.88671875" customWidth="1" style="348" min="1296" max="1296"/>
    <col width="9.5546875" customWidth="1" style="348" min="1297" max="1297"/>
    <col width="20.109375" customWidth="1" style="348" min="1298" max="1298"/>
    <col width="11.109375" customWidth="1" style="348" min="1299" max="1299"/>
    <col width="12.44140625" customWidth="1" style="348" min="1300" max="1300"/>
    <col width="13.88671875" customWidth="1" style="348" min="1301" max="1301"/>
    <col width="7.6640625" customWidth="1" style="348" min="1302" max="1302"/>
    <col width="9" customWidth="1" style="348" min="1303" max="1303"/>
    <col width="11.5546875" customWidth="1" style="348" min="1304" max="1304"/>
    <col width="13.33203125" customWidth="1" style="348" min="1305" max="1305"/>
    <col width="29" customWidth="1" style="348" min="1306" max="1306"/>
    <col width="13.6640625" customWidth="1" style="348" min="1307" max="1307"/>
    <col width="9.109375" customWidth="1" style="348" min="1308" max="1544"/>
    <col width="4.109375" customWidth="1" style="348" min="1545" max="1545"/>
    <col width="13.6640625" customWidth="1" style="348" min="1546" max="1546"/>
    <col width="9.5546875" customWidth="1" style="348" min="1547" max="1547"/>
    <col width="15" customWidth="1" style="348" min="1548" max="1548"/>
    <col width="13.6640625" customWidth="1" style="348" min="1549" max="1549"/>
    <col width="14" customWidth="1" style="348" min="1550" max="1550"/>
    <col width="4.33203125" customWidth="1" style="348" min="1551" max="1551"/>
    <col width="4.88671875" customWidth="1" style="348" min="1552" max="1552"/>
    <col width="9.5546875" customWidth="1" style="348" min="1553" max="1553"/>
    <col width="20.109375" customWidth="1" style="348" min="1554" max="1554"/>
    <col width="11.109375" customWidth="1" style="348" min="1555" max="1555"/>
    <col width="12.44140625" customWidth="1" style="348" min="1556" max="1556"/>
    <col width="13.88671875" customWidth="1" style="348" min="1557" max="1557"/>
    <col width="7.6640625" customWidth="1" style="348" min="1558" max="1558"/>
    <col width="9" customWidth="1" style="348" min="1559" max="1559"/>
    <col width="11.5546875" customWidth="1" style="348" min="1560" max="1560"/>
    <col width="13.33203125" customWidth="1" style="348" min="1561" max="1561"/>
    <col width="29" customWidth="1" style="348" min="1562" max="1562"/>
    <col width="13.6640625" customWidth="1" style="348" min="1563" max="1563"/>
    <col width="9.109375" customWidth="1" style="348" min="1564" max="1800"/>
    <col width="4.109375" customWidth="1" style="348" min="1801" max="1801"/>
    <col width="13.6640625" customWidth="1" style="348" min="1802" max="1802"/>
    <col width="9.5546875" customWidth="1" style="348" min="1803" max="1803"/>
    <col width="15" customWidth="1" style="348" min="1804" max="1804"/>
    <col width="13.6640625" customWidth="1" style="348" min="1805" max="1805"/>
    <col width="14" customWidth="1" style="348" min="1806" max="1806"/>
    <col width="4.33203125" customWidth="1" style="348" min="1807" max="1807"/>
    <col width="4.88671875" customWidth="1" style="348" min="1808" max="1808"/>
    <col width="9.5546875" customWidth="1" style="348" min="1809" max="1809"/>
    <col width="20.109375" customWidth="1" style="348" min="1810" max="1810"/>
    <col width="11.109375" customWidth="1" style="348" min="1811" max="1811"/>
    <col width="12.44140625" customWidth="1" style="348" min="1812" max="1812"/>
    <col width="13.88671875" customWidth="1" style="348" min="1813" max="1813"/>
    <col width="7.6640625" customWidth="1" style="348" min="1814" max="1814"/>
    <col width="9" customWidth="1" style="348" min="1815" max="1815"/>
    <col width="11.5546875" customWidth="1" style="348" min="1816" max="1816"/>
    <col width="13.33203125" customWidth="1" style="348" min="1817" max="1817"/>
    <col width="29" customWidth="1" style="348" min="1818" max="1818"/>
    <col width="13.6640625" customWidth="1" style="348" min="1819" max="1819"/>
    <col width="9.109375" customWidth="1" style="348" min="1820" max="2056"/>
    <col width="4.109375" customWidth="1" style="348" min="2057" max="2057"/>
    <col width="13.6640625" customWidth="1" style="348" min="2058" max="2058"/>
    <col width="9.5546875" customWidth="1" style="348" min="2059" max="2059"/>
    <col width="15" customWidth="1" style="348" min="2060" max="2060"/>
    <col width="13.6640625" customWidth="1" style="348" min="2061" max="2061"/>
    <col width="14" customWidth="1" style="348" min="2062" max="2062"/>
    <col width="4.33203125" customWidth="1" style="348" min="2063" max="2063"/>
    <col width="4.88671875" customWidth="1" style="348" min="2064" max="2064"/>
    <col width="9.5546875" customWidth="1" style="348" min="2065" max="2065"/>
    <col width="20.109375" customWidth="1" style="348" min="2066" max="2066"/>
    <col width="11.109375" customWidth="1" style="348" min="2067" max="2067"/>
    <col width="12.44140625" customWidth="1" style="348" min="2068" max="2068"/>
    <col width="13.88671875" customWidth="1" style="348" min="2069" max="2069"/>
    <col width="7.6640625" customWidth="1" style="348" min="2070" max="2070"/>
    <col width="9" customWidth="1" style="348" min="2071" max="2071"/>
    <col width="11.5546875" customWidth="1" style="348" min="2072" max="2072"/>
    <col width="13.33203125" customWidth="1" style="348" min="2073" max="2073"/>
    <col width="29" customWidth="1" style="348" min="2074" max="2074"/>
    <col width="13.6640625" customWidth="1" style="348" min="2075" max="2075"/>
    <col width="9.109375" customWidth="1" style="348" min="2076" max="2312"/>
    <col width="4.109375" customWidth="1" style="348" min="2313" max="2313"/>
    <col width="13.6640625" customWidth="1" style="348" min="2314" max="2314"/>
    <col width="9.5546875" customWidth="1" style="348" min="2315" max="2315"/>
    <col width="15" customWidth="1" style="348" min="2316" max="2316"/>
    <col width="13.6640625" customWidth="1" style="348" min="2317" max="2317"/>
    <col width="14" customWidth="1" style="348" min="2318" max="2318"/>
    <col width="4.33203125" customWidth="1" style="348" min="2319" max="2319"/>
    <col width="4.88671875" customWidth="1" style="348" min="2320" max="2320"/>
    <col width="9.5546875" customWidth="1" style="348" min="2321" max="2321"/>
    <col width="20.109375" customWidth="1" style="348" min="2322" max="2322"/>
    <col width="11.109375" customWidth="1" style="348" min="2323" max="2323"/>
    <col width="12.44140625" customWidth="1" style="348" min="2324" max="2324"/>
    <col width="13.88671875" customWidth="1" style="348" min="2325" max="2325"/>
    <col width="7.6640625" customWidth="1" style="348" min="2326" max="2326"/>
    <col width="9" customWidth="1" style="348" min="2327" max="2327"/>
    <col width="11.5546875" customWidth="1" style="348" min="2328" max="2328"/>
    <col width="13.33203125" customWidth="1" style="348" min="2329" max="2329"/>
    <col width="29" customWidth="1" style="348" min="2330" max="2330"/>
    <col width="13.6640625" customWidth="1" style="348" min="2331" max="2331"/>
    <col width="9.109375" customWidth="1" style="348" min="2332" max="2568"/>
    <col width="4.109375" customWidth="1" style="348" min="2569" max="2569"/>
    <col width="13.6640625" customWidth="1" style="348" min="2570" max="2570"/>
    <col width="9.5546875" customWidth="1" style="348" min="2571" max="2571"/>
    <col width="15" customWidth="1" style="348" min="2572" max="2572"/>
    <col width="13.6640625" customWidth="1" style="348" min="2573" max="2573"/>
    <col width="14" customWidth="1" style="348" min="2574" max="2574"/>
    <col width="4.33203125" customWidth="1" style="348" min="2575" max="2575"/>
    <col width="4.88671875" customWidth="1" style="348" min="2576" max="2576"/>
    <col width="9.5546875" customWidth="1" style="348" min="2577" max="2577"/>
    <col width="20.109375" customWidth="1" style="348" min="2578" max="2578"/>
    <col width="11.109375" customWidth="1" style="348" min="2579" max="2579"/>
    <col width="12.44140625" customWidth="1" style="348" min="2580" max="2580"/>
    <col width="13.88671875" customWidth="1" style="348" min="2581" max="2581"/>
    <col width="7.6640625" customWidth="1" style="348" min="2582" max="2582"/>
    <col width="9" customWidth="1" style="348" min="2583" max="2583"/>
    <col width="11.5546875" customWidth="1" style="348" min="2584" max="2584"/>
    <col width="13.33203125" customWidth="1" style="348" min="2585" max="2585"/>
    <col width="29" customWidth="1" style="348" min="2586" max="2586"/>
    <col width="13.6640625" customWidth="1" style="348" min="2587" max="2587"/>
    <col width="9.109375" customWidth="1" style="348" min="2588" max="2824"/>
    <col width="4.109375" customWidth="1" style="348" min="2825" max="2825"/>
    <col width="13.6640625" customWidth="1" style="348" min="2826" max="2826"/>
    <col width="9.5546875" customWidth="1" style="348" min="2827" max="2827"/>
    <col width="15" customWidth="1" style="348" min="2828" max="2828"/>
    <col width="13.6640625" customWidth="1" style="348" min="2829" max="2829"/>
    <col width="14" customWidth="1" style="348" min="2830" max="2830"/>
    <col width="4.33203125" customWidth="1" style="348" min="2831" max="2831"/>
    <col width="4.88671875" customWidth="1" style="348" min="2832" max="2832"/>
    <col width="9.5546875" customWidth="1" style="348" min="2833" max="2833"/>
    <col width="20.109375" customWidth="1" style="348" min="2834" max="2834"/>
    <col width="11.109375" customWidth="1" style="348" min="2835" max="2835"/>
    <col width="12.44140625" customWidth="1" style="348" min="2836" max="2836"/>
    <col width="13.88671875" customWidth="1" style="348" min="2837" max="2837"/>
    <col width="7.6640625" customWidth="1" style="348" min="2838" max="2838"/>
    <col width="9" customWidth="1" style="348" min="2839" max="2839"/>
    <col width="11.5546875" customWidth="1" style="348" min="2840" max="2840"/>
    <col width="13.33203125" customWidth="1" style="348" min="2841" max="2841"/>
    <col width="29" customWidth="1" style="348" min="2842" max="2842"/>
    <col width="13.6640625" customWidth="1" style="348" min="2843" max="2843"/>
    <col width="9.109375" customWidth="1" style="348" min="2844" max="3080"/>
    <col width="4.109375" customWidth="1" style="348" min="3081" max="3081"/>
    <col width="13.6640625" customWidth="1" style="348" min="3082" max="3082"/>
    <col width="9.5546875" customWidth="1" style="348" min="3083" max="3083"/>
    <col width="15" customWidth="1" style="348" min="3084" max="3084"/>
    <col width="13.6640625" customWidth="1" style="348" min="3085" max="3085"/>
    <col width="14" customWidth="1" style="348" min="3086" max="3086"/>
    <col width="4.33203125" customWidth="1" style="348" min="3087" max="3087"/>
    <col width="4.88671875" customWidth="1" style="348" min="3088" max="3088"/>
    <col width="9.5546875" customWidth="1" style="348" min="3089" max="3089"/>
    <col width="20.109375" customWidth="1" style="348" min="3090" max="3090"/>
    <col width="11.109375" customWidth="1" style="348" min="3091" max="3091"/>
    <col width="12.44140625" customWidth="1" style="348" min="3092" max="3092"/>
    <col width="13.88671875" customWidth="1" style="348" min="3093" max="3093"/>
    <col width="7.6640625" customWidth="1" style="348" min="3094" max="3094"/>
    <col width="9" customWidth="1" style="348" min="3095" max="3095"/>
    <col width="11.5546875" customWidth="1" style="348" min="3096" max="3096"/>
    <col width="13.33203125" customWidth="1" style="348" min="3097" max="3097"/>
    <col width="29" customWidth="1" style="348" min="3098" max="3098"/>
    <col width="13.6640625" customWidth="1" style="348" min="3099" max="3099"/>
    <col width="9.109375" customWidth="1" style="348" min="3100" max="3336"/>
    <col width="4.109375" customWidth="1" style="348" min="3337" max="3337"/>
    <col width="13.6640625" customWidth="1" style="348" min="3338" max="3338"/>
    <col width="9.5546875" customWidth="1" style="348" min="3339" max="3339"/>
    <col width="15" customWidth="1" style="348" min="3340" max="3340"/>
    <col width="13.6640625" customWidth="1" style="348" min="3341" max="3341"/>
    <col width="14" customWidth="1" style="348" min="3342" max="3342"/>
    <col width="4.33203125" customWidth="1" style="348" min="3343" max="3343"/>
    <col width="4.88671875" customWidth="1" style="348" min="3344" max="3344"/>
    <col width="9.5546875" customWidth="1" style="348" min="3345" max="3345"/>
    <col width="20.109375" customWidth="1" style="348" min="3346" max="3346"/>
    <col width="11.109375" customWidth="1" style="348" min="3347" max="3347"/>
    <col width="12.44140625" customWidth="1" style="348" min="3348" max="3348"/>
    <col width="13.88671875" customWidth="1" style="348" min="3349" max="3349"/>
    <col width="7.6640625" customWidth="1" style="348" min="3350" max="3350"/>
    <col width="9" customWidth="1" style="348" min="3351" max="3351"/>
    <col width="11.5546875" customWidth="1" style="348" min="3352" max="3352"/>
    <col width="13.33203125" customWidth="1" style="348" min="3353" max="3353"/>
    <col width="29" customWidth="1" style="348" min="3354" max="3354"/>
    <col width="13.6640625" customWidth="1" style="348" min="3355" max="3355"/>
    <col width="9.109375" customWidth="1" style="348" min="3356" max="3592"/>
    <col width="4.109375" customWidth="1" style="348" min="3593" max="3593"/>
    <col width="13.6640625" customWidth="1" style="348" min="3594" max="3594"/>
    <col width="9.5546875" customWidth="1" style="348" min="3595" max="3595"/>
    <col width="15" customWidth="1" style="348" min="3596" max="3596"/>
    <col width="13.6640625" customWidth="1" style="348" min="3597" max="3597"/>
    <col width="14" customWidth="1" style="348" min="3598" max="3598"/>
    <col width="4.33203125" customWidth="1" style="348" min="3599" max="3599"/>
    <col width="4.88671875" customWidth="1" style="348" min="3600" max="3600"/>
    <col width="9.5546875" customWidth="1" style="348" min="3601" max="3601"/>
    <col width="20.109375" customWidth="1" style="348" min="3602" max="3602"/>
    <col width="11.109375" customWidth="1" style="348" min="3603" max="3603"/>
    <col width="12.44140625" customWidth="1" style="348" min="3604" max="3604"/>
    <col width="13.88671875" customWidth="1" style="348" min="3605" max="3605"/>
    <col width="7.6640625" customWidth="1" style="348" min="3606" max="3606"/>
    <col width="9" customWidth="1" style="348" min="3607" max="3607"/>
    <col width="11.5546875" customWidth="1" style="348" min="3608" max="3608"/>
    <col width="13.33203125" customWidth="1" style="348" min="3609" max="3609"/>
    <col width="29" customWidth="1" style="348" min="3610" max="3610"/>
    <col width="13.6640625" customWidth="1" style="348" min="3611" max="3611"/>
    <col width="9.109375" customWidth="1" style="348" min="3612" max="3848"/>
    <col width="4.109375" customWidth="1" style="348" min="3849" max="3849"/>
    <col width="13.6640625" customWidth="1" style="348" min="3850" max="3850"/>
    <col width="9.5546875" customWidth="1" style="348" min="3851" max="3851"/>
    <col width="15" customWidth="1" style="348" min="3852" max="3852"/>
    <col width="13.6640625" customWidth="1" style="348" min="3853" max="3853"/>
    <col width="14" customWidth="1" style="348" min="3854" max="3854"/>
    <col width="4.33203125" customWidth="1" style="348" min="3855" max="3855"/>
    <col width="4.88671875" customWidth="1" style="348" min="3856" max="3856"/>
    <col width="9.5546875" customWidth="1" style="348" min="3857" max="3857"/>
    <col width="20.109375" customWidth="1" style="348" min="3858" max="3858"/>
    <col width="11.109375" customWidth="1" style="348" min="3859" max="3859"/>
    <col width="12.44140625" customWidth="1" style="348" min="3860" max="3860"/>
    <col width="13.88671875" customWidth="1" style="348" min="3861" max="3861"/>
    <col width="7.6640625" customWidth="1" style="348" min="3862" max="3862"/>
    <col width="9" customWidth="1" style="348" min="3863" max="3863"/>
    <col width="11.5546875" customWidth="1" style="348" min="3864" max="3864"/>
    <col width="13.33203125" customWidth="1" style="348" min="3865" max="3865"/>
    <col width="29" customWidth="1" style="348" min="3866" max="3866"/>
    <col width="13.6640625" customWidth="1" style="348" min="3867" max="3867"/>
    <col width="9.109375" customWidth="1" style="348" min="3868" max="4104"/>
    <col width="4.109375" customWidth="1" style="348" min="4105" max="4105"/>
    <col width="13.6640625" customWidth="1" style="348" min="4106" max="4106"/>
    <col width="9.5546875" customWidth="1" style="348" min="4107" max="4107"/>
    <col width="15" customWidth="1" style="348" min="4108" max="4108"/>
    <col width="13.6640625" customWidth="1" style="348" min="4109" max="4109"/>
    <col width="14" customWidth="1" style="348" min="4110" max="4110"/>
    <col width="4.33203125" customWidth="1" style="348" min="4111" max="4111"/>
    <col width="4.88671875" customWidth="1" style="348" min="4112" max="4112"/>
    <col width="9.5546875" customWidth="1" style="348" min="4113" max="4113"/>
    <col width="20.109375" customWidth="1" style="348" min="4114" max="4114"/>
    <col width="11.109375" customWidth="1" style="348" min="4115" max="4115"/>
    <col width="12.44140625" customWidth="1" style="348" min="4116" max="4116"/>
    <col width="13.88671875" customWidth="1" style="348" min="4117" max="4117"/>
    <col width="7.6640625" customWidth="1" style="348" min="4118" max="4118"/>
    <col width="9" customWidth="1" style="348" min="4119" max="4119"/>
    <col width="11.5546875" customWidth="1" style="348" min="4120" max="4120"/>
    <col width="13.33203125" customWidth="1" style="348" min="4121" max="4121"/>
    <col width="29" customWidth="1" style="348" min="4122" max="4122"/>
    <col width="13.6640625" customWidth="1" style="348" min="4123" max="4123"/>
    <col width="9.109375" customWidth="1" style="348" min="4124" max="4360"/>
    <col width="4.109375" customWidth="1" style="348" min="4361" max="4361"/>
    <col width="13.6640625" customWidth="1" style="348" min="4362" max="4362"/>
    <col width="9.5546875" customWidth="1" style="348" min="4363" max="4363"/>
    <col width="15" customWidth="1" style="348" min="4364" max="4364"/>
    <col width="13.6640625" customWidth="1" style="348" min="4365" max="4365"/>
    <col width="14" customWidth="1" style="348" min="4366" max="4366"/>
    <col width="4.33203125" customWidth="1" style="348" min="4367" max="4367"/>
    <col width="4.88671875" customWidth="1" style="348" min="4368" max="4368"/>
    <col width="9.5546875" customWidth="1" style="348" min="4369" max="4369"/>
    <col width="20.109375" customWidth="1" style="348" min="4370" max="4370"/>
    <col width="11.109375" customWidth="1" style="348" min="4371" max="4371"/>
    <col width="12.44140625" customWidth="1" style="348" min="4372" max="4372"/>
    <col width="13.88671875" customWidth="1" style="348" min="4373" max="4373"/>
    <col width="7.6640625" customWidth="1" style="348" min="4374" max="4374"/>
    <col width="9" customWidth="1" style="348" min="4375" max="4375"/>
    <col width="11.5546875" customWidth="1" style="348" min="4376" max="4376"/>
    <col width="13.33203125" customWidth="1" style="348" min="4377" max="4377"/>
    <col width="29" customWidth="1" style="348" min="4378" max="4378"/>
    <col width="13.6640625" customWidth="1" style="348" min="4379" max="4379"/>
    <col width="9.109375" customWidth="1" style="348" min="4380" max="4616"/>
    <col width="4.109375" customWidth="1" style="348" min="4617" max="4617"/>
    <col width="13.6640625" customWidth="1" style="348" min="4618" max="4618"/>
    <col width="9.5546875" customWidth="1" style="348" min="4619" max="4619"/>
    <col width="15" customWidth="1" style="348" min="4620" max="4620"/>
    <col width="13.6640625" customWidth="1" style="348" min="4621" max="4621"/>
    <col width="14" customWidth="1" style="348" min="4622" max="4622"/>
    <col width="4.33203125" customWidth="1" style="348" min="4623" max="4623"/>
    <col width="4.88671875" customWidth="1" style="348" min="4624" max="4624"/>
    <col width="9.5546875" customWidth="1" style="348" min="4625" max="4625"/>
    <col width="20.109375" customWidth="1" style="348" min="4626" max="4626"/>
    <col width="11.109375" customWidth="1" style="348" min="4627" max="4627"/>
    <col width="12.44140625" customWidth="1" style="348" min="4628" max="4628"/>
    <col width="13.88671875" customWidth="1" style="348" min="4629" max="4629"/>
    <col width="7.6640625" customWidth="1" style="348" min="4630" max="4630"/>
    <col width="9" customWidth="1" style="348" min="4631" max="4631"/>
    <col width="11.5546875" customWidth="1" style="348" min="4632" max="4632"/>
    <col width="13.33203125" customWidth="1" style="348" min="4633" max="4633"/>
    <col width="29" customWidth="1" style="348" min="4634" max="4634"/>
    <col width="13.6640625" customWidth="1" style="348" min="4635" max="4635"/>
    <col width="9.109375" customWidth="1" style="348" min="4636" max="4872"/>
    <col width="4.109375" customWidth="1" style="348" min="4873" max="4873"/>
    <col width="13.6640625" customWidth="1" style="348" min="4874" max="4874"/>
    <col width="9.5546875" customWidth="1" style="348" min="4875" max="4875"/>
    <col width="15" customWidth="1" style="348" min="4876" max="4876"/>
    <col width="13.6640625" customWidth="1" style="348" min="4877" max="4877"/>
    <col width="14" customWidth="1" style="348" min="4878" max="4878"/>
    <col width="4.33203125" customWidth="1" style="348" min="4879" max="4879"/>
    <col width="4.88671875" customWidth="1" style="348" min="4880" max="4880"/>
    <col width="9.5546875" customWidth="1" style="348" min="4881" max="4881"/>
    <col width="20.109375" customWidth="1" style="348" min="4882" max="4882"/>
    <col width="11.109375" customWidth="1" style="348" min="4883" max="4883"/>
    <col width="12.44140625" customWidth="1" style="348" min="4884" max="4884"/>
    <col width="13.88671875" customWidth="1" style="348" min="4885" max="4885"/>
    <col width="7.6640625" customWidth="1" style="348" min="4886" max="4886"/>
    <col width="9" customWidth="1" style="348" min="4887" max="4887"/>
    <col width="11.5546875" customWidth="1" style="348" min="4888" max="4888"/>
    <col width="13.33203125" customWidth="1" style="348" min="4889" max="4889"/>
    <col width="29" customWidth="1" style="348" min="4890" max="4890"/>
    <col width="13.6640625" customWidth="1" style="348" min="4891" max="4891"/>
    <col width="9.109375" customWidth="1" style="348" min="4892" max="5128"/>
    <col width="4.109375" customWidth="1" style="348" min="5129" max="5129"/>
    <col width="13.6640625" customWidth="1" style="348" min="5130" max="5130"/>
    <col width="9.5546875" customWidth="1" style="348" min="5131" max="5131"/>
    <col width="15" customWidth="1" style="348" min="5132" max="5132"/>
    <col width="13.6640625" customWidth="1" style="348" min="5133" max="5133"/>
    <col width="14" customWidth="1" style="348" min="5134" max="5134"/>
    <col width="4.33203125" customWidth="1" style="348" min="5135" max="5135"/>
    <col width="4.88671875" customWidth="1" style="348" min="5136" max="5136"/>
    <col width="9.5546875" customWidth="1" style="348" min="5137" max="5137"/>
    <col width="20.109375" customWidth="1" style="348" min="5138" max="5138"/>
    <col width="11.109375" customWidth="1" style="348" min="5139" max="5139"/>
    <col width="12.44140625" customWidth="1" style="348" min="5140" max="5140"/>
    <col width="13.88671875" customWidth="1" style="348" min="5141" max="5141"/>
    <col width="7.6640625" customWidth="1" style="348" min="5142" max="5142"/>
    <col width="9" customWidth="1" style="348" min="5143" max="5143"/>
    <col width="11.5546875" customWidth="1" style="348" min="5144" max="5144"/>
    <col width="13.33203125" customWidth="1" style="348" min="5145" max="5145"/>
    <col width="29" customWidth="1" style="348" min="5146" max="5146"/>
    <col width="13.6640625" customWidth="1" style="348" min="5147" max="5147"/>
    <col width="9.109375" customWidth="1" style="348" min="5148" max="5384"/>
    <col width="4.109375" customWidth="1" style="348" min="5385" max="5385"/>
    <col width="13.6640625" customWidth="1" style="348" min="5386" max="5386"/>
    <col width="9.5546875" customWidth="1" style="348" min="5387" max="5387"/>
    <col width="15" customWidth="1" style="348" min="5388" max="5388"/>
    <col width="13.6640625" customWidth="1" style="348" min="5389" max="5389"/>
    <col width="14" customWidth="1" style="348" min="5390" max="5390"/>
    <col width="4.33203125" customWidth="1" style="348" min="5391" max="5391"/>
    <col width="4.88671875" customWidth="1" style="348" min="5392" max="5392"/>
    <col width="9.5546875" customWidth="1" style="348" min="5393" max="5393"/>
    <col width="20.109375" customWidth="1" style="348" min="5394" max="5394"/>
    <col width="11.109375" customWidth="1" style="348" min="5395" max="5395"/>
    <col width="12.44140625" customWidth="1" style="348" min="5396" max="5396"/>
    <col width="13.88671875" customWidth="1" style="348" min="5397" max="5397"/>
    <col width="7.6640625" customWidth="1" style="348" min="5398" max="5398"/>
    <col width="9" customWidth="1" style="348" min="5399" max="5399"/>
    <col width="11.5546875" customWidth="1" style="348" min="5400" max="5400"/>
    <col width="13.33203125" customWidth="1" style="348" min="5401" max="5401"/>
    <col width="29" customWidth="1" style="348" min="5402" max="5402"/>
    <col width="13.6640625" customWidth="1" style="348" min="5403" max="5403"/>
    <col width="9.109375" customWidth="1" style="348" min="5404" max="5640"/>
    <col width="4.109375" customWidth="1" style="348" min="5641" max="5641"/>
    <col width="13.6640625" customWidth="1" style="348" min="5642" max="5642"/>
    <col width="9.5546875" customWidth="1" style="348" min="5643" max="5643"/>
    <col width="15" customWidth="1" style="348" min="5644" max="5644"/>
    <col width="13.6640625" customWidth="1" style="348" min="5645" max="5645"/>
    <col width="14" customWidth="1" style="348" min="5646" max="5646"/>
    <col width="4.33203125" customWidth="1" style="348" min="5647" max="5647"/>
    <col width="4.88671875" customWidth="1" style="348" min="5648" max="5648"/>
    <col width="9.5546875" customWidth="1" style="348" min="5649" max="5649"/>
    <col width="20.109375" customWidth="1" style="348" min="5650" max="5650"/>
    <col width="11.109375" customWidth="1" style="348" min="5651" max="5651"/>
    <col width="12.44140625" customWidth="1" style="348" min="5652" max="5652"/>
    <col width="13.88671875" customWidth="1" style="348" min="5653" max="5653"/>
    <col width="7.6640625" customWidth="1" style="348" min="5654" max="5654"/>
    <col width="9" customWidth="1" style="348" min="5655" max="5655"/>
    <col width="11.5546875" customWidth="1" style="348" min="5656" max="5656"/>
    <col width="13.33203125" customWidth="1" style="348" min="5657" max="5657"/>
    <col width="29" customWidth="1" style="348" min="5658" max="5658"/>
    <col width="13.6640625" customWidth="1" style="348" min="5659" max="5659"/>
    <col width="9.109375" customWidth="1" style="348" min="5660" max="5896"/>
    <col width="4.109375" customWidth="1" style="348" min="5897" max="5897"/>
    <col width="13.6640625" customWidth="1" style="348" min="5898" max="5898"/>
    <col width="9.5546875" customWidth="1" style="348" min="5899" max="5899"/>
    <col width="15" customWidth="1" style="348" min="5900" max="5900"/>
    <col width="13.6640625" customWidth="1" style="348" min="5901" max="5901"/>
    <col width="14" customWidth="1" style="348" min="5902" max="5902"/>
    <col width="4.33203125" customWidth="1" style="348" min="5903" max="5903"/>
    <col width="4.88671875" customWidth="1" style="348" min="5904" max="5904"/>
    <col width="9.5546875" customWidth="1" style="348" min="5905" max="5905"/>
    <col width="20.109375" customWidth="1" style="348" min="5906" max="5906"/>
    <col width="11.109375" customWidth="1" style="348" min="5907" max="5907"/>
    <col width="12.44140625" customWidth="1" style="348" min="5908" max="5908"/>
    <col width="13.88671875" customWidth="1" style="348" min="5909" max="5909"/>
    <col width="7.6640625" customWidth="1" style="348" min="5910" max="5910"/>
    <col width="9" customWidth="1" style="348" min="5911" max="5911"/>
    <col width="11.5546875" customWidth="1" style="348" min="5912" max="5912"/>
    <col width="13.33203125" customWidth="1" style="348" min="5913" max="5913"/>
    <col width="29" customWidth="1" style="348" min="5914" max="5914"/>
    <col width="13.6640625" customWidth="1" style="348" min="5915" max="5915"/>
    <col width="9.109375" customWidth="1" style="348" min="5916" max="6152"/>
    <col width="4.109375" customWidth="1" style="348" min="6153" max="6153"/>
    <col width="13.6640625" customWidth="1" style="348" min="6154" max="6154"/>
    <col width="9.5546875" customWidth="1" style="348" min="6155" max="6155"/>
    <col width="15" customWidth="1" style="348" min="6156" max="6156"/>
    <col width="13.6640625" customWidth="1" style="348" min="6157" max="6157"/>
    <col width="14" customWidth="1" style="348" min="6158" max="6158"/>
    <col width="4.33203125" customWidth="1" style="348" min="6159" max="6159"/>
    <col width="4.88671875" customWidth="1" style="348" min="6160" max="6160"/>
    <col width="9.5546875" customWidth="1" style="348" min="6161" max="6161"/>
    <col width="20.109375" customWidth="1" style="348" min="6162" max="6162"/>
    <col width="11.109375" customWidth="1" style="348" min="6163" max="6163"/>
    <col width="12.44140625" customWidth="1" style="348" min="6164" max="6164"/>
    <col width="13.88671875" customWidth="1" style="348" min="6165" max="6165"/>
    <col width="7.6640625" customWidth="1" style="348" min="6166" max="6166"/>
    <col width="9" customWidth="1" style="348" min="6167" max="6167"/>
    <col width="11.5546875" customWidth="1" style="348" min="6168" max="6168"/>
    <col width="13.33203125" customWidth="1" style="348" min="6169" max="6169"/>
    <col width="29" customWidth="1" style="348" min="6170" max="6170"/>
    <col width="13.6640625" customWidth="1" style="348" min="6171" max="6171"/>
    <col width="9.109375" customWidth="1" style="348" min="6172" max="6408"/>
    <col width="4.109375" customWidth="1" style="348" min="6409" max="6409"/>
    <col width="13.6640625" customWidth="1" style="348" min="6410" max="6410"/>
    <col width="9.5546875" customWidth="1" style="348" min="6411" max="6411"/>
    <col width="15" customWidth="1" style="348" min="6412" max="6412"/>
    <col width="13.6640625" customWidth="1" style="348" min="6413" max="6413"/>
    <col width="14" customWidth="1" style="348" min="6414" max="6414"/>
    <col width="4.33203125" customWidth="1" style="348" min="6415" max="6415"/>
    <col width="4.88671875" customWidth="1" style="348" min="6416" max="6416"/>
    <col width="9.5546875" customWidth="1" style="348" min="6417" max="6417"/>
    <col width="20.109375" customWidth="1" style="348" min="6418" max="6418"/>
    <col width="11.109375" customWidth="1" style="348" min="6419" max="6419"/>
    <col width="12.44140625" customWidth="1" style="348" min="6420" max="6420"/>
    <col width="13.88671875" customWidth="1" style="348" min="6421" max="6421"/>
    <col width="7.6640625" customWidth="1" style="348" min="6422" max="6422"/>
    <col width="9" customWidth="1" style="348" min="6423" max="6423"/>
    <col width="11.5546875" customWidth="1" style="348" min="6424" max="6424"/>
    <col width="13.33203125" customWidth="1" style="348" min="6425" max="6425"/>
    <col width="29" customWidth="1" style="348" min="6426" max="6426"/>
    <col width="13.6640625" customWidth="1" style="348" min="6427" max="6427"/>
    <col width="9.109375" customWidth="1" style="348" min="6428" max="6664"/>
    <col width="4.109375" customWidth="1" style="348" min="6665" max="6665"/>
    <col width="13.6640625" customWidth="1" style="348" min="6666" max="6666"/>
    <col width="9.5546875" customWidth="1" style="348" min="6667" max="6667"/>
    <col width="15" customWidth="1" style="348" min="6668" max="6668"/>
    <col width="13.6640625" customWidth="1" style="348" min="6669" max="6669"/>
    <col width="14" customWidth="1" style="348" min="6670" max="6670"/>
    <col width="4.33203125" customWidth="1" style="348" min="6671" max="6671"/>
    <col width="4.88671875" customWidth="1" style="348" min="6672" max="6672"/>
    <col width="9.5546875" customWidth="1" style="348" min="6673" max="6673"/>
    <col width="20.109375" customWidth="1" style="348" min="6674" max="6674"/>
    <col width="11.109375" customWidth="1" style="348" min="6675" max="6675"/>
    <col width="12.44140625" customWidth="1" style="348" min="6676" max="6676"/>
    <col width="13.88671875" customWidth="1" style="348" min="6677" max="6677"/>
    <col width="7.6640625" customWidth="1" style="348" min="6678" max="6678"/>
    <col width="9" customWidth="1" style="348" min="6679" max="6679"/>
    <col width="11.5546875" customWidth="1" style="348" min="6680" max="6680"/>
    <col width="13.33203125" customWidth="1" style="348" min="6681" max="6681"/>
    <col width="29" customWidth="1" style="348" min="6682" max="6682"/>
    <col width="13.6640625" customWidth="1" style="348" min="6683" max="6683"/>
    <col width="9.109375" customWidth="1" style="348" min="6684" max="6920"/>
    <col width="4.109375" customWidth="1" style="348" min="6921" max="6921"/>
    <col width="13.6640625" customWidth="1" style="348" min="6922" max="6922"/>
    <col width="9.5546875" customWidth="1" style="348" min="6923" max="6923"/>
    <col width="15" customWidth="1" style="348" min="6924" max="6924"/>
    <col width="13.6640625" customWidth="1" style="348" min="6925" max="6925"/>
    <col width="14" customWidth="1" style="348" min="6926" max="6926"/>
    <col width="4.33203125" customWidth="1" style="348" min="6927" max="6927"/>
    <col width="4.88671875" customWidth="1" style="348" min="6928" max="6928"/>
    <col width="9.5546875" customWidth="1" style="348" min="6929" max="6929"/>
    <col width="20.109375" customWidth="1" style="348" min="6930" max="6930"/>
    <col width="11.109375" customWidth="1" style="348" min="6931" max="6931"/>
    <col width="12.44140625" customWidth="1" style="348" min="6932" max="6932"/>
    <col width="13.88671875" customWidth="1" style="348" min="6933" max="6933"/>
    <col width="7.6640625" customWidth="1" style="348" min="6934" max="6934"/>
    <col width="9" customWidth="1" style="348" min="6935" max="6935"/>
    <col width="11.5546875" customWidth="1" style="348" min="6936" max="6936"/>
    <col width="13.33203125" customWidth="1" style="348" min="6937" max="6937"/>
    <col width="29" customWidth="1" style="348" min="6938" max="6938"/>
    <col width="13.6640625" customWidth="1" style="348" min="6939" max="6939"/>
    <col width="9.109375" customWidth="1" style="348" min="6940" max="7176"/>
    <col width="4.109375" customWidth="1" style="348" min="7177" max="7177"/>
    <col width="13.6640625" customWidth="1" style="348" min="7178" max="7178"/>
    <col width="9.5546875" customWidth="1" style="348" min="7179" max="7179"/>
    <col width="15" customWidth="1" style="348" min="7180" max="7180"/>
    <col width="13.6640625" customWidth="1" style="348" min="7181" max="7181"/>
    <col width="14" customWidth="1" style="348" min="7182" max="7182"/>
    <col width="4.33203125" customWidth="1" style="348" min="7183" max="7183"/>
    <col width="4.88671875" customWidth="1" style="348" min="7184" max="7184"/>
    <col width="9.5546875" customWidth="1" style="348" min="7185" max="7185"/>
    <col width="20.109375" customWidth="1" style="348" min="7186" max="7186"/>
    <col width="11.109375" customWidth="1" style="348" min="7187" max="7187"/>
    <col width="12.44140625" customWidth="1" style="348" min="7188" max="7188"/>
    <col width="13.88671875" customWidth="1" style="348" min="7189" max="7189"/>
    <col width="7.6640625" customWidth="1" style="348" min="7190" max="7190"/>
    <col width="9" customWidth="1" style="348" min="7191" max="7191"/>
    <col width="11.5546875" customWidth="1" style="348" min="7192" max="7192"/>
    <col width="13.33203125" customWidth="1" style="348" min="7193" max="7193"/>
    <col width="29" customWidth="1" style="348" min="7194" max="7194"/>
    <col width="13.6640625" customWidth="1" style="348" min="7195" max="7195"/>
    <col width="9.109375" customWidth="1" style="348" min="7196" max="7432"/>
    <col width="4.109375" customWidth="1" style="348" min="7433" max="7433"/>
    <col width="13.6640625" customWidth="1" style="348" min="7434" max="7434"/>
    <col width="9.5546875" customWidth="1" style="348" min="7435" max="7435"/>
    <col width="15" customWidth="1" style="348" min="7436" max="7436"/>
    <col width="13.6640625" customWidth="1" style="348" min="7437" max="7437"/>
    <col width="14" customWidth="1" style="348" min="7438" max="7438"/>
    <col width="4.33203125" customWidth="1" style="348" min="7439" max="7439"/>
    <col width="4.88671875" customWidth="1" style="348" min="7440" max="7440"/>
    <col width="9.5546875" customWidth="1" style="348" min="7441" max="7441"/>
    <col width="20.109375" customWidth="1" style="348" min="7442" max="7442"/>
    <col width="11.109375" customWidth="1" style="348" min="7443" max="7443"/>
    <col width="12.44140625" customWidth="1" style="348" min="7444" max="7444"/>
    <col width="13.88671875" customWidth="1" style="348" min="7445" max="7445"/>
    <col width="7.6640625" customWidth="1" style="348" min="7446" max="7446"/>
    <col width="9" customWidth="1" style="348" min="7447" max="7447"/>
    <col width="11.5546875" customWidth="1" style="348" min="7448" max="7448"/>
    <col width="13.33203125" customWidth="1" style="348" min="7449" max="7449"/>
    <col width="29" customWidth="1" style="348" min="7450" max="7450"/>
    <col width="13.6640625" customWidth="1" style="348" min="7451" max="7451"/>
    <col width="9.109375" customWidth="1" style="348" min="7452" max="7688"/>
    <col width="4.109375" customWidth="1" style="348" min="7689" max="7689"/>
    <col width="13.6640625" customWidth="1" style="348" min="7690" max="7690"/>
    <col width="9.5546875" customWidth="1" style="348" min="7691" max="7691"/>
    <col width="15" customWidth="1" style="348" min="7692" max="7692"/>
    <col width="13.6640625" customWidth="1" style="348" min="7693" max="7693"/>
    <col width="14" customWidth="1" style="348" min="7694" max="7694"/>
    <col width="4.33203125" customWidth="1" style="348" min="7695" max="7695"/>
    <col width="4.88671875" customWidth="1" style="348" min="7696" max="7696"/>
    <col width="9.5546875" customWidth="1" style="348" min="7697" max="7697"/>
    <col width="20.109375" customWidth="1" style="348" min="7698" max="7698"/>
    <col width="11.109375" customWidth="1" style="348" min="7699" max="7699"/>
    <col width="12.44140625" customWidth="1" style="348" min="7700" max="7700"/>
    <col width="13.88671875" customWidth="1" style="348" min="7701" max="7701"/>
    <col width="7.6640625" customWidth="1" style="348" min="7702" max="7702"/>
    <col width="9" customWidth="1" style="348" min="7703" max="7703"/>
    <col width="11.5546875" customWidth="1" style="348" min="7704" max="7704"/>
    <col width="13.33203125" customWidth="1" style="348" min="7705" max="7705"/>
    <col width="29" customWidth="1" style="348" min="7706" max="7706"/>
    <col width="13.6640625" customWidth="1" style="348" min="7707" max="7707"/>
    <col width="9.109375" customWidth="1" style="348" min="7708" max="7944"/>
    <col width="4.109375" customWidth="1" style="348" min="7945" max="7945"/>
    <col width="13.6640625" customWidth="1" style="348" min="7946" max="7946"/>
    <col width="9.5546875" customWidth="1" style="348" min="7947" max="7947"/>
    <col width="15" customWidth="1" style="348" min="7948" max="7948"/>
    <col width="13.6640625" customWidth="1" style="348" min="7949" max="7949"/>
    <col width="14" customWidth="1" style="348" min="7950" max="7950"/>
    <col width="4.33203125" customWidth="1" style="348" min="7951" max="7951"/>
    <col width="4.88671875" customWidth="1" style="348" min="7952" max="7952"/>
    <col width="9.5546875" customWidth="1" style="348" min="7953" max="7953"/>
    <col width="20.109375" customWidth="1" style="348" min="7954" max="7954"/>
    <col width="11.109375" customWidth="1" style="348" min="7955" max="7955"/>
    <col width="12.44140625" customWidth="1" style="348" min="7956" max="7956"/>
    <col width="13.88671875" customWidth="1" style="348" min="7957" max="7957"/>
    <col width="7.6640625" customWidth="1" style="348" min="7958" max="7958"/>
    <col width="9" customWidth="1" style="348" min="7959" max="7959"/>
    <col width="11.5546875" customWidth="1" style="348" min="7960" max="7960"/>
    <col width="13.33203125" customWidth="1" style="348" min="7961" max="7961"/>
    <col width="29" customWidth="1" style="348" min="7962" max="7962"/>
    <col width="13.6640625" customWidth="1" style="348" min="7963" max="7963"/>
    <col width="9.109375" customWidth="1" style="348" min="7964" max="8200"/>
    <col width="4.109375" customWidth="1" style="348" min="8201" max="8201"/>
    <col width="13.6640625" customWidth="1" style="348" min="8202" max="8202"/>
    <col width="9.5546875" customWidth="1" style="348" min="8203" max="8203"/>
    <col width="15" customWidth="1" style="348" min="8204" max="8204"/>
    <col width="13.6640625" customWidth="1" style="348" min="8205" max="8205"/>
    <col width="14" customWidth="1" style="348" min="8206" max="8206"/>
    <col width="4.33203125" customWidth="1" style="348" min="8207" max="8207"/>
    <col width="4.88671875" customWidth="1" style="348" min="8208" max="8208"/>
    <col width="9.5546875" customWidth="1" style="348" min="8209" max="8209"/>
    <col width="20.109375" customWidth="1" style="348" min="8210" max="8210"/>
    <col width="11.109375" customWidth="1" style="348" min="8211" max="8211"/>
    <col width="12.44140625" customWidth="1" style="348" min="8212" max="8212"/>
    <col width="13.88671875" customWidth="1" style="348" min="8213" max="8213"/>
    <col width="7.6640625" customWidth="1" style="348" min="8214" max="8214"/>
    <col width="9" customWidth="1" style="348" min="8215" max="8215"/>
    <col width="11.5546875" customWidth="1" style="348" min="8216" max="8216"/>
    <col width="13.33203125" customWidth="1" style="348" min="8217" max="8217"/>
    <col width="29" customWidth="1" style="348" min="8218" max="8218"/>
    <col width="13.6640625" customWidth="1" style="348" min="8219" max="8219"/>
    <col width="9.109375" customWidth="1" style="348" min="8220" max="8456"/>
    <col width="4.109375" customWidth="1" style="348" min="8457" max="8457"/>
    <col width="13.6640625" customWidth="1" style="348" min="8458" max="8458"/>
    <col width="9.5546875" customWidth="1" style="348" min="8459" max="8459"/>
    <col width="15" customWidth="1" style="348" min="8460" max="8460"/>
    <col width="13.6640625" customWidth="1" style="348" min="8461" max="8461"/>
    <col width="14" customWidth="1" style="348" min="8462" max="8462"/>
    <col width="4.33203125" customWidth="1" style="348" min="8463" max="8463"/>
    <col width="4.88671875" customWidth="1" style="348" min="8464" max="8464"/>
    <col width="9.5546875" customWidth="1" style="348" min="8465" max="8465"/>
    <col width="20.109375" customWidth="1" style="348" min="8466" max="8466"/>
    <col width="11.109375" customWidth="1" style="348" min="8467" max="8467"/>
    <col width="12.44140625" customWidth="1" style="348" min="8468" max="8468"/>
    <col width="13.88671875" customWidth="1" style="348" min="8469" max="8469"/>
    <col width="7.6640625" customWidth="1" style="348" min="8470" max="8470"/>
    <col width="9" customWidth="1" style="348" min="8471" max="8471"/>
    <col width="11.5546875" customWidth="1" style="348" min="8472" max="8472"/>
    <col width="13.33203125" customWidth="1" style="348" min="8473" max="8473"/>
    <col width="29" customWidth="1" style="348" min="8474" max="8474"/>
    <col width="13.6640625" customWidth="1" style="348" min="8475" max="8475"/>
    <col width="9.109375" customWidth="1" style="348" min="8476" max="8712"/>
    <col width="4.109375" customWidth="1" style="348" min="8713" max="8713"/>
    <col width="13.6640625" customWidth="1" style="348" min="8714" max="8714"/>
    <col width="9.5546875" customWidth="1" style="348" min="8715" max="8715"/>
    <col width="15" customWidth="1" style="348" min="8716" max="8716"/>
    <col width="13.6640625" customWidth="1" style="348" min="8717" max="8717"/>
    <col width="14" customWidth="1" style="348" min="8718" max="8718"/>
    <col width="4.33203125" customWidth="1" style="348" min="8719" max="8719"/>
    <col width="4.88671875" customWidth="1" style="348" min="8720" max="8720"/>
    <col width="9.5546875" customWidth="1" style="348" min="8721" max="8721"/>
    <col width="20.109375" customWidth="1" style="348" min="8722" max="8722"/>
    <col width="11.109375" customWidth="1" style="348" min="8723" max="8723"/>
    <col width="12.44140625" customWidth="1" style="348" min="8724" max="8724"/>
    <col width="13.88671875" customWidth="1" style="348" min="8725" max="8725"/>
    <col width="7.6640625" customWidth="1" style="348" min="8726" max="8726"/>
    <col width="9" customWidth="1" style="348" min="8727" max="8727"/>
    <col width="11.5546875" customWidth="1" style="348" min="8728" max="8728"/>
    <col width="13.33203125" customWidth="1" style="348" min="8729" max="8729"/>
    <col width="29" customWidth="1" style="348" min="8730" max="8730"/>
    <col width="13.6640625" customWidth="1" style="348" min="8731" max="8731"/>
    <col width="9.109375" customWidth="1" style="348" min="8732" max="8968"/>
    <col width="4.109375" customWidth="1" style="348" min="8969" max="8969"/>
    <col width="13.6640625" customWidth="1" style="348" min="8970" max="8970"/>
    <col width="9.5546875" customWidth="1" style="348" min="8971" max="8971"/>
    <col width="15" customWidth="1" style="348" min="8972" max="8972"/>
    <col width="13.6640625" customWidth="1" style="348" min="8973" max="8973"/>
    <col width="14" customWidth="1" style="348" min="8974" max="8974"/>
    <col width="4.33203125" customWidth="1" style="348" min="8975" max="8975"/>
    <col width="4.88671875" customWidth="1" style="348" min="8976" max="8976"/>
    <col width="9.5546875" customWidth="1" style="348" min="8977" max="8977"/>
    <col width="20.109375" customWidth="1" style="348" min="8978" max="8978"/>
    <col width="11.109375" customWidth="1" style="348" min="8979" max="8979"/>
    <col width="12.44140625" customWidth="1" style="348" min="8980" max="8980"/>
    <col width="13.88671875" customWidth="1" style="348" min="8981" max="8981"/>
    <col width="7.6640625" customWidth="1" style="348" min="8982" max="8982"/>
    <col width="9" customWidth="1" style="348" min="8983" max="8983"/>
    <col width="11.5546875" customWidth="1" style="348" min="8984" max="8984"/>
    <col width="13.33203125" customWidth="1" style="348" min="8985" max="8985"/>
    <col width="29" customWidth="1" style="348" min="8986" max="8986"/>
    <col width="13.6640625" customWidth="1" style="348" min="8987" max="8987"/>
    <col width="9.109375" customWidth="1" style="348" min="8988" max="9224"/>
    <col width="4.109375" customWidth="1" style="348" min="9225" max="9225"/>
    <col width="13.6640625" customWidth="1" style="348" min="9226" max="9226"/>
    <col width="9.5546875" customWidth="1" style="348" min="9227" max="9227"/>
    <col width="15" customWidth="1" style="348" min="9228" max="9228"/>
    <col width="13.6640625" customWidth="1" style="348" min="9229" max="9229"/>
    <col width="14" customWidth="1" style="348" min="9230" max="9230"/>
    <col width="4.33203125" customWidth="1" style="348" min="9231" max="9231"/>
    <col width="4.88671875" customWidth="1" style="348" min="9232" max="9232"/>
    <col width="9.5546875" customWidth="1" style="348" min="9233" max="9233"/>
    <col width="20.109375" customWidth="1" style="348" min="9234" max="9234"/>
    <col width="11.109375" customWidth="1" style="348" min="9235" max="9235"/>
    <col width="12.44140625" customWidth="1" style="348" min="9236" max="9236"/>
    <col width="13.88671875" customWidth="1" style="348" min="9237" max="9237"/>
    <col width="7.6640625" customWidth="1" style="348" min="9238" max="9238"/>
    <col width="9" customWidth="1" style="348" min="9239" max="9239"/>
    <col width="11.5546875" customWidth="1" style="348" min="9240" max="9240"/>
    <col width="13.33203125" customWidth="1" style="348" min="9241" max="9241"/>
    <col width="29" customWidth="1" style="348" min="9242" max="9242"/>
    <col width="13.6640625" customWidth="1" style="348" min="9243" max="9243"/>
    <col width="9.109375" customWidth="1" style="348" min="9244" max="9480"/>
    <col width="4.109375" customWidth="1" style="348" min="9481" max="9481"/>
    <col width="13.6640625" customWidth="1" style="348" min="9482" max="9482"/>
    <col width="9.5546875" customWidth="1" style="348" min="9483" max="9483"/>
    <col width="15" customWidth="1" style="348" min="9484" max="9484"/>
    <col width="13.6640625" customWidth="1" style="348" min="9485" max="9485"/>
    <col width="14" customWidth="1" style="348" min="9486" max="9486"/>
    <col width="4.33203125" customWidth="1" style="348" min="9487" max="9487"/>
    <col width="4.88671875" customWidth="1" style="348" min="9488" max="9488"/>
    <col width="9.5546875" customWidth="1" style="348" min="9489" max="9489"/>
    <col width="20.109375" customWidth="1" style="348" min="9490" max="9490"/>
    <col width="11.109375" customWidth="1" style="348" min="9491" max="9491"/>
    <col width="12.44140625" customWidth="1" style="348" min="9492" max="9492"/>
    <col width="13.88671875" customWidth="1" style="348" min="9493" max="9493"/>
    <col width="7.6640625" customWidth="1" style="348" min="9494" max="9494"/>
    <col width="9" customWidth="1" style="348" min="9495" max="9495"/>
    <col width="11.5546875" customWidth="1" style="348" min="9496" max="9496"/>
    <col width="13.33203125" customWidth="1" style="348" min="9497" max="9497"/>
    <col width="29" customWidth="1" style="348" min="9498" max="9498"/>
    <col width="13.6640625" customWidth="1" style="348" min="9499" max="9499"/>
    <col width="9.109375" customWidth="1" style="348" min="9500" max="9736"/>
    <col width="4.109375" customWidth="1" style="348" min="9737" max="9737"/>
    <col width="13.6640625" customWidth="1" style="348" min="9738" max="9738"/>
    <col width="9.5546875" customWidth="1" style="348" min="9739" max="9739"/>
    <col width="15" customWidth="1" style="348" min="9740" max="9740"/>
    <col width="13.6640625" customWidth="1" style="348" min="9741" max="9741"/>
    <col width="14" customWidth="1" style="348" min="9742" max="9742"/>
    <col width="4.33203125" customWidth="1" style="348" min="9743" max="9743"/>
    <col width="4.88671875" customWidth="1" style="348" min="9744" max="9744"/>
    <col width="9.5546875" customWidth="1" style="348" min="9745" max="9745"/>
    <col width="20.109375" customWidth="1" style="348" min="9746" max="9746"/>
    <col width="11.109375" customWidth="1" style="348" min="9747" max="9747"/>
    <col width="12.44140625" customWidth="1" style="348" min="9748" max="9748"/>
    <col width="13.88671875" customWidth="1" style="348" min="9749" max="9749"/>
    <col width="7.6640625" customWidth="1" style="348" min="9750" max="9750"/>
    <col width="9" customWidth="1" style="348" min="9751" max="9751"/>
    <col width="11.5546875" customWidth="1" style="348" min="9752" max="9752"/>
    <col width="13.33203125" customWidth="1" style="348" min="9753" max="9753"/>
    <col width="29" customWidth="1" style="348" min="9754" max="9754"/>
    <col width="13.6640625" customWidth="1" style="348" min="9755" max="9755"/>
    <col width="9.109375" customWidth="1" style="348" min="9756" max="9992"/>
    <col width="4.109375" customWidth="1" style="348" min="9993" max="9993"/>
    <col width="13.6640625" customWidth="1" style="348" min="9994" max="9994"/>
    <col width="9.5546875" customWidth="1" style="348" min="9995" max="9995"/>
    <col width="15" customWidth="1" style="348" min="9996" max="9996"/>
    <col width="13.6640625" customWidth="1" style="348" min="9997" max="9997"/>
    <col width="14" customWidth="1" style="348" min="9998" max="9998"/>
    <col width="4.33203125" customWidth="1" style="348" min="9999" max="9999"/>
    <col width="4.88671875" customWidth="1" style="348" min="10000" max="10000"/>
    <col width="9.5546875" customWidth="1" style="348" min="10001" max="10001"/>
    <col width="20.109375" customWidth="1" style="348" min="10002" max="10002"/>
    <col width="11.109375" customWidth="1" style="348" min="10003" max="10003"/>
    <col width="12.44140625" customWidth="1" style="348" min="10004" max="10004"/>
    <col width="13.88671875" customWidth="1" style="348" min="10005" max="10005"/>
    <col width="7.6640625" customWidth="1" style="348" min="10006" max="10006"/>
    <col width="9" customWidth="1" style="348" min="10007" max="10007"/>
    <col width="11.5546875" customWidth="1" style="348" min="10008" max="10008"/>
    <col width="13.33203125" customWidth="1" style="348" min="10009" max="10009"/>
    <col width="29" customWidth="1" style="348" min="10010" max="10010"/>
    <col width="13.6640625" customWidth="1" style="348" min="10011" max="10011"/>
    <col width="9.109375" customWidth="1" style="348" min="10012" max="10248"/>
    <col width="4.109375" customWidth="1" style="348" min="10249" max="10249"/>
    <col width="13.6640625" customWidth="1" style="348" min="10250" max="10250"/>
    <col width="9.5546875" customWidth="1" style="348" min="10251" max="10251"/>
    <col width="15" customWidth="1" style="348" min="10252" max="10252"/>
    <col width="13.6640625" customWidth="1" style="348" min="10253" max="10253"/>
    <col width="14" customWidth="1" style="348" min="10254" max="10254"/>
    <col width="4.33203125" customWidth="1" style="348" min="10255" max="10255"/>
    <col width="4.88671875" customWidth="1" style="348" min="10256" max="10256"/>
    <col width="9.5546875" customWidth="1" style="348" min="10257" max="10257"/>
    <col width="20.109375" customWidth="1" style="348" min="10258" max="10258"/>
    <col width="11.109375" customWidth="1" style="348" min="10259" max="10259"/>
    <col width="12.44140625" customWidth="1" style="348" min="10260" max="10260"/>
    <col width="13.88671875" customWidth="1" style="348" min="10261" max="10261"/>
    <col width="7.6640625" customWidth="1" style="348" min="10262" max="10262"/>
    <col width="9" customWidth="1" style="348" min="10263" max="10263"/>
    <col width="11.5546875" customWidth="1" style="348" min="10264" max="10264"/>
    <col width="13.33203125" customWidth="1" style="348" min="10265" max="10265"/>
    <col width="29" customWidth="1" style="348" min="10266" max="10266"/>
    <col width="13.6640625" customWidth="1" style="348" min="10267" max="10267"/>
    <col width="9.109375" customWidth="1" style="348" min="10268" max="10504"/>
    <col width="4.109375" customWidth="1" style="348" min="10505" max="10505"/>
    <col width="13.6640625" customWidth="1" style="348" min="10506" max="10506"/>
    <col width="9.5546875" customWidth="1" style="348" min="10507" max="10507"/>
    <col width="15" customWidth="1" style="348" min="10508" max="10508"/>
    <col width="13.6640625" customWidth="1" style="348" min="10509" max="10509"/>
    <col width="14" customWidth="1" style="348" min="10510" max="10510"/>
    <col width="4.33203125" customWidth="1" style="348" min="10511" max="10511"/>
    <col width="4.88671875" customWidth="1" style="348" min="10512" max="10512"/>
    <col width="9.5546875" customWidth="1" style="348" min="10513" max="10513"/>
    <col width="20.109375" customWidth="1" style="348" min="10514" max="10514"/>
    <col width="11.109375" customWidth="1" style="348" min="10515" max="10515"/>
    <col width="12.44140625" customWidth="1" style="348" min="10516" max="10516"/>
    <col width="13.88671875" customWidth="1" style="348" min="10517" max="10517"/>
    <col width="7.6640625" customWidth="1" style="348" min="10518" max="10518"/>
    <col width="9" customWidth="1" style="348" min="10519" max="10519"/>
    <col width="11.5546875" customWidth="1" style="348" min="10520" max="10520"/>
    <col width="13.33203125" customWidth="1" style="348" min="10521" max="10521"/>
    <col width="29" customWidth="1" style="348" min="10522" max="10522"/>
    <col width="13.6640625" customWidth="1" style="348" min="10523" max="10523"/>
    <col width="9.109375" customWidth="1" style="348" min="10524" max="10760"/>
    <col width="4.109375" customWidth="1" style="348" min="10761" max="10761"/>
    <col width="13.6640625" customWidth="1" style="348" min="10762" max="10762"/>
    <col width="9.5546875" customWidth="1" style="348" min="10763" max="10763"/>
    <col width="15" customWidth="1" style="348" min="10764" max="10764"/>
    <col width="13.6640625" customWidth="1" style="348" min="10765" max="10765"/>
    <col width="14" customWidth="1" style="348" min="10766" max="10766"/>
    <col width="4.33203125" customWidth="1" style="348" min="10767" max="10767"/>
    <col width="4.88671875" customWidth="1" style="348" min="10768" max="10768"/>
    <col width="9.5546875" customWidth="1" style="348" min="10769" max="10769"/>
    <col width="20.109375" customWidth="1" style="348" min="10770" max="10770"/>
    <col width="11.109375" customWidth="1" style="348" min="10771" max="10771"/>
    <col width="12.44140625" customWidth="1" style="348" min="10772" max="10772"/>
    <col width="13.88671875" customWidth="1" style="348" min="10773" max="10773"/>
    <col width="7.6640625" customWidth="1" style="348" min="10774" max="10774"/>
    <col width="9" customWidth="1" style="348" min="10775" max="10775"/>
    <col width="11.5546875" customWidth="1" style="348" min="10776" max="10776"/>
    <col width="13.33203125" customWidth="1" style="348" min="10777" max="10777"/>
    <col width="29" customWidth="1" style="348" min="10778" max="10778"/>
    <col width="13.6640625" customWidth="1" style="348" min="10779" max="10779"/>
    <col width="9.109375" customWidth="1" style="348" min="10780" max="11016"/>
    <col width="4.109375" customWidth="1" style="348" min="11017" max="11017"/>
    <col width="13.6640625" customWidth="1" style="348" min="11018" max="11018"/>
    <col width="9.5546875" customWidth="1" style="348" min="11019" max="11019"/>
    <col width="15" customWidth="1" style="348" min="11020" max="11020"/>
    <col width="13.6640625" customWidth="1" style="348" min="11021" max="11021"/>
    <col width="14" customWidth="1" style="348" min="11022" max="11022"/>
    <col width="4.33203125" customWidth="1" style="348" min="11023" max="11023"/>
    <col width="4.88671875" customWidth="1" style="348" min="11024" max="11024"/>
    <col width="9.5546875" customWidth="1" style="348" min="11025" max="11025"/>
    <col width="20.109375" customWidth="1" style="348" min="11026" max="11026"/>
    <col width="11.109375" customWidth="1" style="348" min="11027" max="11027"/>
    <col width="12.44140625" customWidth="1" style="348" min="11028" max="11028"/>
    <col width="13.88671875" customWidth="1" style="348" min="11029" max="11029"/>
    <col width="7.6640625" customWidth="1" style="348" min="11030" max="11030"/>
    <col width="9" customWidth="1" style="348" min="11031" max="11031"/>
    <col width="11.5546875" customWidth="1" style="348" min="11032" max="11032"/>
    <col width="13.33203125" customWidth="1" style="348" min="11033" max="11033"/>
    <col width="29" customWidth="1" style="348" min="11034" max="11034"/>
    <col width="13.6640625" customWidth="1" style="348" min="11035" max="11035"/>
    <col width="9.109375" customWidth="1" style="348" min="11036" max="11272"/>
    <col width="4.109375" customWidth="1" style="348" min="11273" max="11273"/>
    <col width="13.6640625" customWidth="1" style="348" min="11274" max="11274"/>
    <col width="9.5546875" customWidth="1" style="348" min="11275" max="11275"/>
    <col width="15" customWidth="1" style="348" min="11276" max="11276"/>
    <col width="13.6640625" customWidth="1" style="348" min="11277" max="11277"/>
    <col width="14" customWidth="1" style="348" min="11278" max="11278"/>
    <col width="4.33203125" customWidth="1" style="348" min="11279" max="11279"/>
    <col width="4.88671875" customWidth="1" style="348" min="11280" max="11280"/>
    <col width="9.5546875" customWidth="1" style="348" min="11281" max="11281"/>
    <col width="20.109375" customWidth="1" style="348" min="11282" max="11282"/>
    <col width="11.109375" customWidth="1" style="348" min="11283" max="11283"/>
    <col width="12.44140625" customWidth="1" style="348" min="11284" max="11284"/>
    <col width="13.88671875" customWidth="1" style="348" min="11285" max="11285"/>
    <col width="7.6640625" customWidth="1" style="348" min="11286" max="11286"/>
    <col width="9" customWidth="1" style="348" min="11287" max="11287"/>
    <col width="11.5546875" customWidth="1" style="348" min="11288" max="11288"/>
    <col width="13.33203125" customWidth="1" style="348" min="11289" max="11289"/>
    <col width="29" customWidth="1" style="348" min="11290" max="11290"/>
    <col width="13.6640625" customWidth="1" style="348" min="11291" max="11291"/>
    <col width="9.109375" customWidth="1" style="348" min="11292" max="11528"/>
    <col width="4.109375" customWidth="1" style="348" min="11529" max="11529"/>
    <col width="13.6640625" customWidth="1" style="348" min="11530" max="11530"/>
    <col width="9.5546875" customWidth="1" style="348" min="11531" max="11531"/>
    <col width="15" customWidth="1" style="348" min="11532" max="11532"/>
    <col width="13.6640625" customWidth="1" style="348" min="11533" max="11533"/>
    <col width="14" customWidth="1" style="348" min="11534" max="11534"/>
    <col width="4.33203125" customWidth="1" style="348" min="11535" max="11535"/>
    <col width="4.88671875" customWidth="1" style="348" min="11536" max="11536"/>
    <col width="9.5546875" customWidth="1" style="348" min="11537" max="11537"/>
    <col width="20.109375" customWidth="1" style="348" min="11538" max="11538"/>
    <col width="11.109375" customWidth="1" style="348" min="11539" max="11539"/>
    <col width="12.44140625" customWidth="1" style="348" min="11540" max="11540"/>
    <col width="13.88671875" customWidth="1" style="348" min="11541" max="11541"/>
    <col width="7.6640625" customWidth="1" style="348" min="11542" max="11542"/>
    <col width="9" customWidth="1" style="348" min="11543" max="11543"/>
    <col width="11.5546875" customWidth="1" style="348" min="11544" max="11544"/>
    <col width="13.33203125" customWidth="1" style="348" min="11545" max="11545"/>
    <col width="29" customWidth="1" style="348" min="11546" max="11546"/>
    <col width="13.6640625" customWidth="1" style="348" min="11547" max="11547"/>
    <col width="9.109375" customWidth="1" style="348" min="11548" max="11784"/>
    <col width="4.109375" customWidth="1" style="348" min="11785" max="11785"/>
    <col width="13.6640625" customWidth="1" style="348" min="11786" max="11786"/>
    <col width="9.5546875" customWidth="1" style="348" min="11787" max="11787"/>
    <col width="15" customWidth="1" style="348" min="11788" max="11788"/>
    <col width="13.6640625" customWidth="1" style="348" min="11789" max="11789"/>
    <col width="14" customWidth="1" style="348" min="11790" max="11790"/>
    <col width="4.33203125" customWidth="1" style="348" min="11791" max="11791"/>
    <col width="4.88671875" customWidth="1" style="348" min="11792" max="11792"/>
    <col width="9.5546875" customWidth="1" style="348" min="11793" max="11793"/>
    <col width="20.109375" customWidth="1" style="348" min="11794" max="11794"/>
    <col width="11.109375" customWidth="1" style="348" min="11795" max="11795"/>
    <col width="12.44140625" customWidth="1" style="348" min="11796" max="11796"/>
    <col width="13.88671875" customWidth="1" style="348" min="11797" max="11797"/>
    <col width="7.6640625" customWidth="1" style="348" min="11798" max="11798"/>
    <col width="9" customWidth="1" style="348" min="11799" max="11799"/>
    <col width="11.5546875" customWidth="1" style="348" min="11800" max="11800"/>
    <col width="13.33203125" customWidth="1" style="348" min="11801" max="11801"/>
    <col width="29" customWidth="1" style="348" min="11802" max="11802"/>
    <col width="13.6640625" customWidth="1" style="348" min="11803" max="11803"/>
    <col width="9.109375" customWidth="1" style="348" min="11804" max="12040"/>
    <col width="4.109375" customWidth="1" style="348" min="12041" max="12041"/>
    <col width="13.6640625" customWidth="1" style="348" min="12042" max="12042"/>
    <col width="9.5546875" customWidth="1" style="348" min="12043" max="12043"/>
    <col width="15" customWidth="1" style="348" min="12044" max="12044"/>
    <col width="13.6640625" customWidth="1" style="348" min="12045" max="12045"/>
    <col width="14" customWidth="1" style="348" min="12046" max="12046"/>
    <col width="4.33203125" customWidth="1" style="348" min="12047" max="12047"/>
    <col width="4.88671875" customWidth="1" style="348" min="12048" max="12048"/>
    <col width="9.5546875" customWidth="1" style="348" min="12049" max="12049"/>
    <col width="20.109375" customWidth="1" style="348" min="12050" max="12050"/>
    <col width="11.109375" customWidth="1" style="348" min="12051" max="12051"/>
    <col width="12.44140625" customWidth="1" style="348" min="12052" max="12052"/>
    <col width="13.88671875" customWidth="1" style="348" min="12053" max="12053"/>
    <col width="7.6640625" customWidth="1" style="348" min="12054" max="12054"/>
    <col width="9" customWidth="1" style="348" min="12055" max="12055"/>
    <col width="11.5546875" customWidth="1" style="348" min="12056" max="12056"/>
    <col width="13.33203125" customWidth="1" style="348" min="12057" max="12057"/>
    <col width="29" customWidth="1" style="348" min="12058" max="12058"/>
    <col width="13.6640625" customWidth="1" style="348" min="12059" max="12059"/>
    <col width="9.109375" customWidth="1" style="348" min="12060" max="12296"/>
    <col width="4.109375" customWidth="1" style="348" min="12297" max="12297"/>
    <col width="13.6640625" customWidth="1" style="348" min="12298" max="12298"/>
    <col width="9.5546875" customWidth="1" style="348" min="12299" max="12299"/>
    <col width="15" customWidth="1" style="348" min="12300" max="12300"/>
    <col width="13.6640625" customWidth="1" style="348" min="12301" max="12301"/>
    <col width="14" customWidth="1" style="348" min="12302" max="12302"/>
    <col width="4.33203125" customWidth="1" style="348" min="12303" max="12303"/>
    <col width="4.88671875" customWidth="1" style="348" min="12304" max="12304"/>
    <col width="9.5546875" customWidth="1" style="348" min="12305" max="12305"/>
    <col width="20.109375" customWidth="1" style="348" min="12306" max="12306"/>
    <col width="11.109375" customWidth="1" style="348" min="12307" max="12307"/>
    <col width="12.44140625" customWidth="1" style="348" min="12308" max="12308"/>
    <col width="13.88671875" customWidth="1" style="348" min="12309" max="12309"/>
    <col width="7.6640625" customWidth="1" style="348" min="12310" max="12310"/>
    <col width="9" customWidth="1" style="348" min="12311" max="12311"/>
    <col width="11.5546875" customWidth="1" style="348" min="12312" max="12312"/>
    <col width="13.33203125" customWidth="1" style="348" min="12313" max="12313"/>
    <col width="29" customWidth="1" style="348" min="12314" max="12314"/>
    <col width="13.6640625" customWidth="1" style="348" min="12315" max="12315"/>
    <col width="9.109375" customWidth="1" style="348" min="12316" max="12552"/>
    <col width="4.109375" customWidth="1" style="348" min="12553" max="12553"/>
    <col width="13.6640625" customWidth="1" style="348" min="12554" max="12554"/>
    <col width="9.5546875" customWidth="1" style="348" min="12555" max="12555"/>
    <col width="15" customWidth="1" style="348" min="12556" max="12556"/>
    <col width="13.6640625" customWidth="1" style="348" min="12557" max="12557"/>
    <col width="14" customWidth="1" style="348" min="12558" max="12558"/>
    <col width="4.33203125" customWidth="1" style="348" min="12559" max="12559"/>
    <col width="4.88671875" customWidth="1" style="348" min="12560" max="12560"/>
    <col width="9.5546875" customWidth="1" style="348" min="12561" max="12561"/>
    <col width="20.109375" customWidth="1" style="348" min="12562" max="12562"/>
    <col width="11.109375" customWidth="1" style="348" min="12563" max="12563"/>
    <col width="12.44140625" customWidth="1" style="348" min="12564" max="12564"/>
    <col width="13.88671875" customWidth="1" style="348" min="12565" max="12565"/>
    <col width="7.6640625" customWidth="1" style="348" min="12566" max="12566"/>
    <col width="9" customWidth="1" style="348" min="12567" max="12567"/>
    <col width="11.5546875" customWidth="1" style="348" min="12568" max="12568"/>
    <col width="13.33203125" customWidth="1" style="348" min="12569" max="12569"/>
    <col width="29" customWidth="1" style="348" min="12570" max="12570"/>
    <col width="13.6640625" customWidth="1" style="348" min="12571" max="12571"/>
    <col width="9.109375" customWidth="1" style="348" min="12572" max="12808"/>
    <col width="4.109375" customWidth="1" style="348" min="12809" max="12809"/>
    <col width="13.6640625" customWidth="1" style="348" min="12810" max="12810"/>
    <col width="9.5546875" customWidth="1" style="348" min="12811" max="12811"/>
    <col width="15" customWidth="1" style="348" min="12812" max="12812"/>
    <col width="13.6640625" customWidth="1" style="348" min="12813" max="12813"/>
    <col width="14" customWidth="1" style="348" min="12814" max="12814"/>
    <col width="4.33203125" customWidth="1" style="348" min="12815" max="12815"/>
    <col width="4.88671875" customWidth="1" style="348" min="12816" max="12816"/>
    <col width="9.5546875" customWidth="1" style="348" min="12817" max="12817"/>
    <col width="20.109375" customWidth="1" style="348" min="12818" max="12818"/>
    <col width="11.109375" customWidth="1" style="348" min="12819" max="12819"/>
    <col width="12.44140625" customWidth="1" style="348" min="12820" max="12820"/>
    <col width="13.88671875" customWidth="1" style="348" min="12821" max="12821"/>
    <col width="7.6640625" customWidth="1" style="348" min="12822" max="12822"/>
    <col width="9" customWidth="1" style="348" min="12823" max="12823"/>
    <col width="11.5546875" customWidth="1" style="348" min="12824" max="12824"/>
    <col width="13.33203125" customWidth="1" style="348" min="12825" max="12825"/>
    <col width="29" customWidth="1" style="348" min="12826" max="12826"/>
    <col width="13.6640625" customWidth="1" style="348" min="12827" max="12827"/>
    <col width="9.109375" customWidth="1" style="348" min="12828" max="13064"/>
    <col width="4.109375" customWidth="1" style="348" min="13065" max="13065"/>
    <col width="13.6640625" customWidth="1" style="348" min="13066" max="13066"/>
    <col width="9.5546875" customWidth="1" style="348" min="13067" max="13067"/>
    <col width="15" customWidth="1" style="348" min="13068" max="13068"/>
    <col width="13.6640625" customWidth="1" style="348" min="13069" max="13069"/>
    <col width="14" customWidth="1" style="348" min="13070" max="13070"/>
    <col width="4.33203125" customWidth="1" style="348" min="13071" max="13071"/>
    <col width="4.88671875" customWidth="1" style="348" min="13072" max="13072"/>
    <col width="9.5546875" customWidth="1" style="348" min="13073" max="13073"/>
    <col width="20.109375" customWidth="1" style="348" min="13074" max="13074"/>
    <col width="11.109375" customWidth="1" style="348" min="13075" max="13075"/>
    <col width="12.44140625" customWidth="1" style="348" min="13076" max="13076"/>
    <col width="13.88671875" customWidth="1" style="348" min="13077" max="13077"/>
    <col width="7.6640625" customWidth="1" style="348" min="13078" max="13078"/>
    <col width="9" customWidth="1" style="348" min="13079" max="13079"/>
    <col width="11.5546875" customWidth="1" style="348" min="13080" max="13080"/>
    <col width="13.33203125" customWidth="1" style="348" min="13081" max="13081"/>
    <col width="29" customWidth="1" style="348" min="13082" max="13082"/>
    <col width="13.6640625" customWidth="1" style="348" min="13083" max="13083"/>
    <col width="9.109375" customWidth="1" style="348" min="13084" max="13320"/>
    <col width="4.109375" customWidth="1" style="348" min="13321" max="13321"/>
    <col width="13.6640625" customWidth="1" style="348" min="13322" max="13322"/>
    <col width="9.5546875" customWidth="1" style="348" min="13323" max="13323"/>
    <col width="15" customWidth="1" style="348" min="13324" max="13324"/>
    <col width="13.6640625" customWidth="1" style="348" min="13325" max="13325"/>
    <col width="14" customWidth="1" style="348" min="13326" max="13326"/>
    <col width="4.33203125" customWidth="1" style="348" min="13327" max="13327"/>
    <col width="4.88671875" customWidth="1" style="348" min="13328" max="13328"/>
    <col width="9.5546875" customWidth="1" style="348" min="13329" max="13329"/>
    <col width="20.109375" customWidth="1" style="348" min="13330" max="13330"/>
    <col width="11.109375" customWidth="1" style="348" min="13331" max="13331"/>
    <col width="12.44140625" customWidth="1" style="348" min="13332" max="13332"/>
    <col width="13.88671875" customWidth="1" style="348" min="13333" max="13333"/>
    <col width="7.6640625" customWidth="1" style="348" min="13334" max="13334"/>
    <col width="9" customWidth="1" style="348" min="13335" max="13335"/>
    <col width="11.5546875" customWidth="1" style="348" min="13336" max="13336"/>
    <col width="13.33203125" customWidth="1" style="348" min="13337" max="13337"/>
    <col width="29" customWidth="1" style="348" min="13338" max="13338"/>
    <col width="13.6640625" customWidth="1" style="348" min="13339" max="13339"/>
    <col width="9.109375" customWidth="1" style="348" min="13340" max="13576"/>
    <col width="4.109375" customWidth="1" style="348" min="13577" max="13577"/>
    <col width="13.6640625" customWidth="1" style="348" min="13578" max="13578"/>
    <col width="9.5546875" customWidth="1" style="348" min="13579" max="13579"/>
    <col width="15" customWidth="1" style="348" min="13580" max="13580"/>
    <col width="13.6640625" customWidth="1" style="348" min="13581" max="13581"/>
    <col width="14" customWidth="1" style="348" min="13582" max="13582"/>
    <col width="4.33203125" customWidth="1" style="348" min="13583" max="13583"/>
    <col width="4.88671875" customWidth="1" style="348" min="13584" max="13584"/>
    <col width="9.5546875" customWidth="1" style="348" min="13585" max="13585"/>
    <col width="20.109375" customWidth="1" style="348" min="13586" max="13586"/>
    <col width="11.109375" customWidth="1" style="348" min="13587" max="13587"/>
    <col width="12.44140625" customWidth="1" style="348" min="13588" max="13588"/>
    <col width="13.88671875" customWidth="1" style="348" min="13589" max="13589"/>
    <col width="7.6640625" customWidth="1" style="348" min="13590" max="13590"/>
    <col width="9" customWidth="1" style="348" min="13591" max="13591"/>
    <col width="11.5546875" customWidth="1" style="348" min="13592" max="13592"/>
    <col width="13.33203125" customWidth="1" style="348" min="13593" max="13593"/>
    <col width="29" customWidth="1" style="348" min="13594" max="13594"/>
    <col width="13.6640625" customWidth="1" style="348" min="13595" max="13595"/>
    <col width="9.109375" customWidth="1" style="348" min="13596" max="13832"/>
    <col width="4.109375" customWidth="1" style="348" min="13833" max="13833"/>
    <col width="13.6640625" customWidth="1" style="348" min="13834" max="13834"/>
    <col width="9.5546875" customWidth="1" style="348" min="13835" max="13835"/>
    <col width="15" customWidth="1" style="348" min="13836" max="13836"/>
    <col width="13.6640625" customWidth="1" style="348" min="13837" max="13837"/>
    <col width="14" customWidth="1" style="348" min="13838" max="13838"/>
    <col width="4.33203125" customWidth="1" style="348" min="13839" max="13839"/>
    <col width="4.88671875" customWidth="1" style="348" min="13840" max="13840"/>
    <col width="9.5546875" customWidth="1" style="348" min="13841" max="13841"/>
    <col width="20.109375" customWidth="1" style="348" min="13842" max="13842"/>
    <col width="11.109375" customWidth="1" style="348" min="13843" max="13843"/>
    <col width="12.44140625" customWidth="1" style="348" min="13844" max="13844"/>
    <col width="13.88671875" customWidth="1" style="348" min="13845" max="13845"/>
    <col width="7.6640625" customWidth="1" style="348" min="13846" max="13846"/>
    <col width="9" customWidth="1" style="348" min="13847" max="13847"/>
    <col width="11.5546875" customWidth="1" style="348" min="13848" max="13848"/>
    <col width="13.33203125" customWidth="1" style="348" min="13849" max="13849"/>
    <col width="29" customWidth="1" style="348" min="13850" max="13850"/>
    <col width="13.6640625" customWidth="1" style="348" min="13851" max="13851"/>
    <col width="9.109375" customWidth="1" style="348" min="13852" max="14088"/>
    <col width="4.109375" customWidth="1" style="348" min="14089" max="14089"/>
    <col width="13.6640625" customWidth="1" style="348" min="14090" max="14090"/>
    <col width="9.5546875" customWidth="1" style="348" min="14091" max="14091"/>
    <col width="15" customWidth="1" style="348" min="14092" max="14092"/>
    <col width="13.6640625" customWidth="1" style="348" min="14093" max="14093"/>
    <col width="14" customWidth="1" style="348" min="14094" max="14094"/>
    <col width="4.33203125" customWidth="1" style="348" min="14095" max="14095"/>
    <col width="4.88671875" customWidth="1" style="348" min="14096" max="14096"/>
    <col width="9.5546875" customWidth="1" style="348" min="14097" max="14097"/>
    <col width="20.109375" customWidth="1" style="348" min="14098" max="14098"/>
    <col width="11.109375" customWidth="1" style="348" min="14099" max="14099"/>
    <col width="12.44140625" customWidth="1" style="348" min="14100" max="14100"/>
    <col width="13.88671875" customWidth="1" style="348" min="14101" max="14101"/>
    <col width="7.6640625" customWidth="1" style="348" min="14102" max="14102"/>
    <col width="9" customWidth="1" style="348" min="14103" max="14103"/>
    <col width="11.5546875" customWidth="1" style="348" min="14104" max="14104"/>
    <col width="13.33203125" customWidth="1" style="348" min="14105" max="14105"/>
    <col width="29" customWidth="1" style="348" min="14106" max="14106"/>
    <col width="13.6640625" customWidth="1" style="348" min="14107" max="14107"/>
    <col width="9.109375" customWidth="1" style="348" min="14108" max="14344"/>
    <col width="4.109375" customWidth="1" style="348" min="14345" max="14345"/>
    <col width="13.6640625" customWidth="1" style="348" min="14346" max="14346"/>
    <col width="9.5546875" customWidth="1" style="348" min="14347" max="14347"/>
    <col width="15" customWidth="1" style="348" min="14348" max="14348"/>
    <col width="13.6640625" customWidth="1" style="348" min="14349" max="14349"/>
    <col width="14" customWidth="1" style="348" min="14350" max="14350"/>
    <col width="4.33203125" customWidth="1" style="348" min="14351" max="14351"/>
    <col width="4.88671875" customWidth="1" style="348" min="14352" max="14352"/>
    <col width="9.5546875" customWidth="1" style="348" min="14353" max="14353"/>
    <col width="20.109375" customWidth="1" style="348" min="14354" max="14354"/>
    <col width="11.109375" customWidth="1" style="348" min="14355" max="14355"/>
    <col width="12.44140625" customWidth="1" style="348" min="14356" max="14356"/>
    <col width="13.88671875" customWidth="1" style="348" min="14357" max="14357"/>
    <col width="7.6640625" customWidth="1" style="348" min="14358" max="14358"/>
    <col width="9" customWidth="1" style="348" min="14359" max="14359"/>
    <col width="11.5546875" customWidth="1" style="348" min="14360" max="14360"/>
    <col width="13.33203125" customWidth="1" style="348" min="14361" max="14361"/>
    <col width="29" customWidth="1" style="348" min="14362" max="14362"/>
    <col width="13.6640625" customWidth="1" style="348" min="14363" max="14363"/>
    <col width="9.109375" customWidth="1" style="348" min="14364" max="14600"/>
    <col width="4.109375" customWidth="1" style="348" min="14601" max="14601"/>
    <col width="13.6640625" customWidth="1" style="348" min="14602" max="14602"/>
    <col width="9.5546875" customWidth="1" style="348" min="14603" max="14603"/>
    <col width="15" customWidth="1" style="348" min="14604" max="14604"/>
    <col width="13.6640625" customWidth="1" style="348" min="14605" max="14605"/>
    <col width="14" customWidth="1" style="348" min="14606" max="14606"/>
    <col width="4.33203125" customWidth="1" style="348" min="14607" max="14607"/>
    <col width="4.88671875" customWidth="1" style="348" min="14608" max="14608"/>
    <col width="9.5546875" customWidth="1" style="348" min="14609" max="14609"/>
    <col width="20.109375" customWidth="1" style="348" min="14610" max="14610"/>
    <col width="11.109375" customWidth="1" style="348" min="14611" max="14611"/>
    <col width="12.44140625" customWidth="1" style="348" min="14612" max="14612"/>
    <col width="13.88671875" customWidth="1" style="348" min="14613" max="14613"/>
    <col width="7.6640625" customWidth="1" style="348" min="14614" max="14614"/>
    <col width="9" customWidth="1" style="348" min="14615" max="14615"/>
    <col width="11.5546875" customWidth="1" style="348" min="14616" max="14616"/>
    <col width="13.33203125" customWidth="1" style="348" min="14617" max="14617"/>
    <col width="29" customWidth="1" style="348" min="14618" max="14618"/>
    <col width="13.6640625" customWidth="1" style="348" min="14619" max="14619"/>
    <col width="9.109375" customWidth="1" style="348" min="14620" max="14856"/>
    <col width="4.109375" customWidth="1" style="348" min="14857" max="14857"/>
    <col width="13.6640625" customWidth="1" style="348" min="14858" max="14858"/>
    <col width="9.5546875" customWidth="1" style="348" min="14859" max="14859"/>
    <col width="15" customWidth="1" style="348" min="14860" max="14860"/>
    <col width="13.6640625" customWidth="1" style="348" min="14861" max="14861"/>
    <col width="14" customWidth="1" style="348" min="14862" max="14862"/>
    <col width="4.33203125" customWidth="1" style="348" min="14863" max="14863"/>
    <col width="4.88671875" customWidth="1" style="348" min="14864" max="14864"/>
    <col width="9.5546875" customWidth="1" style="348" min="14865" max="14865"/>
    <col width="20.109375" customWidth="1" style="348" min="14866" max="14866"/>
    <col width="11.109375" customWidth="1" style="348" min="14867" max="14867"/>
    <col width="12.44140625" customWidth="1" style="348" min="14868" max="14868"/>
    <col width="13.88671875" customWidth="1" style="348" min="14869" max="14869"/>
    <col width="7.6640625" customWidth="1" style="348" min="14870" max="14870"/>
    <col width="9" customWidth="1" style="348" min="14871" max="14871"/>
    <col width="11.5546875" customWidth="1" style="348" min="14872" max="14872"/>
    <col width="13.33203125" customWidth="1" style="348" min="14873" max="14873"/>
    <col width="29" customWidth="1" style="348" min="14874" max="14874"/>
    <col width="13.6640625" customWidth="1" style="348" min="14875" max="14875"/>
    <col width="9.109375" customWidth="1" style="348" min="14876" max="15112"/>
    <col width="4.109375" customWidth="1" style="348" min="15113" max="15113"/>
    <col width="13.6640625" customWidth="1" style="348" min="15114" max="15114"/>
    <col width="9.5546875" customWidth="1" style="348" min="15115" max="15115"/>
    <col width="15" customWidth="1" style="348" min="15116" max="15116"/>
    <col width="13.6640625" customWidth="1" style="348" min="15117" max="15117"/>
    <col width="14" customWidth="1" style="348" min="15118" max="15118"/>
    <col width="4.33203125" customWidth="1" style="348" min="15119" max="15119"/>
    <col width="4.88671875" customWidth="1" style="348" min="15120" max="15120"/>
    <col width="9.5546875" customWidth="1" style="348" min="15121" max="15121"/>
    <col width="20.109375" customWidth="1" style="348" min="15122" max="15122"/>
    <col width="11.109375" customWidth="1" style="348" min="15123" max="15123"/>
    <col width="12.44140625" customWidth="1" style="348" min="15124" max="15124"/>
    <col width="13.88671875" customWidth="1" style="348" min="15125" max="15125"/>
    <col width="7.6640625" customWidth="1" style="348" min="15126" max="15126"/>
    <col width="9" customWidth="1" style="348" min="15127" max="15127"/>
    <col width="11.5546875" customWidth="1" style="348" min="15128" max="15128"/>
    <col width="13.33203125" customWidth="1" style="348" min="15129" max="15129"/>
    <col width="29" customWidth="1" style="348" min="15130" max="15130"/>
    <col width="13.6640625" customWidth="1" style="348" min="15131" max="15131"/>
    <col width="9.109375" customWidth="1" style="348" min="15132" max="15368"/>
    <col width="4.109375" customWidth="1" style="348" min="15369" max="15369"/>
    <col width="13.6640625" customWidth="1" style="348" min="15370" max="15370"/>
    <col width="9.5546875" customWidth="1" style="348" min="15371" max="15371"/>
    <col width="15" customWidth="1" style="348" min="15372" max="15372"/>
    <col width="13.6640625" customWidth="1" style="348" min="15373" max="15373"/>
    <col width="14" customWidth="1" style="348" min="15374" max="15374"/>
    <col width="4.33203125" customWidth="1" style="348" min="15375" max="15375"/>
    <col width="4.88671875" customWidth="1" style="348" min="15376" max="15376"/>
    <col width="9.5546875" customWidth="1" style="348" min="15377" max="15377"/>
    <col width="20.109375" customWidth="1" style="348" min="15378" max="15378"/>
    <col width="11.109375" customWidth="1" style="348" min="15379" max="15379"/>
    <col width="12.44140625" customWidth="1" style="348" min="15380" max="15380"/>
    <col width="13.88671875" customWidth="1" style="348" min="15381" max="15381"/>
    <col width="7.6640625" customWidth="1" style="348" min="15382" max="15382"/>
    <col width="9" customWidth="1" style="348" min="15383" max="15383"/>
    <col width="11.5546875" customWidth="1" style="348" min="15384" max="15384"/>
    <col width="13.33203125" customWidth="1" style="348" min="15385" max="15385"/>
    <col width="29" customWidth="1" style="348" min="15386" max="15386"/>
    <col width="13.6640625" customWidth="1" style="348" min="15387" max="15387"/>
    <col width="9.109375" customWidth="1" style="348" min="15388" max="15624"/>
    <col width="4.109375" customWidth="1" style="348" min="15625" max="15625"/>
    <col width="13.6640625" customWidth="1" style="348" min="15626" max="15626"/>
    <col width="9.5546875" customWidth="1" style="348" min="15627" max="15627"/>
    <col width="15" customWidth="1" style="348" min="15628" max="15628"/>
    <col width="13.6640625" customWidth="1" style="348" min="15629" max="15629"/>
    <col width="14" customWidth="1" style="348" min="15630" max="15630"/>
    <col width="4.33203125" customWidth="1" style="348" min="15631" max="15631"/>
    <col width="4.88671875" customWidth="1" style="348" min="15632" max="15632"/>
    <col width="9.5546875" customWidth="1" style="348" min="15633" max="15633"/>
    <col width="20.109375" customWidth="1" style="348" min="15634" max="15634"/>
    <col width="11.109375" customWidth="1" style="348" min="15635" max="15635"/>
    <col width="12.44140625" customWidth="1" style="348" min="15636" max="15636"/>
    <col width="13.88671875" customWidth="1" style="348" min="15637" max="15637"/>
    <col width="7.6640625" customWidth="1" style="348" min="15638" max="15638"/>
    <col width="9" customWidth="1" style="348" min="15639" max="15639"/>
    <col width="11.5546875" customWidth="1" style="348" min="15640" max="15640"/>
    <col width="13.33203125" customWidth="1" style="348" min="15641" max="15641"/>
    <col width="29" customWidth="1" style="348" min="15642" max="15642"/>
    <col width="13.6640625" customWidth="1" style="348" min="15643" max="15643"/>
    <col width="9.109375" customWidth="1" style="348" min="15644" max="15880"/>
    <col width="4.109375" customWidth="1" style="348" min="15881" max="15881"/>
    <col width="13.6640625" customWidth="1" style="348" min="15882" max="15882"/>
    <col width="9.5546875" customWidth="1" style="348" min="15883" max="15883"/>
    <col width="15" customWidth="1" style="348" min="15884" max="15884"/>
    <col width="13.6640625" customWidth="1" style="348" min="15885" max="15885"/>
    <col width="14" customWidth="1" style="348" min="15886" max="15886"/>
    <col width="4.33203125" customWidth="1" style="348" min="15887" max="15887"/>
    <col width="4.88671875" customWidth="1" style="348" min="15888" max="15888"/>
    <col width="9.5546875" customWidth="1" style="348" min="15889" max="15889"/>
    <col width="20.109375" customWidth="1" style="348" min="15890" max="15890"/>
    <col width="11.109375" customWidth="1" style="348" min="15891" max="15891"/>
    <col width="12.44140625" customWidth="1" style="348" min="15892" max="15892"/>
    <col width="13.88671875" customWidth="1" style="348" min="15893" max="15893"/>
    <col width="7.6640625" customWidth="1" style="348" min="15894" max="15894"/>
    <col width="9" customWidth="1" style="348" min="15895" max="15895"/>
    <col width="11.5546875" customWidth="1" style="348" min="15896" max="15896"/>
    <col width="13.33203125" customWidth="1" style="348" min="15897" max="15897"/>
    <col width="29" customWidth="1" style="348" min="15898" max="15898"/>
    <col width="13.6640625" customWidth="1" style="348" min="15899" max="15899"/>
    <col width="9.109375" customWidth="1" style="348" min="15900" max="16136"/>
    <col width="4.109375" customWidth="1" style="348" min="16137" max="16137"/>
    <col width="13.6640625" customWidth="1" style="348" min="16138" max="16138"/>
    <col width="9.5546875" customWidth="1" style="348" min="16139" max="16139"/>
    <col width="15" customWidth="1" style="348" min="16140" max="16140"/>
    <col width="13.6640625" customWidth="1" style="348" min="16141" max="16141"/>
    <col width="14" customWidth="1" style="348" min="16142" max="16142"/>
    <col width="4.33203125" customWidth="1" style="348" min="16143" max="16143"/>
    <col width="4.88671875" customWidth="1" style="348" min="16144" max="16144"/>
    <col width="9.5546875" customWidth="1" style="348" min="16145" max="16145"/>
    <col width="20.109375" customWidth="1" style="348" min="16146" max="16146"/>
    <col width="11.109375" customWidth="1" style="348" min="16147" max="16147"/>
    <col width="12.44140625" customWidth="1" style="348" min="16148" max="16148"/>
    <col width="13.88671875" customWidth="1" style="348" min="16149" max="16149"/>
    <col width="7.6640625" customWidth="1" style="348" min="16150" max="16150"/>
    <col width="9" customWidth="1" style="348" min="16151" max="16151"/>
    <col width="11.5546875" customWidth="1" style="348" min="16152" max="16152"/>
    <col width="13.33203125" customWidth="1" style="348" min="16153" max="16153"/>
    <col width="29" customWidth="1" style="348" min="16154" max="16154"/>
    <col width="13.6640625" customWidth="1" style="348" min="16155" max="16155"/>
    <col width="9.109375" customWidth="1" style="348" min="16156" max="16384"/>
  </cols>
  <sheetData>
    <row r="1" ht="15" customHeight="1">
      <c r="W1" s="722" t="inlineStr">
        <is>
          <t xml:space="preserve">
Add: 1B Hoang Dieu St., Dist. 4
HoChiMinh City, Vietnam
Tel: (84.8) 3826 9727
 Fax: (84.8) 3940 2566
Website: www.sotrans.com.vn
</t>
        </is>
      </c>
      <c r="Z1" s="722" t="n"/>
    </row>
    <row r="2" ht="42" customHeight="1">
      <c r="B2" s="44" t="n"/>
      <c r="C2" s="109" t="n"/>
      <c r="D2" s="44" t="n"/>
      <c r="E2" s="720" t="inlineStr">
        <is>
          <t>BẢNG KÊ CHI PHÍ GIAO NHẬN HẢI QUAN HÀNG XUẤT NHẬP KHẨU
THÁNG 10/2025</t>
        </is>
      </c>
      <c r="T2" s="343" t="n"/>
      <c r="U2" s="343" t="n"/>
      <c r="V2" s="343" t="n"/>
      <c r="Z2" s="722" t="n"/>
      <c r="AA2" s="66" t="n"/>
    </row>
    <row r="3" ht="20.4" customHeight="1">
      <c r="A3" s="723" t="n"/>
      <c r="B3" s="45" t="n"/>
      <c r="C3" s="110" t="n"/>
      <c r="D3" s="45" t="n"/>
      <c r="E3" s="723" t="inlineStr">
        <is>
          <t>2025年10月进出口货物报关费用清单</t>
        </is>
      </c>
      <c r="T3" s="342" t="n"/>
      <c r="U3" s="342" t="n"/>
      <c r="V3" s="342" t="n"/>
      <c r="Z3" s="722" t="n"/>
      <c r="AA3" s="66" t="n"/>
    </row>
    <row r="4" ht="15.6" customHeight="1">
      <c r="A4" s="2" t="n"/>
      <c r="B4" s="50" t="n"/>
      <c r="C4" s="111" t="n"/>
      <c r="D4" s="2" t="n"/>
      <c r="E4" s="2" t="n"/>
      <c r="F4" s="2" t="n"/>
      <c r="G4" s="2" t="n"/>
      <c r="H4" s="2" t="n"/>
      <c r="I4" s="2" t="n"/>
      <c r="J4" s="3" t="n"/>
      <c r="K4" s="2" t="n"/>
      <c r="L4" s="2" t="n"/>
      <c r="M4" s="2" t="n"/>
      <c r="N4" s="2" t="n"/>
      <c r="O4" s="2" t="n"/>
      <c r="P4" s="3" t="n"/>
      <c r="Q4" s="352" t="n"/>
      <c r="R4" s="2" t="n"/>
      <c r="S4" s="2" t="n"/>
      <c r="T4" s="2" t="n"/>
      <c r="U4" s="2" t="n"/>
      <c r="V4" s="2" t="n"/>
      <c r="Z4" s="722" t="n"/>
      <c r="AA4" s="66" t="n"/>
    </row>
    <row r="5" ht="15.6" customFormat="1" customHeight="1" s="349">
      <c r="A5" s="4" t="n"/>
      <c r="B5" s="50" t="inlineStr">
        <is>
          <t>To :</t>
        </is>
      </c>
      <c r="C5" s="112" t="inlineStr">
        <is>
          <t>CÔNG TY TNHH NOVA STONE QUARTZ VIỆT NAM</t>
        </is>
      </c>
      <c r="D5" s="46" t="n"/>
      <c r="E5" s="46" t="n"/>
      <c r="F5" s="46" t="n"/>
      <c r="G5" s="46" t="n"/>
      <c r="H5" s="46" t="n"/>
      <c r="I5" s="46" t="n"/>
      <c r="J5" s="59" t="n"/>
      <c r="K5" s="56" t="n"/>
      <c r="L5" s="4" t="n"/>
      <c r="M5" s="4" t="n"/>
      <c r="N5" s="4" t="n"/>
      <c r="O5" s="5" t="n"/>
      <c r="P5" s="6" t="n"/>
      <c r="Q5" s="7" t="n"/>
      <c r="R5" s="5" t="n"/>
      <c r="S5" s="5" t="n"/>
      <c r="T5" s="5" t="n"/>
      <c r="U5" s="5" t="n"/>
      <c r="V5" s="5" t="n"/>
      <c r="W5" s="5" t="n"/>
      <c r="X5" s="5" t="n"/>
      <c r="Y5" s="72" t="n"/>
      <c r="Z5" s="1" t="n"/>
      <c r="AA5" s="67" t="n"/>
      <c r="AB5" s="386" t="n"/>
    </row>
    <row r="6" ht="15.6" customFormat="1" customHeight="1" s="349">
      <c r="A6" s="4" t="n"/>
      <c r="B6" s="50" t="inlineStr">
        <is>
          <t>Address:</t>
        </is>
      </c>
      <c r="C6" s="113" t="inlineStr">
        <is>
          <t xml:space="preserve">Lô E5-1 (khu B4), Đường D9, Khu công nghiệp Rạch Bắp, Phường Tây Nam, Thành phố Hồ Chí Minh, Việt Nam </t>
        </is>
      </c>
      <c r="D6" s="46" t="n"/>
      <c r="E6" s="46" t="n"/>
      <c r="F6" s="46" t="n"/>
      <c r="G6" s="46" t="n"/>
      <c r="H6" s="46" t="n"/>
      <c r="I6" s="46" t="n"/>
      <c r="J6" s="59" t="n"/>
      <c r="K6" s="57" t="n"/>
      <c r="L6" s="4" t="n"/>
      <c r="M6" s="4" t="n"/>
      <c r="N6" s="4" t="n"/>
      <c r="O6" s="5" t="n"/>
      <c r="P6" s="6" t="n"/>
      <c r="Q6" s="7" t="n"/>
      <c r="R6" s="5" t="n"/>
      <c r="S6" s="5" t="n"/>
      <c r="T6" s="5" t="n"/>
      <c r="U6" s="5" t="n"/>
      <c r="V6" s="5" t="n"/>
      <c r="W6" s="5" t="n"/>
      <c r="X6" s="5" t="n"/>
      <c r="Y6" s="6" t="n"/>
      <c r="Z6" s="7" t="n"/>
      <c r="AA6" s="67" t="n"/>
      <c r="AB6" s="386" t="n"/>
    </row>
    <row r="7" ht="15.6" customFormat="1" customHeight="1" s="349">
      <c r="A7" s="4" t="n"/>
      <c r="B7" s="50" t="inlineStr">
        <is>
          <t>Tax code:</t>
        </is>
      </c>
      <c r="C7" s="113" t="inlineStr">
        <is>
          <t>3703185737</t>
        </is>
      </c>
      <c r="D7" s="46" t="n"/>
      <c r="E7" s="46" t="n"/>
      <c r="F7" s="46" t="n"/>
      <c r="G7" s="46" t="n"/>
      <c r="H7" s="46" t="n"/>
      <c r="I7" s="46" t="n"/>
      <c r="J7" s="59" t="n"/>
      <c r="K7" s="58" t="n"/>
      <c r="L7" s="4" t="n"/>
      <c r="M7" s="4" t="n"/>
      <c r="N7" s="4" t="n"/>
      <c r="O7" s="5" t="n"/>
      <c r="P7" s="6" t="n"/>
      <c r="Q7" s="7" t="n"/>
      <c r="R7" s="5" t="n"/>
      <c r="S7" s="5" t="n"/>
      <c r="T7" s="5" t="n"/>
      <c r="U7" s="5" t="n"/>
      <c r="V7" s="5" t="n"/>
      <c r="W7" s="5" t="n"/>
      <c r="X7" s="5" t="n"/>
      <c r="Y7" s="6" t="n"/>
      <c r="Z7" s="7" t="n"/>
      <c r="AA7" s="67" t="n"/>
      <c r="AB7" s="386" t="n"/>
    </row>
    <row r="8" ht="15.6" customHeight="1">
      <c r="A8" s="2" t="n"/>
      <c r="B8" s="50" t="n"/>
      <c r="C8" s="111" t="n"/>
      <c r="D8" s="2" t="n"/>
      <c r="E8" s="2" t="n"/>
      <c r="F8" s="2" t="n"/>
      <c r="G8" s="2" t="n"/>
      <c r="H8" s="2" t="n"/>
      <c r="I8" s="2" t="n"/>
      <c r="J8" s="3" t="n"/>
      <c r="K8" s="2" t="n"/>
      <c r="L8" s="2" t="n"/>
      <c r="M8" s="2" t="n"/>
      <c r="N8" s="2" t="n"/>
      <c r="O8" s="2" t="n"/>
      <c r="P8" s="3" t="n"/>
      <c r="Q8" s="352" t="n"/>
      <c r="R8" s="2" t="n"/>
      <c r="S8" s="2" t="n"/>
      <c r="T8" s="2" t="n"/>
      <c r="U8" s="2" t="n"/>
      <c r="V8" s="2" t="n"/>
      <c r="W8" s="2" t="n"/>
      <c r="X8" s="2" t="n"/>
      <c r="Y8" s="69" t="n"/>
      <c r="Z8" s="8" t="n"/>
    </row>
    <row r="9" ht="14.25" customHeight="1">
      <c r="A9" s="740" t="inlineStr">
        <is>
          <t>No.</t>
        </is>
      </c>
      <c r="B9" s="740" t="inlineStr">
        <is>
          <t>Customs delcaration</t>
        </is>
      </c>
      <c r="C9" s="743" t="inlineStr">
        <is>
          <t>Date</t>
        </is>
      </c>
      <c r="D9" s="740" t="inlineStr">
        <is>
          <t xml:space="preserve">Bill of Lading
/ Booking </t>
        </is>
      </c>
      <c r="E9" s="740" t="inlineStr">
        <is>
          <t>Invoice No.</t>
        </is>
      </c>
      <c r="F9" s="740" t="inlineStr">
        <is>
          <t>Commodity</t>
        </is>
      </c>
      <c r="G9" s="740" t="inlineStr">
        <is>
          <t>Nơi đi</t>
        </is>
      </c>
      <c r="H9" s="740" t="inlineStr">
        <is>
          <t>Nơi đến</t>
        </is>
      </c>
      <c r="I9" s="740" t="inlineStr">
        <is>
          <t>Số cont</t>
        </is>
      </c>
      <c r="J9" s="768" t="inlineStr">
        <is>
          <t>Số xe</t>
        </is>
      </c>
      <c r="K9" s="717" t="inlineStr">
        <is>
          <t>Quantity</t>
        </is>
      </c>
      <c r="L9" s="706" t="n"/>
      <c r="M9" s="706" t="n"/>
      <c r="N9" s="707" t="n"/>
      <c r="O9" s="179" t="n"/>
      <c r="P9" s="714" t="n"/>
      <c r="Q9" s="706" t="n"/>
      <c r="R9" s="706" t="n"/>
      <c r="S9" s="706" t="n"/>
      <c r="T9" s="706" t="n"/>
      <c r="U9" s="706" t="n"/>
      <c r="V9" s="706" t="n"/>
      <c r="W9" s="706" t="n"/>
      <c r="X9" s="707" t="n"/>
      <c r="Y9" s="756" t="inlineStr">
        <is>
          <t>Remarks</t>
        </is>
      </c>
      <c r="Z9" s="180" t="n"/>
      <c r="AA9" s="387" t="n"/>
    </row>
    <row r="10" ht="36.75" customHeight="1">
      <c r="A10" s="709" t="n"/>
      <c r="B10" s="709" t="n"/>
      <c r="C10" s="709" t="n"/>
      <c r="D10" s="709" t="n"/>
      <c r="E10" s="709" t="n"/>
      <c r="F10" s="709" t="n"/>
      <c r="G10" s="709" t="n"/>
      <c r="H10" s="709" t="n"/>
      <c r="I10" s="709" t="n"/>
      <c r="J10" s="709" t="n"/>
      <c r="K10" s="181" t="inlineStr">
        <is>
          <t>20'</t>
        </is>
      </c>
      <c r="L10" s="181" t="inlineStr">
        <is>
          <t>40'</t>
        </is>
      </c>
      <c r="M10" s="181" t="inlineStr">
        <is>
          <t>Kiện
(LCL)</t>
        </is>
      </c>
      <c r="N10" s="181" t="inlineStr">
        <is>
          <t>Gross weight
/cont (kg)</t>
        </is>
      </c>
      <c r="O10" s="181" t="inlineStr">
        <is>
          <t>Gross weight
/cont (kg)</t>
        </is>
      </c>
      <c r="P10" s="717" t="inlineStr">
        <is>
          <t>Description</t>
        </is>
      </c>
      <c r="Q10" s="707" t="n"/>
      <c r="R10" s="12" t="inlineStr">
        <is>
          <t>Invoice No.</t>
        </is>
      </c>
      <c r="S10" s="12" t="inlineStr">
        <is>
          <t>Invoice Date</t>
        </is>
      </c>
      <c r="T10" s="12" t="inlineStr">
        <is>
          <t xml:space="preserve">Before VAT Amount </t>
        </is>
      </c>
      <c r="U10" s="717" t="inlineStr">
        <is>
          <t>VAT 
Amount</t>
        </is>
      </c>
      <c r="V10" s="707" t="n"/>
      <c r="W10" s="12" t="inlineStr">
        <is>
          <t xml:space="preserve">After VAT Amount </t>
        </is>
      </c>
      <c r="X10" s="23" t="inlineStr">
        <is>
          <t>TOTAL</t>
        </is>
      </c>
      <c r="Y10" s="709" t="n"/>
      <c r="Z10" s="180" t="n"/>
      <c r="AA10" s="387" t="n"/>
    </row>
    <row r="11" ht="27.6" customHeight="1">
      <c r="A11" s="182" t="n"/>
      <c r="B11" s="182" t="inlineStr">
        <is>
          <t>海关申报</t>
        </is>
      </c>
      <c r="C11" s="183" t="inlineStr">
        <is>
          <t>日</t>
        </is>
      </c>
      <c r="D11" s="182" t="inlineStr">
        <is>
          <t>提单</t>
        </is>
      </c>
      <c r="E11" s="182" t="inlineStr">
        <is>
          <t>发票号码。</t>
        </is>
      </c>
      <c r="F11" s="182" t="inlineStr">
        <is>
          <t>商品</t>
        </is>
      </c>
      <c r="G11" s="708" t="inlineStr">
        <is>
          <t>出发地</t>
        </is>
      </c>
      <c r="H11" s="708" t="inlineStr">
        <is>
          <t xml:space="preserve">目的地 </t>
        </is>
      </c>
      <c r="I11" s="708" t="inlineStr">
        <is>
          <t>箱号</t>
        </is>
      </c>
      <c r="J11" s="333" t="inlineStr">
        <is>
          <t xml:space="preserve">车牌号 </t>
        </is>
      </c>
      <c r="K11" s="182" t="inlineStr">
        <is>
          <t>小柜</t>
        </is>
      </c>
      <c r="L11" s="182" t="inlineStr">
        <is>
          <t>大柜</t>
        </is>
      </c>
      <c r="M11" s="182" t="n"/>
      <c r="N11" s="182" t="inlineStr">
        <is>
          <t>总重量
/柜（kg)</t>
        </is>
      </c>
      <c r="O11" s="185" t="n"/>
      <c r="P11" s="708" t="inlineStr">
        <is>
          <t>描述内容</t>
        </is>
      </c>
      <c r="Q11" s="707" t="n"/>
      <c r="R11" s="182" t="inlineStr">
        <is>
          <t>发票号码</t>
        </is>
      </c>
      <c r="S11" s="182" t="inlineStr">
        <is>
          <t>发票日期</t>
        </is>
      </c>
      <c r="T11" s="182" t="inlineStr">
        <is>
          <t>税前金额</t>
        </is>
      </c>
      <c r="U11" s="182" t="inlineStr">
        <is>
          <t>增值税金额</t>
        </is>
      </c>
      <c r="V11" s="182" t="inlineStr">
        <is>
          <t>增值税金额</t>
        </is>
      </c>
      <c r="W11" s="182" t="inlineStr">
        <is>
          <t>税后金额</t>
        </is>
      </c>
      <c r="X11" s="182" t="inlineStr">
        <is>
          <t>总金额</t>
        </is>
      </c>
      <c r="Y11" s="184" t="n"/>
      <c r="Z11" s="186" t="inlineStr">
        <is>
          <t>备注</t>
        </is>
      </c>
      <c r="AA11" s="387" t="n"/>
    </row>
    <row r="12">
      <c r="A12" s="10" t="n"/>
      <c r="B12" s="10" t="n"/>
      <c r="C12" s="114" t="n"/>
      <c r="D12" s="10" t="n"/>
      <c r="E12" s="10" t="n"/>
      <c r="F12" s="10" t="n"/>
      <c r="G12" s="10" t="n"/>
      <c r="H12" s="10" t="n"/>
      <c r="I12" s="10" t="n"/>
      <c r="J12" s="60" t="n"/>
      <c r="K12" s="11" t="n"/>
      <c r="L12" s="11" t="n"/>
      <c r="M12" s="11" t="n"/>
      <c r="N12" s="11" t="n"/>
      <c r="O12" s="11" t="n"/>
      <c r="P12" s="11" t="n"/>
      <c r="Q12" s="353" t="n"/>
      <c r="R12" s="11" t="n"/>
      <c r="S12" s="11" t="n"/>
      <c r="T12" s="11" t="n"/>
      <c r="U12" s="335" t="n"/>
      <c r="V12" s="336" t="n"/>
      <c r="W12" s="11" t="n"/>
      <c r="X12" s="13" t="n"/>
      <c r="Y12" s="337" t="n"/>
      <c r="Z12" s="338" t="n"/>
      <c r="AA12" s="339" t="n"/>
      <c r="AB12" s="348" t="n"/>
    </row>
    <row r="13" ht="21" customFormat="1" customHeight="1" s="758">
      <c r="A13" s="733" t="n">
        <v>1</v>
      </c>
      <c r="B13" s="701" t="inlineStr">
        <is>
          <t>107568858720</t>
        </is>
      </c>
      <c r="C13" s="701" t="inlineStr">
        <is>
          <t>29/9/2025</t>
        </is>
      </c>
      <c r="D13" s="701" t="inlineStr">
        <is>
          <t>EGLV147501285575</t>
        </is>
      </c>
      <c r="E13" s="701" t="inlineStr">
        <is>
          <t>XL-HD250915</t>
        </is>
      </c>
      <c r="F13" s="701" t="inlineStr">
        <is>
          <t>CÁT ĐÁ THẠCH ANH</t>
        </is>
      </c>
      <c r="G13" s="701" t="inlineStr">
        <is>
          <t>CAT LAI</t>
        </is>
      </c>
      <c r="H13" s="701" t="inlineStr">
        <is>
          <t>KHO NOVA</t>
        </is>
      </c>
      <c r="I13" s="701" t="inlineStr">
        <is>
          <t>DRYU2688343</t>
        </is>
      </c>
      <c r="J13" s="701" t="inlineStr">
        <is>
          <t>51C23619</t>
        </is>
      </c>
      <c r="K13" s="701" t="n">
        <v>4</v>
      </c>
      <c r="L13" s="701" t="n"/>
      <c r="M13" s="701" t="n"/>
      <c r="N13" s="796" t="n">
        <v>108407</v>
      </c>
      <c r="O13" s="797">
        <f>N13/(K13+L13)</f>
        <v/>
      </c>
      <c r="P13" s="498" t="n"/>
      <c r="Q13" s="560" t="n"/>
      <c r="R13" s="498" t="n"/>
      <c r="S13" s="498" t="n"/>
      <c r="T13" s="512" t="n"/>
      <c r="U13" s="253" t="n"/>
      <c r="V13" s="761" t="n"/>
      <c r="W13" s="512" t="n"/>
      <c r="X13" s="730" t="n"/>
      <c r="Y13" s="498" t="n"/>
      <c r="Z13" s="498" t="n"/>
      <c r="AA13" s="388" t="n"/>
    </row>
    <row r="14" ht="19.5" customFormat="1" customHeight="1" s="758">
      <c r="A14" s="727" t="n"/>
      <c r="B14" s="727" t="n"/>
      <c r="C14" s="727" t="n"/>
      <c r="D14" s="727" t="n"/>
      <c r="E14" s="727" t="n"/>
      <c r="F14" s="727" t="n"/>
      <c r="G14" s="727" t="n"/>
      <c r="H14" s="727" t="n"/>
      <c r="I14" t="inlineStr">
        <is>
          <t>EGSU2175679</t>
        </is>
      </c>
      <c r="J14" t="inlineStr">
        <is>
          <t>51C69298</t>
        </is>
      </c>
      <c r="K14" s="727" t="n"/>
      <c r="L14" s="727" t="n"/>
      <c r="M14" s="727" t="n"/>
      <c r="N14" s="727" t="n"/>
      <c r="O14" s="727" t="n"/>
    </row>
    <row r="15" ht="23.25" customFormat="1" customHeight="1" s="758">
      <c r="A15" s="727" t="n"/>
      <c r="B15" s="727" t="n"/>
      <c r="C15" s="727" t="n"/>
      <c r="D15" s="727" t="n"/>
      <c r="E15" s="727" t="n"/>
      <c r="F15" s="727" t="n"/>
      <c r="G15" s="727" t="n"/>
      <c r="H15" s="727" t="n"/>
      <c r="I15" t="inlineStr">
        <is>
          <t>EGSU3172252</t>
        </is>
      </c>
      <c r="J15" t="inlineStr">
        <is>
          <t>51D41113</t>
        </is>
      </c>
      <c r="K15" s="727" t="n"/>
      <c r="L15" s="727" t="n"/>
      <c r="M15" s="727" t="n"/>
      <c r="N15" s="727" t="n"/>
      <c r="O15" s="727" t="n"/>
    </row>
    <row r="16" ht="23.25" customFormat="1" customHeight="1" s="758">
      <c r="A16" s="709" t="n"/>
      <c r="B16" s="709" t="n"/>
      <c r="C16" s="709" t="n"/>
      <c r="D16" s="709" t="n"/>
      <c r="E16" s="709" t="n"/>
      <c r="F16" s="709" t="n"/>
      <c r="G16" s="709" t="n"/>
      <c r="H16" s="709" t="n"/>
      <c r="I16" t="inlineStr">
        <is>
          <t>EITU0535536</t>
        </is>
      </c>
      <c r="J16" t="inlineStr">
        <is>
          <t>50H29647</t>
        </is>
      </c>
      <c r="K16" s="709" t="n"/>
      <c r="L16" s="709" t="n"/>
      <c r="M16" s="709" t="n"/>
      <c r="N16" s="709" t="n"/>
      <c r="O16" s="709" t="n"/>
    </row>
    <row r="17" ht="22.5" customFormat="1" customHeight="1" s="758">
      <c r="A17" s="727" t="n"/>
      <c r="B17" s="701" t="inlineStr">
        <is>
          <t>107585094851</t>
        </is>
      </c>
      <c r="C17" s="701" t="inlineStr">
        <is>
          <t>03/10/2025</t>
        </is>
      </c>
      <c r="D17" s="701" t="inlineStr">
        <is>
          <t>EGLV147501337923</t>
        </is>
      </c>
      <c r="E17" s="701" t="inlineStr">
        <is>
          <t>BY20250916</t>
        </is>
      </c>
      <c r="F17" s="701" t="inlineStr">
        <is>
          <t>TẤM ĐÁ THẠCH ANH</t>
        </is>
      </c>
      <c r="G17" s="701" t="inlineStr">
        <is>
          <t>CAT LAI</t>
        </is>
      </c>
      <c r="H17" s="701" t="inlineStr">
        <is>
          <t>KHO NOVA</t>
        </is>
      </c>
      <c r="I17" s="701" t="inlineStr">
        <is>
          <t>EGSU3607632</t>
        </is>
      </c>
      <c r="J17" s="701" t="inlineStr">
        <is>
          <t>51D09750</t>
        </is>
      </c>
      <c r="K17" s="701" t="n">
        <v>3</v>
      </c>
      <c r="L17" s="701" t="n"/>
      <c r="M17" s="701" t="n"/>
      <c r="N17" s="796" t="n">
        <v>82155</v>
      </c>
      <c r="O17" s="797">
        <f>N17/(K17+L17)</f>
        <v/>
      </c>
      <c r="X17" s="727" t="n"/>
    </row>
    <row r="18" ht="17.25" customFormat="1" customHeight="1" s="758">
      <c r="A18" s="727" t="n"/>
      <c r="B18" s="727" t="n"/>
      <c r="C18" s="727" t="n"/>
      <c r="D18" s="727" t="n"/>
      <c r="E18" s="727" t="n"/>
      <c r="F18" s="727" t="n"/>
      <c r="G18" s="727" t="n"/>
      <c r="H18" s="727" t="n"/>
      <c r="I18" t="inlineStr">
        <is>
          <t>EITU0132021</t>
        </is>
      </c>
      <c r="J18" t="inlineStr">
        <is>
          <t>51D09750</t>
        </is>
      </c>
      <c r="K18" s="727" t="n"/>
      <c r="L18" s="727" t="n"/>
      <c r="M18" s="727" t="n"/>
      <c r="N18" s="727" t="n"/>
      <c r="O18" s="727" t="n"/>
    </row>
    <row r="19" ht="17.25" customFormat="1" customHeight="1" s="758">
      <c r="A19" s="727" t="n"/>
      <c r="B19" s="709" t="n"/>
      <c r="C19" s="709" t="n"/>
      <c r="D19" s="709" t="n"/>
      <c r="E19" s="709" t="n"/>
      <c r="F19" s="709" t="n"/>
      <c r="G19" s="709" t="n"/>
      <c r="H19" s="709" t="n"/>
      <c r="I19" t="inlineStr">
        <is>
          <t>EMCU6154130</t>
        </is>
      </c>
      <c r="J19" t="inlineStr">
        <is>
          <t>50H17748</t>
        </is>
      </c>
      <c r="K19" s="709" t="n"/>
      <c r="L19" s="709" t="n"/>
      <c r="M19" s="709" t="n"/>
      <c r="N19" s="709" t="n"/>
      <c r="O19" s="709" t="n"/>
    </row>
    <row r="20" ht="17.25" customFormat="1" customHeight="1" s="758">
      <c r="A20" s="727" t="n"/>
      <c r="B20" s="701" t="inlineStr">
        <is>
          <t>107611750630</t>
        </is>
      </c>
      <c r="C20" s="701" t="inlineStr">
        <is>
          <t>14/10/2025</t>
        </is>
      </c>
      <c r="D20" s="701" t="inlineStr">
        <is>
          <t>EGLV147501411805</t>
        </is>
      </c>
      <c r="E20" s="701" t="inlineStr">
        <is>
          <t>XL-HC251001</t>
        </is>
      </c>
      <c r="F20" s="701" t="inlineStr">
        <is>
          <t>CÁT ĐÁ THẠCH ANH</t>
        </is>
      </c>
      <c r="G20" s="701" t="inlineStr">
        <is>
          <t>CAT LAI</t>
        </is>
      </c>
      <c r="H20" s="701" t="inlineStr">
        <is>
          <t>KHO NOVA</t>
        </is>
      </c>
      <c r="I20" s="701" t="inlineStr">
        <is>
          <t>EGHU3849191</t>
        </is>
      </c>
      <c r="J20" s="701" t="inlineStr">
        <is>
          <t>50E15635</t>
        </is>
      </c>
      <c r="K20" s="701" t="n">
        <v>3</v>
      </c>
      <c r="L20" s="701" t="n"/>
      <c r="M20" s="701" t="n"/>
      <c r="N20" s="796" t="n">
        <v>81060</v>
      </c>
      <c r="O20" s="797">
        <f>N20/(K20+L20)</f>
        <v/>
      </c>
      <c r="X20" s="727" t="n"/>
    </row>
    <row r="21" ht="32.25" customFormat="1" customHeight="1" s="758">
      <c r="A21" s="727" t="n"/>
      <c r="B21" s="727" t="n"/>
      <c r="C21" s="727" t="n"/>
      <c r="D21" s="727" t="n"/>
      <c r="E21" s="727" t="n"/>
      <c r="F21" s="727" t="n"/>
      <c r="G21" s="727" t="n"/>
      <c r="H21" s="727" t="n"/>
      <c r="I21" t="inlineStr">
        <is>
          <t>EGSU3161026</t>
        </is>
      </c>
      <c r="J21" t="inlineStr">
        <is>
          <t>50H17748</t>
        </is>
      </c>
      <c r="K21" s="727" t="n"/>
      <c r="L21" s="727" t="n"/>
      <c r="M21" s="727" t="n"/>
      <c r="N21" s="727" t="n"/>
      <c r="O21" s="727" t="n"/>
    </row>
    <row r="22" hidden="1" ht="30.75" customFormat="1" customHeight="1" s="758">
      <c r="A22" s="727" t="n"/>
      <c r="B22" s="709" t="n"/>
      <c r="C22" s="709" t="n"/>
      <c r="D22" s="709" t="n"/>
      <c r="E22" s="709" t="n"/>
      <c r="F22" s="709" t="n"/>
      <c r="G22" s="709" t="n"/>
      <c r="H22" s="709" t="n"/>
      <c r="I22" t="inlineStr">
        <is>
          <t>GAOU2395240</t>
        </is>
      </c>
      <c r="J22" t="inlineStr">
        <is>
          <t>50H17748</t>
        </is>
      </c>
      <c r="K22" s="709" t="n"/>
      <c r="L22" s="709" t="n"/>
      <c r="M22" s="709" t="n"/>
      <c r="N22" s="709" t="n"/>
      <c r="O22" s="709" t="n"/>
    </row>
    <row r="23" ht="29.25" customFormat="1" customHeight="1" s="758">
      <c r="A23" s="709" t="n"/>
      <c r="B23" s="701" t="inlineStr">
        <is>
          <t>107614525430</t>
        </is>
      </c>
      <c r="C23" s="701" t="inlineStr">
        <is>
          <t>15/10/2025</t>
        </is>
      </c>
      <c r="D23" s="701" t="inlineStr">
        <is>
          <t>SNLFSKVLN9E254</t>
        </is>
      </c>
      <c r="E23" s="701" t="inlineStr">
        <is>
          <t>XL-HC251003</t>
        </is>
      </c>
      <c r="F23" s="701" t="inlineStr">
        <is>
          <t>CÁT ĐÁ THẠCH ANH</t>
        </is>
      </c>
      <c r="G23" s="701" t="inlineStr">
        <is>
          <t>CAT LAI</t>
        </is>
      </c>
      <c r="H23" s="701" t="inlineStr">
        <is>
          <t>KHO NOVA</t>
        </is>
      </c>
      <c r="I23" s="701" t="inlineStr">
        <is>
          <t>TEMU0865268</t>
        </is>
      </c>
      <c r="J23" s="701" t="inlineStr">
        <is>
          <t>51C23619</t>
        </is>
      </c>
      <c r="K23" s="701" t="n">
        <v>3</v>
      </c>
      <c r="L23" s="701" t="n"/>
      <c r="M23" s="701" t="n"/>
      <c r="N23" s="796" t="n">
        <v>81085</v>
      </c>
      <c r="O23" s="797">
        <f>N23/(K23+L23)</f>
        <v/>
      </c>
      <c r="X23" s="727" t="n"/>
    </row>
    <row r="24" ht="27" customFormat="1" customHeight="1" s="758">
      <c r="A24" s="727" t="n"/>
      <c r="B24" s="727" t="n"/>
      <c r="C24" s="727" t="n"/>
      <c r="D24" s="727" t="n"/>
      <c r="E24" s="727" t="n"/>
      <c r="F24" s="727" t="n"/>
      <c r="G24" s="727" t="n"/>
      <c r="H24" s="727" t="n"/>
      <c r="I24" t="inlineStr">
        <is>
          <t>SNBU2437935</t>
        </is>
      </c>
      <c r="J24" t="inlineStr">
        <is>
          <t>51C62954</t>
        </is>
      </c>
      <c r="K24" s="727" t="n"/>
      <c r="L24" s="727" t="n"/>
      <c r="M24" s="727" t="n"/>
      <c r="N24" s="727" t="n"/>
      <c r="O24" s="727" t="n"/>
    </row>
    <row r="25" ht="30.75" customFormat="1" customHeight="1" s="758">
      <c r="A25" s="709" t="n"/>
      <c r="B25" s="709" t="n"/>
      <c r="C25" s="709" t="n"/>
      <c r="D25" s="709" t="n"/>
      <c r="E25" s="709" t="n"/>
      <c r="F25" s="709" t="n"/>
      <c r="G25" s="709" t="n"/>
      <c r="H25" s="709" t="n"/>
      <c r="I25" t="inlineStr">
        <is>
          <t>SNBU2298444</t>
        </is>
      </c>
      <c r="J25" t="inlineStr">
        <is>
          <t>50H54376</t>
        </is>
      </c>
      <c r="K25" s="709" t="n"/>
      <c r="L25" s="709" t="n"/>
      <c r="M25" s="709" t="n"/>
      <c r="N25" s="709" t="n"/>
      <c r="O25" s="709" t="n"/>
    </row>
    <row r="26" ht="29.25" customFormat="1" customHeight="1" s="758">
      <c r="A26" s="727" t="n"/>
      <c r="B26" s="701" t="inlineStr">
        <is>
          <t>107622350730</t>
        </is>
      </c>
      <c r="C26" s="701" t="inlineStr">
        <is>
          <t>17/10/2025</t>
        </is>
      </c>
      <c r="D26" s="701" t="inlineStr">
        <is>
          <t xml:space="preserve">A33FX99445 </t>
        </is>
      </c>
      <c r="E26" s="701" t="inlineStr">
        <is>
          <t>XL-HD251005</t>
        </is>
      </c>
      <c r="F26" s="701" t="inlineStr">
        <is>
          <t>TẤM ĐÁ THẠCH ANH</t>
        </is>
      </c>
      <c r="G26" s="701" t="inlineStr">
        <is>
          <t>CAT LAI</t>
        </is>
      </c>
      <c r="H26" s="701" t="inlineStr">
        <is>
          <t>KHO NOVA</t>
        </is>
      </c>
      <c r="I26" s="701" t="inlineStr">
        <is>
          <t>IAAU2829206</t>
        </is>
      </c>
      <c r="J26" s="701" t="inlineStr">
        <is>
          <t>50H05655</t>
        </is>
      </c>
      <c r="K26" s="701" t="n">
        <v>2</v>
      </c>
      <c r="L26" s="701" t="n"/>
      <c r="M26" s="701" t="n"/>
      <c r="N26" s="796" t="n">
        <v>54017.13</v>
      </c>
      <c r="O26" s="797">
        <f>N26/(K26+L26)</f>
        <v/>
      </c>
      <c r="P26" s="191" t="n"/>
      <c r="Q26" s="354" t="n"/>
      <c r="R26" s="498" t="n"/>
      <c r="S26" s="498" t="n"/>
      <c r="T26" s="512" t="n"/>
      <c r="U26" s="253" t="n"/>
      <c r="V26" s="761" t="n"/>
      <c r="W26" s="512" t="n"/>
      <c r="X26" s="727" t="n"/>
      <c r="Y26" s="498" t="n"/>
      <c r="Z26" s="498" t="n"/>
      <c r="AA26" s="410" t="n"/>
    </row>
    <row r="27" ht="18.75" customFormat="1" customHeight="1" s="758">
      <c r="A27" s="727" t="n"/>
      <c r="B27" s="709" t="n"/>
      <c r="C27" s="709" t="n"/>
      <c r="D27" s="709" t="n"/>
      <c r="E27" s="709" t="n"/>
      <c r="F27" s="709" t="n"/>
      <c r="G27" s="709" t="n"/>
      <c r="H27" s="709" t="n"/>
      <c r="I27" t="inlineStr">
        <is>
          <t>IAAU2942608</t>
        </is>
      </c>
      <c r="J27" t="inlineStr">
        <is>
          <t>50H17748</t>
        </is>
      </c>
      <c r="K27" s="709" t="n"/>
      <c r="L27" s="709" t="n"/>
      <c r="M27" s="709" t="n"/>
      <c r="N27" s="709" t="n"/>
      <c r="O27" s="709" t="n"/>
    </row>
    <row r="28" ht="18.75" customFormat="1" customHeight="1" s="758">
      <c r="A28" s="727" t="n"/>
      <c r="B28" s="701" t="inlineStr">
        <is>
          <t>107622876430</t>
        </is>
      </c>
      <c r="C28" s="701" t="inlineStr">
        <is>
          <t>17/10/2025</t>
        </is>
      </c>
      <c r="D28" s="701" t="inlineStr">
        <is>
          <t>MO2541SSGT397</t>
        </is>
      </c>
      <c r="E28" s="701" t="inlineStr">
        <is>
          <t>XL-NV2507</t>
        </is>
      </c>
      <c r="F28" s="701" t="inlineStr">
        <is>
          <t>CÁT ĐÁ THẠCH ANH</t>
        </is>
      </c>
      <c r="G28" s="701" t="inlineStr">
        <is>
          <t>HIỆP PHƯỚC</t>
        </is>
      </c>
      <c r="H28" s="701" t="inlineStr">
        <is>
          <t>KHO NOVA</t>
        </is>
      </c>
      <c r="I28" s="701" t="inlineStr">
        <is>
          <t>SEGU3507256</t>
        </is>
      </c>
      <c r="J28" s="701" t="inlineStr">
        <is>
          <t>50H17748</t>
        </is>
      </c>
      <c r="K28" s="701" t="n">
        <v>2</v>
      </c>
      <c r="L28" s="701" t="n"/>
      <c r="M28" s="701" t="n"/>
      <c r="N28" s="796" t="n">
        <v>46280</v>
      </c>
      <c r="O28" s="797">
        <f>N28/(K28+L28)</f>
        <v/>
      </c>
      <c r="X28" s="727" t="n"/>
    </row>
    <row r="29" ht="18.75" customFormat="1" customHeight="1" s="758">
      <c r="A29" s="727" t="n"/>
      <c r="B29" s="709" t="n"/>
      <c r="C29" s="709" t="n"/>
      <c r="D29" s="709" t="n"/>
      <c r="E29" s="709" t="n"/>
      <c r="F29" s="709" t="n"/>
      <c r="G29" s="709" t="n"/>
      <c r="H29" s="709" t="n"/>
      <c r="I29" t="inlineStr">
        <is>
          <t>SITU2664264</t>
        </is>
      </c>
      <c r="J29" t="inlineStr">
        <is>
          <t>50H17748</t>
        </is>
      </c>
      <c r="K29" s="709" t="n"/>
      <c r="L29" s="709" t="n"/>
      <c r="M29" s="709" t="n"/>
      <c r="N29" s="709" t="n"/>
      <c r="O29" s="709" t="n"/>
    </row>
    <row r="30" ht="32.25" customFormat="1" customHeight="1" s="758">
      <c r="A30" s="727" t="n"/>
      <c r="B30" s="701" t="inlineStr">
        <is>
          <t>107628656701</t>
        </is>
      </c>
      <c r="C30" s="701" t="inlineStr">
        <is>
          <t>20/10/2025</t>
        </is>
      </c>
      <c r="D30" s="701" t="inlineStr">
        <is>
          <t>SNLFNSVLF44307</t>
        </is>
      </c>
      <c r="E30" s="701" t="inlineStr">
        <is>
          <t>BY20251012</t>
        </is>
      </c>
      <c r="F30" s="701" t="inlineStr">
        <is>
          <t>TẤM ĐÁ THẠCH ANH</t>
        </is>
      </c>
      <c r="G30" s="701" t="inlineStr">
        <is>
          <t>CAT LAI</t>
        </is>
      </c>
      <c r="H30" s="701" t="inlineStr">
        <is>
          <t>KHO NOVA</t>
        </is>
      </c>
      <c r="I30" s="701" t="inlineStr">
        <is>
          <t>SNBU2457171</t>
        </is>
      </c>
      <c r="J30" s="701" t="inlineStr">
        <is>
          <t>50H54376</t>
        </is>
      </c>
      <c r="K30" s="701" t="n">
        <v>1</v>
      </c>
      <c r="L30" s="701" t="n"/>
      <c r="M30" s="701" t="n"/>
      <c r="N30" s="796" t="n">
        <v>27012</v>
      </c>
      <c r="O30" s="797">
        <f>N30/(K30+L30)</f>
        <v/>
      </c>
      <c r="X30" s="727" t="n"/>
    </row>
    <row r="31" ht="23.25" customFormat="1" customHeight="1" s="758">
      <c r="A31" s="727" t="n"/>
      <c r="B31" s="701" t="inlineStr">
        <is>
          <t>107653248510</t>
        </is>
      </c>
      <c r="C31" s="701" t="inlineStr">
        <is>
          <t>28/10/2025</t>
        </is>
      </c>
      <c r="D31" s="701" t="inlineStr">
        <is>
          <t>EGLV147501412551</t>
        </is>
      </c>
      <c r="E31" s="701" t="inlineStr">
        <is>
          <t>XL-HC251014</t>
        </is>
      </c>
      <c r="F31" s="701" t="inlineStr">
        <is>
          <t>CÁT ĐÁ THẠCH ANH</t>
        </is>
      </c>
      <c r="G31" s="701" t="inlineStr">
        <is>
          <t>CAT LAI</t>
        </is>
      </c>
      <c r="H31" s="701" t="inlineStr">
        <is>
          <t>KHO NOVA</t>
        </is>
      </c>
      <c r="I31" s="701" t="inlineStr">
        <is>
          <t>EGSU3614020</t>
        </is>
      </c>
      <c r="J31" s="701" t="inlineStr">
        <is>
          <t>51D09750</t>
        </is>
      </c>
      <c r="K31" s="701" t="n">
        <v>3</v>
      </c>
      <c r="L31" s="701" t="n"/>
      <c r="M31" s="701" t="n"/>
      <c r="N31" s="796" t="n">
        <v>81074</v>
      </c>
      <c r="O31" s="797">
        <f>N31/(K31+L31)</f>
        <v/>
      </c>
      <c r="P31" s="191" t="n"/>
      <c r="Q31" s="354" t="n"/>
      <c r="R31" s="498" t="n"/>
      <c r="S31" s="498" t="n"/>
      <c r="T31" s="761" t="n"/>
      <c r="U31" s="253" t="n"/>
      <c r="V31" s="761" t="n"/>
      <c r="W31" s="512" t="n"/>
      <c r="X31" s="727" t="n"/>
      <c r="Y31" s="498" t="n"/>
      <c r="Z31" s="498" t="n"/>
      <c r="AA31" s="411" t="n"/>
    </row>
    <row r="32" ht="21" customFormat="1" customHeight="1" s="758">
      <c r="A32" s="727" t="n"/>
      <c r="B32" s="727" t="n"/>
      <c r="C32" s="727" t="n"/>
      <c r="D32" s="727" t="n"/>
      <c r="E32" s="727" t="n"/>
      <c r="F32" s="727" t="n"/>
      <c r="G32" s="727" t="n"/>
      <c r="H32" s="727" t="n"/>
      <c r="I32" t="inlineStr">
        <is>
          <t>TRHU3709220</t>
        </is>
      </c>
      <c r="J32" t="inlineStr">
        <is>
          <t>50E15635</t>
        </is>
      </c>
      <c r="K32" s="727" t="n"/>
      <c r="L32" s="727" t="n"/>
      <c r="M32" s="727" t="n"/>
      <c r="N32" s="727" t="n"/>
      <c r="O32" s="727" t="n"/>
    </row>
    <row r="33" ht="30" customFormat="1" customHeight="1" s="758">
      <c r="A33" s="727" t="n"/>
      <c r="B33" s="709" t="n"/>
      <c r="C33" s="709" t="n"/>
      <c r="D33" s="709" t="n"/>
      <c r="E33" s="709" t="n"/>
      <c r="F33" s="709" t="n"/>
      <c r="G33" s="709" t="n"/>
      <c r="H33" s="709" t="n"/>
      <c r="I33" t="inlineStr">
        <is>
          <t>EGHU3803816</t>
        </is>
      </c>
      <c r="J33" t="inlineStr">
        <is>
          <t>51D09750</t>
        </is>
      </c>
      <c r="K33" s="709" t="n"/>
      <c r="L33" s="709" t="n"/>
      <c r="M33" s="709" t="n"/>
      <c r="N33" s="709" t="n"/>
      <c r="O33" s="709" t="n"/>
    </row>
    <row r="34" hidden="1" ht="23.25" customFormat="1" customHeight="1" s="758">
      <c r="A34" s="727" t="n"/>
      <c r="B34" s="701" t="inlineStr">
        <is>
          <t>107653352220</t>
        </is>
      </c>
      <c r="C34" s="701" t="inlineStr">
        <is>
          <t>28/10/2025</t>
        </is>
      </c>
      <c r="D34" s="701" t="inlineStr">
        <is>
          <t>EGLV147501508982</t>
        </is>
      </c>
      <c r="E34" s="701" t="inlineStr">
        <is>
          <t>XL-HD251017</t>
        </is>
      </c>
      <c r="F34" s="701" t="inlineStr">
        <is>
          <t>CÁT ĐÁ THẠCH ANH</t>
        </is>
      </c>
      <c r="G34" s="701" t="inlineStr">
        <is>
          <t>CAT LAI</t>
        </is>
      </c>
      <c r="H34" s="701" t="inlineStr">
        <is>
          <t>KHO NOVA</t>
        </is>
      </c>
      <c r="I34" s="701" t="inlineStr">
        <is>
          <t>OCGU2000640</t>
        </is>
      </c>
      <c r="J34" s="701" t="inlineStr">
        <is>
          <t>63H05554</t>
        </is>
      </c>
      <c r="K34" s="701" t="n">
        <v>3</v>
      </c>
      <c r="L34" s="701" t="n"/>
      <c r="M34" s="701" t="n"/>
      <c r="N34" s="796" t="n">
        <v>81110</v>
      </c>
      <c r="O34" s="797">
        <f>N34/(K34+L34)</f>
        <v/>
      </c>
      <c r="X34" s="727" t="n"/>
    </row>
    <row r="35" hidden="1" ht="23.25" customFormat="1" customHeight="1" s="758">
      <c r="A35" s="727" t="n"/>
      <c r="B35" s="727" t="n"/>
      <c r="C35" s="727" t="n"/>
      <c r="D35" s="727" t="n"/>
      <c r="E35" s="727" t="n"/>
      <c r="F35" s="727" t="n"/>
      <c r="G35" s="727" t="n"/>
      <c r="H35" s="727" t="n"/>
      <c r="I35" t="inlineStr">
        <is>
          <t>EGHU3678381</t>
        </is>
      </c>
      <c r="J35" t="inlineStr">
        <is>
          <t>50H29647</t>
        </is>
      </c>
      <c r="K35" s="727" t="n"/>
      <c r="L35" s="727" t="n"/>
      <c r="M35" s="727" t="n"/>
      <c r="N35" s="727" t="n"/>
      <c r="O35" s="727" t="n"/>
    </row>
    <row r="36" ht="17.25" customFormat="1" customHeight="1" s="758">
      <c r="A36" s="727" t="n"/>
      <c r="B36" s="709" t="n"/>
      <c r="C36" s="709" t="n"/>
      <c r="D36" s="709" t="n"/>
      <c r="E36" s="709" t="n"/>
      <c r="F36" s="709" t="n"/>
      <c r="G36" s="709" t="n"/>
      <c r="H36" s="709" t="n"/>
      <c r="I36" t="inlineStr">
        <is>
          <t>EGSU2005625</t>
        </is>
      </c>
      <c r="J36" t="inlineStr">
        <is>
          <t>50H54376</t>
        </is>
      </c>
      <c r="K36" s="709" t="n"/>
      <c r="L36" s="709" t="n"/>
      <c r="M36" s="709" t="n"/>
      <c r="N36" s="709" t="n"/>
      <c r="O36" s="709" t="n"/>
    </row>
    <row r="37" ht="17.25" customFormat="1" customHeight="1" s="758">
      <c r="A37" s="727" t="n"/>
      <c r="B37" s="701" t="inlineStr">
        <is>
          <t>107657809010</t>
        </is>
      </c>
      <c r="C37" s="701" t="inlineStr">
        <is>
          <t>29/10/2025</t>
        </is>
      </c>
      <c r="D37" s="701" t="inlineStr">
        <is>
          <t>00000405</t>
        </is>
      </c>
      <c r="E37" s="701" t="inlineStr">
        <is>
          <t>LY-LHY30/31/33-25</t>
        </is>
      </c>
      <c r="F37" s="701" t="n"/>
      <c r="G37" s="701" t="n"/>
      <c r="H37" s="701" t="inlineStr">
        <is>
          <t>KHO NOVA</t>
        </is>
      </c>
      <c r="I37" s="701" t="n"/>
      <c r="J37" s="701" t="n"/>
      <c r="K37" s="701" t="n"/>
      <c r="L37" s="701" t="n"/>
      <c r="M37" s="701" t="n"/>
      <c r="N37" s="701" t="n"/>
      <c r="O37" s="797">
        <f>N37/(K37+L37)</f>
        <v/>
      </c>
      <c r="X37" s="709" t="n"/>
    </row>
    <row r="38" ht="32.25" customFormat="1" customHeight="1" s="758">
      <c r="A38" s="709" t="n"/>
      <c r="B38" s="701" t="n"/>
      <c r="C38" s="701" t="n"/>
      <c r="D38" s="701" t="n"/>
      <c r="E38" s="701" t="n"/>
      <c r="F38" s="701" t="n"/>
      <c r="G38" s="701" t="n"/>
      <c r="H38" s="701" t="n"/>
      <c r="I38" s="701" t="n"/>
      <c r="J38" s="701" t="n"/>
      <c r="K38" s="701" t="n"/>
      <c r="L38" s="701" t="n"/>
      <c r="M38" s="701" t="n"/>
      <c r="N38" s="701" t="n"/>
      <c r="O38" s="701" t="n"/>
      <c r="P38" s="385" t="n"/>
      <c r="Q38" s="753" t="n"/>
      <c r="R38" s="555" t="n"/>
      <c r="S38" s="555" t="n"/>
      <c r="T38" s="368" t="n"/>
      <c r="U38" s="408" t="n"/>
      <c r="V38" s="368" t="n"/>
      <c r="W38" s="556" t="n"/>
      <c r="X38" s="727" t="n"/>
      <c r="Y38" s="414" t="n"/>
      <c r="Z38" s="409" t="n"/>
      <c r="AA38" s="412" t="n"/>
    </row>
    <row r="39" ht="23.25" customFormat="1" customHeight="1" s="758">
      <c r="A39" s="727" t="n"/>
      <c r="B39" s="701" t="n"/>
      <c r="C39" s="701" t="n"/>
      <c r="D39" s="701" t="n"/>
      <c r="E39" s="701" t="n"/>
      <c r="F39" s="701" t="n"/>
      <c r="G39" s="701" t="n"/>
      <c r="H39" s="701" t="n"/>
      <c r="I39" s="701" t="n"/>
      <c r="J39" s="701" t="n"/>
      <c r="K39" s="701" t="n"/>
      <c r="L39" s="701" t="n"/>
      <c r="M39" s="701" t="n"/>
      <c r="N39" s="701" t="n"/>
      <c r="O39" s="701" t="n"/>
      <c r="X39" s="727" t="n"/>
    </row>
    <row r="40" ht="21" customFormat="1" customHeight="1" s="758">
      <c r="A40" s="709" t="n"/>
      <c r="B40" s="701" t="n"/>
      <c r="C40" s="701" t="n"/>
      <c r="D40" s="701" t="n"/>
      <c r="E40" s="701" t="n"/>
      <c r="F40" s="701" t="n"/>
      <c r="G40" s="701" t="n"/>
      <c r="H40" s="701" t="n"/>
      <c r="I40" s="701" t="n"/>
      <c r="J40" s="701" t="n"/>
      <c r="K40" s="701" t="n"/>
      <c r="L40" s="701" t="n"/>
      <c r="M40" s="701" t="n"/>
      <c r="N40" s="701" t="n"/>
      <c r="O40" s="701" t="n"/>
      <c r="X40" s="727" t="n"/>
    </row>
    <row r="41" ht="24.75" customFormat="1" customHeight="1" s="758">
      <c r="A41" s="726" t="n"/>
      <c r="B41" s="701" t="n"/>
      <c r="C41" s="701" t="n"/>
      <c r="D41" s="701" t="n"/>
      <c r="E41" s="701" t="n"/>
      <c r="F41" s="701" t="n"/>
      <c r="G41" s="701" t="n"/>
      <c r="H41" s="701" t="n"/>
      <c r="I41" s="701" t="n"/>
      <c r="J41" s="701" t="n"/>
      <c r="K41" s="701" t="n"/>
      <c r="L41" s="701" t="n"/>
      <c r="M41" s="701" t="n"/>
      <c r="N41" s="701" t="n"/>
      <c r="O41" s="701" t="n"/>
      <c r="P41" s="385" t="n"/>
      <c r="Q41" s="753" t="n"/>
      <c r="R41" s="407" t="n"/>
      <c r="S41" s="384" t="n"/>
      <c r="T41" s="382" t="n"/>
      <c r="U41" s="408" t="n"/>
      <c r="V41" s="382" t="n"/>
      <c r="W41" s="382" t="n"/>
      <c r="X41" s="727" t="n"/>
      <c r="Y41" s="414" t="n"/>
      <c r="Z41" s="409" t="n"/>
      <c r="AA41" s="411" t="n"/>
    </row>
    <row r="42" hidden="1" ht="22.5" customFormat="1" customHeight="1" s="758">
      <c r="A42" s="727" t="n"/>
      <c r="B42" s="701" t="n"/>
      <c r="C42" s="701" t="n"/>
      <c r="D42" s="701" t="n"/>
      <c r="E42" s="701" t="n"/>
      <c r="F42" s="701" t="n"/>
      <c r="G42" s="701" t="n"/>
      <c r="H42" s="701" t="n"/>
      <c r="I42" s="701" t="n"/>
      <c r="J42" s="701" t="n"/>
      <c r="K42" s="701" t="n"/>
      <c r="L42" s="701" t="n"/>
      <c r="M42" s="701" t="n"/>
      <c r="N42" s="701" t="n"/>
      <c r="O42" s="701" t="n"/>
      <c r="X42" s="727" t="n"/>
    </row>
    <row r="43" ht="17.25" customFormat="1" customHeight="1" s="758">
      <c r="A43" s="726" t="n"/>
      <c r="B43" s="701" t="n"/>
      <c r="C43" s="701" t="n"/>
      <c r="D43" s="701" t="n"/>
      <c r="E43" s="701" t="n"/>
      <c r="F43" s="701" t="n"/>
      <c r="G43" s="701" t="n"/>
      <c r="H43" s="701" t="n"/>
      <c r="I43" s="701" t="n"/>
      <c r="J43" s="701" t="n"/>
      <c r="K43" s="701" t="n"/>
      <c r="L43" s="701" t="n"/>
      <c r="M43" s="701" t="n"/>
      <c r="N43" s="701" t="n"/>
      <c r="O43" s="701" t="n"/>
      <c r="P43" s="385" t="n"/>
      <c r="Q43" s="356" t="n"/>
      <c r="R43" s="407" t="n"/>
      <c r="S43" s="384" t="n"/>
      <c r="T43" s="413" t="n"/>
      <c r="U43" s="408" t="n"/>
      <c r="V43" s="382" t="n"/>
      <c r="W43" s="382" t="n"/>
      <c r="X43" s="727" t="n"/>
      <c r="Y43" s="414" t="n"/>
      <c r="Z43" s="409" t="n"/>
      <c r="AA43" s="411" t="n"/>
    </row>
    <row r="44" ht="17.25" customFormat="1" customHeight="1" s="758">
      <c r="A44" s="727" t="n"/>
      <c r="B44" s="701" t="n"/>
      <c r="C44" s="701" t="n"/>
      <c r="D44" s="701" t="n"/>
      <c r="E44" s="701" t="n"/>
      <c r="F44" s="701" t="n"/>
      <c r="G44" s="701" t="n"/>
      <c r="H44" s="701" t="n"/>
      <c r="I44" s="701" t="n"/>
      <c r="J44" s="701" t="n"/>
      <c r="K44" s="701" t="n"/>
      <c r="L44" s="701" t="n"/>
      <c r="M44" s="701" t="n"/>
      <c r="N44" s="701" t="n"/>
      <c r="O44" s="701" t="n"/>
      <c r="X44" s="727" t="n"/>
    </row>
    <row r="45" ht="17.25" customFormat="1" customHeight="1" s="758">
      <c r="A45" s="726" t="n"/>
      <c r="B45" s="701" t="n"/>
      <c r="C45" s="701" t="n"/>
      <c r="D45" s="701" t="n"/>
      <c r="E45" s="701" t="n"/>
      <c r="F45" s="701" t="n"/>
      <c r="G45" s="701" t="n"/>
      <c r="H45" s="701" t="n"/>
      <c r="I45" s="701" t="n"/>
      <c r="J45" s="701" t="n"/>
      <c r="K45" s="701" t="n"/>
      <c r="L45" s="701" t="n"/>
      <c r="M45" s="701" t="n"/>
      <c r="N45" s="701" t="n"/>
      <c r="O45" s="701" t="n"/>
      <c r="P45" s="385" t="n"/>
      <c r="Q45" s="356" t="n"/>
      <c r="R45" s="407" t="n"/>
      <c r="S45" s="384" t="n"/>
      <c r="T45" s="382" t="n"/>
      <c r="U45" s="408" t="n"/>
      <c r="V45" s="382" t="n"/>
      <c r="W45" s="382" t="n"/>
      <c r="X45" s="727" t="n"/>
      <c r="Y45" s="414" t="n"/>
      <c r="Z45" s="409" t="n"/>
      <c r="AA45" s="411" t="n"/>
    </row>
    <row r="46" ht="17.25" customFormat="1" customHeight="1" s="758">
      <c r="A46" s="726" t="n"/>
      <c r="B46" s="701" t="n"/>
      <c r="C46" s="701" t="n"/>
      <c r="D46" s="701" t="n"/>
      <c r="E46" s="701" t="n"/>
      <c r="F46" s="701" t="n"/>
      <c r="G46" s="701" t="n"/>
      <c r="H46" s="701" t="n"/>
      <c r="I46" s="701" t="n"/>
      <c r="J46" s="701" t="n"/>
      <c r="K46" s="701" t="n"/>
      <c r="L46" s="701" t="n"/>
      <c r="M46" s="701" t="n"/>
      <c r="N46" s="701" t="n"/>
      <c r="O46" s="701" t="n"/>
      <c r="P46" s="385" t="n"/>
      <c r="Q46" s="356" t="n"/>
      <c r="R46" s="407" t="n"/>
      <c r="S46" s="384" t="n"/>
      <c r="T46" s="382" t="n"/>
      <c r="U46" s="408" t="n"/>
      <c r="V46" s="382" t="n"/>
      <c r="W46" s="382" t="n"/>
      <c r="X46" s="709" t="n"/>
      <c r="Y46" s="414" t="n"/>
      <c r="Z46" s="409" t="n"/>
      <c r="AA46" s="411" t="n"/>
    </row>
    <row r="47" ht="36" customFormat="1" customHeight="1" s="758">
      <c r="A47" s="727" t="n"/>
      <c r="B47" s="701" t="n"/>
      <c r="C47" s="701" t="n"/>
      <c r="D47" s="701" t="n"/>
      <c r="E47" s="701" t="n"/>
      <c r="F47" s="701" t="n"/>
      <c r="G47" s="701" t="n"/>
      <c r="H47" s="701" t="n"/>
      <c r="I47" s="701" t="n"/>
      <c r="J47" s="701" t="n"/>
      <c r="K47" s="701" t="n"/>
      <c r="L47" s="701" t="n"/>
      <c r="M47" s="701" t="n"/>
      <c r="N47" s="701" t="n"/>
      <c r="O47" s="701" t="n"/>
      <c r="X47" s="727" t="n"/>
    </row>
    <row r="48" ht="23.25" customFormat="1" customHeight="1" s="758">
      <c r="A48" s="727" t="n"/>
      <c r="B48" s="701" t="n"/>
      <c r="C48" s="701" t="n"/>
      <c r="D48" s="701" t="n"/>
      <c r="E48" s="701" t="n"/>
      <c r="F48" s="701" t="n"/>
      <c r="G48" s="701" t="n"/>
      <c r="H48" s="701" t="n"/>
      <c r="I48" s="701" t="n"/>
      <c r="J48" s="701" t="n"/>
      <c r="K48" s="701" t="n"/>
      <c r="L48" s="701" t="n"/>
      <c r="M48" s="701" t="n"/>
      <c r="N48" s="701" t="n"/>
      <c r="O48" s="701" t="n"/>
      <c r="X48" s="727" t="n"/>
    </row>
    <row r="49" ht="21" customFormat="1" customHeight="1" s="758">
      <c r="A49" s="726" t="n"/>
      <c r="B49" s="701" t="n"/>
      <c r="C49" s="701" t="n"/>
      <c r="D49" s="701" t="n"/>
      <c r="E49" s="701" t="n"/>
      <c r="F49" s="701" t="n"/>
      <c r="G49" s="701" t="n"/>
      <c r="H49" s="701" t="n"/>
      <c r="I49" s="701" t="n"/>
      <c r="J49" s="701" t="n"/>
      <c r="K49" s="701" t="n"/>
      <c r="L49" s="701" t="n"/>
      <c r="M49" s="701" t="n"/>
      <c r="N49" s="701" t="n"/>
      <c r="O49" s="701" t="n"/>
      <c r="P49" s="385" t="n"/>
      <c r="Q49" s="356" t="n"/>
      <c r="R49" s="407" t="n"/>
      <c r="S49" s="384" t="n"/>
      <c r="T49" s="382" t="n"/>
      <c r="U49" s="408" t="n"/>
      <c r="V49" s="382" t="n"/>
      <c r="W49" s="382" t="n"/>
      <c r="X49" s="727" t="n"/>
      <c r="Y49" s="414" t="n"/>
      <c r="Z49" s="409" t="n"/>
      <c r="AA49" s="411" t="n"/>
    </row>
    <row r="50" ht="21" customFormat="1" customHeight="1" s="758">
      <c r="A50" s="727" t="n"/>
      <c r="B50" s="701" t="n"/>
      <c r="C50" s="701" t="n"/>
      <c r="D50" s="701" t="n"/>
      <c r="E50" s="701" t="n"/>
      <c r="F50" s="701" t="n"/>
      <c r="G50" s="701" t="n"/>
      <c r="H50" s="701" t="n"/>
      <c r="I50" s="701" t="n"/>
      <c r="J50" s="701" t="n"/>
      <c r="K50" s="701" t="n"/>
      <c r="L50" s="701" t="n"/>
      <c r="M50" s="701" t="n"/>
      <c r="N50" s="701" t="n"/>
      <c r="O50" s="701" t="n"/>
      <c r="X50" s="727" t="n"/>
    </row>
    <row r="51" hidden="1" ht="26.4" customFormat="1" customHeight="1" s="758">
      <c r="A51" s="727" t="n"/>
      <c r="B51" s="701" t="n"/>
      <c r="C51" s="701" t="n"/>
      <c r="D51" s="701" t="n"/>
      <c r="E51" s="701" t="n"/>
      <c r="F51" s="701" t="n"/>
      <c r="G51" s="701" t="n"/>
      <c r="H51" s="701" t="n"/>
      <c r="I51" s="701" t="n"/>
      <c r="J51" s="701" t="n"/>
      <c r="K51" s="701" t="n"/>
      <c r="L51" s="701" t="n"/>
      <c r="M51" s="701" t="n"/>
      <c r="N51" s="701" t="n"/>
      <c r="O51" s="701" t="n"/>
      <c r="X51" s="727" t="n"/>
    </row>
    <row r="52" hidden="1" ht="32.25" customFormat="1" customHeight="1" s="758">
      <c r="A52" s="726" t="n"/>
      <c r="B52" s="701" t="n"/>
      <c r="C52" s="701" t="n"/>
      <c r="D52" s="701" t="n"/>
      <c r="E52" s="701" t="n"/>
      <c r="F52" s="701" t="n"/>
      <c r="G52" s="701" t="n"/>
      <c r="H52" s="701" t="n"/>
      <c r="I52" s="701" t="n"/>
      <c r="J52" s="701" t="n"/>
      <c r="K52" s="701" t="n"/>
      <c r="L52" s="701" t="n"/>
      <c r="M52" s="701" t="n"/>
      <c r="N52" s="701" t="n"/>
      <c r="O52" s="701" t="n"/>
      <c r="Q52" s="356" t="n"/>
      <c r="R52" s="415" t="n"/>
      <c r="S52" s="384" t="n"/>
      <c r="T52" s="382" t="n"/>
      <c r="U52" s="408" t="n"/>
      <c r="V52" s="382" t="n"/>
      <c r="W52" s="416" t="n"/>
      <c r="X52" s="727" t="n"/>
      <c r="Y52" s="414" t="n"/>
      <c r="Z52" s="409" t="n"/>
      <c r="AA52" s="411" t="n"/>
    </row>
    <row r="53" ht="17.25" customFormat="1" customHeight="1" s="758">
      <c r="A53" s="733" t="n">
        <v>2</v>
      </c>
      <c r="B53" s="701" t="n"/>
      <c r="C53" s="701" t="n"/>
      <c r="D53" s="701" t="n"/>
      <c r="E53" s="701" t="n"/>
      <c r="F53" s="701" t="n"/>
      <c r="G53" s="701" t="n"/>
      <c r="H53" s="701" t="n"/>
      <c r="I53" s="701" t="n"/>
      <c r="J53" s="701" t="n"/>
      <c r="K53" s="701" t="n"/>
      <c r="L53" s="701" t="n"/>
      <c r="M53" s="701" t="n"/>
      <c r="N53" s="701" t="n"/>
      <c r="O53" s="701" t="n"/>
      <c r="P53" s="262" t="n"/>
      <c r="Q53" s="357" t="n"/>
      <c r="R53" s="513" t="n"/>
      <c r="S53" s="514" t="n"/>
      <c r="T53" s="512" t="n"/>
      <c r="U53" s="253" t="n"/>
      <c r="V53" s="247" t="n"/>
      <c r="W53" s="247" t="n"/>
      <c r="X53" s="709" t="n"/>
      <c r="Y53" s="262" t="n"/>
      <c r="Z53" s="515" t="n"/>
      <c r="AA53" s="515" t="n"/>
    </row>
    <row r="54" ht="17.25" customFormat="1" customHeight="1" s="758">
      <c r="A54" s="727" t="n"/>
      <c r="B54" s="685" t="n"/>
      <c r="C54" s="685" t="n"/>
      <c r="D54" s="685" t="n"/>
      <c r="E54" s="685" t="n"/>
      <c r="F54" s="685" t="n"/>
      <c r="G54" s="685" t="n"/>
      <c r="H54" s="685" t="n"/>
      <c r="I54" s="685" t="n"/>
      <c r="J54" s="685" t="n"/>
      <c r="K54" s="685" t="n"/>
      <c r="L54" s="685" t="n"/>
      <c r="M54" s="685" t="n"/>
      <c r="N54" s="685" t="n"/>
      <c r="O54" s="685" t="n"/>
      <c r="P54" s="191" t="n"/>
      <c r="Q54" s="354" t="n"/>
      <c r="R54" s="513" t="n"/>
      <c r="S54" s="514" t="n"/>
      <c r="T54" s="512" t="n"/>
      <c r="U54" s="253" t="n"/>
      <c r="V54" s="247" t="n"/>
      <c r="W54" s="247" t="n"/>
      <c r="X54" s="727" t="n"/>
      <c r="Y54" s="262" t="n"/>
      <c r="Z54" s="515" t="n"/>
      <c r="AA54" s="515" t="n"/>
    </row>
    <row r="55" ht="17.25" customFormat="1" customHeight="1" s="758">
      <c r="A55" s="727" t="n"/>
      <c r="B55" s="685" t="n"/>
      <c r="C55" s="685" t="n"/>
      <c r="D55" s="685" t="n"/>
      <c r="E55" s="685" t="n"/>
      <c r="F55" s="685" t="n"/>
      <c r="G55" s="685" t="n"/>
      <c r="H55" s="685" t="n"/>
      <c r="I55" s="685" t="n"/>
      <c r="J55" s="685" t="n"/>
      <c r="K55" s="685" t="n"/>
      <c r="L55" s="685" t="n"/>
      <c r="M55" s="685" t="n"/>
      <c r="N55" s="685" t="n"/>
      <c r="O55" s="685" t="n"/>
      <c r="P55" s="262" t="n"/>
      <c r="Q55" s="354" t="n"/>
      <c r="R55" s="264" t="n"/>
      <c r="S55" s="265" t="n"/>
      <c r="T55" s="761" t="n"/>
      <c r="U55" s="253" t="n"/>
      <c r="V55" s="247" t="n"/>
      <c r="W55" s="247" t="n"/>
      <c r="X55" s="727" t="n"/>
      <c r="Y55" s="262" t="n"/>
      <c r="Z55" s="515" t="n"/>
      <c r="AA55" s="515" t="n"/>
    </row>
    <row r="56" ht="17.25" customFormat="1" customHeight="1" s="758">
      <c r="A56" s="727" t="n"/>
      <c r="B56" s="685" t="n"/>
      <c r="C56" s="685" t="n"/>
      <c r="D56" s="685" t="n"/>
      <c r="E56" s="685" t="n"/>
      <c r="F56" s="685" t="n"/>
      <c r="G56" s="685" t="n"/>
      <c r="H56" s="685" t="n"/>
      <c r="I56" s="685" t="n"/>
      <c r="J56" s="685" t="n"/>
      <c r="K56" s="685" t="n"/>
      <c r="L56" s="685" t="n"/>
      <c r="M56" s="685" t="n"/>
      <c r="N56" s="685" t="n"/>
      <c r="O56" s="685" t="n"/>
      <c r="P56" s="262" t="n"/>
      <c r="Q56" s="354" t="n"/>
      <c r="R56" s="264" t="n"/>
      <c r="S56" s="265" t="n"/>
      <c r="T56" s="761" t="n"/>
      <c r="U56" s="253" t="n"/>
      <c r="V56" s="247" t="n"/>
      <c r="W56" s="247" t="n"/>
      <c r="X56" s="727" t="n"/>
      <c r="Y56" s="262" t="n"/>
      <c r="Z56" s="515" t="n"/>
      <c r="AA56" s="515" t="n"/>
    </row>
    <row r="57" ht="17.25" customFormat="1" customHeight="1" s="758">
      <c r="A57" s="728" t="n"/>
      <c r="B57" s="685" t="n"/>
      <c r="C57" s="685" t="n"/>
      <c r="D57" s="685" t="n"/>
      <c r="E57" s="685" t="n"/>
      <c r="F57" s="685" t="n"/>
      <c r="G57" s="685" t="n"/>
      <c r="H57" s="685" t="n"/>
      <c r="I57" s="685" t="n"/>
      <c r="J57" s="685" t="n"/>
      <c r="K57" s="685" t="n"/>
      <c r="L57" s="685" t="n"/>
      <c r="M57" s="685" t="n"/>
      <c r="N57" s="685" t="n"/>
      <c r="O57" s="685" t="n"/>
      <c r="P57" s="752" t="n"/>
      <c r="Q57" s="753" t="n"/>
      <c r="R57" s="764" t="n"/>
      <c r="S57" s="744" t="n"/>
      <c r="T57" s="741" t="n"/>
      <c r="U57" s="198" t="n"/>
      <c r="V57" s="741" t="n"/>
      <c r="W57" s="741" t="n"/>
      <c r="X57" s="727" t="n"/>
      <c r="Y57" s="745" t="n"/>
      <c r="Z57" s="186" t="n"/>
      <c r="AA57" s="242" t="n"/>
    </row>
    <row r="58" ht="26.25" customFormat="1" customHeight="1" s="758" thickBot="1">
      <c r="A58" s="728" t="n"/>
      <c r="B58" s="685" t="n"/>
      <c r="C58" s="685" t="n"/>
      <c r="D58" s="685" t="n"/>
      <c r="E58" s="685" t="n"/>
      <c r="F58" s="685" t="n"/>
      <c r="G58" s="685" t="n"/>
      <c r="H58" s="685" t="n"/>
      <c r="I58" s="685" t="n"/>
      <c r="J58" s="685" t="n"/>
      <c r="K58" s="685" t="n"/>
      <c r="L58" s="685" t="n"/>
      <c r="M58" s="685" t="n"/>
      <c r="N58" s="685" t="n"/>
      <c r="O58" s="685" t="n"/>
      <c r="P58" s="752" t="n"/>
      <c r="Q58" s="753" t="n"/>
      <c r="R58" s="764" t="n"/>
      <c r="S58" s="744" t="n"/>
      <c r="T58" s="741" t="n"/>
      <c r="U58" s="198" t="n"/>
      <c r="V58" s="741" t="n"/>
      <c r="W58" s="741" t="n"/>
      <c r="X58" s="727" t="n"/>
      <c r="Y58" s="745" t="n"/>
      <c r="Z58" s="186" t="n"/>
      <c r="AA58" s="242" t="n"/>
    </row>
    <row r="59" ht="21" customFormat="1" customHeight="1" s="758">
      <c r="A59" s="728" t="n"/>
      <c r="B59" s="685" t="n"/>
      <c r="C59" s="685" t="n"/>
      <c r="D59" s="685" t="n"/>
      <c r="E59" s="685" t="n"/>
      <c r="F59" s="685" t="n"/>
      <c r="G59" s="685" t="n"/>
      <c r="H59" s="685" t="n"/>
      <c r="I59" s="685" t="n"/>
      <c r="J59" s="685" t="n"/>
      <c r="K59" s="685" t="n"/>
      <c r="L59" s="685" t="n"/>
      <c r="M59" s="685" t="n"/>
      <c r="N59" s="685" t="n"/>
      <c r="O59" s="685" t="n"/>
      <c r="P59" s="752" t="n"/>
      <c r="Q59" s="753" t="n"/>
      <c r="R59" s="764" t="n"/>
      <c r="S59" s="744" t="n"/>
      <c r="T59" s="741" t="n"/>
      <c r="U59" s="198" t="n"/>
      <c r="V59" s="741" t="n"/>
      <c r="W59" s="741" t="n"/>
      <c r="X59" s="727" t="n"/>
      <c r="Y59" s="745" t="n"/>
      <c r="Z59" s="186" t="n"/>
      <c r="AA59" s="242" t="n"/>
    </row>
    <row r="60" ht="28.5" customFormat="1" customHeight="1" s="758">
      <c r="A60" s="728" t="n"/>
      <c r="B60" s="685" t="n"/>
      <c r="C60" s="685" t="n"/>
      <c r="D60" s="685" t="n"/>
      <c r="E60" s="685" t="n"/>
      <c r="F60" s="685" t="n"/>
      <c r="G60" s="685" t="n"/>
      <c r="H60" s="685" t="n"/>
      <c r="I60" s="685" t="n"/>
      <c r="J60" s="685" t="n"/>
      <c r="K60" s="685" t="n"/>
      <c r="L60" s="685" t="n"/>
      <c r="M60" s="685" t="n"/>
      <c r="N60" s="685" t="n"/>
      <c r="O60" s="685" t="n"/>
      <c r="P60" s="752" t="n"/>
      <c r="Q60" s="753" t="n"/>
      <c r="R60" s="764" t="n"/>
      <c r="S60" s="744" t="n"/>
      <c r="T60" s="741" t="n"/>
      <c r="U60" s="198" t="n"/>
      <c r="V60" s="741" t="n"/>
      <c r="W60" s="741" t="n"/>
      <c r="X60" s="727" t="n"/>
      <c r="Y60" s="745" t="n"/>
      <c r="Z60" s="186" t="n"/>
      <c r="AA60" s="242" t="n"/>
    </row>
    <row r="61" ht="28.5" customFormat="1" customHeight="1" s="758">
      <c r="A61" s="621" t="n">
        <v>3</v>
      </c>
      <c r="B61" s="685" t="n"/>
      <c r="C61" s="685" t="n"/>
      <c r="D61" s="685" t="n"/>
      <c r="E61" s="685" t="n"/>
      <c r="F61" s="685" t="n"/>
      <c r="G61" s="685" t="n"/>
      <c r="H61" s="685" t="n"/>
      <c r="I61" s="685" t="n"/>
      <c r="J61" s="685" t="n"/>
      <c r="K61" s="685" t="n"/>
      <c r="L61" s="685" t="n"/>
      <c r="M61" s="685" t="n"/>
      <c r="N61" s="685" t="n"/>
      <c r="O61" s="685" t="n"/>
      <c r="P61" s="498" t="n"/>
      <c r="Q61" s="354" t="n"/>
      <c r="R61" s="192" t="n"/>
      <c r="S61" s="188" t="n"/>
      <c r="T61" s="761" t="n"/>
      <c r="U61" s="762" t="n"/>
      <c r="V61" s="761" t="n"/>
      <c r="W61" s="761" t="n"/>
      <c r="X61" s="727" t="n"/>
      <c r="Y61" s="191" t="n"/>
      <c r="Z61" s="186" t="n"/>
      <c r="AA61" s="501" t="n"/>
    </row>
    <row r="62" ht="28.5" customFormat="1" customHeight="1" s="758">
      <c r="A62" s="727" t="n"/>
      <c r="B62" s="685" t="n"/>
      <c r="C62" s="685" t="n"/>
      <c r="D62" s="685" t="n"/>
      <c r="E62" s="685" t="n"/>
      <c r="F62" s="685" t="n"/>
      <c r="G62" s="685" t="n"/>
      <c r="H62" s="685" t="n"/>
      <c r="I62" s="685" t="n"/>
      <c r="J62" s="685" t="n"/>
      <c r="K62" s="685" t="n"/>
      <c r="L62" s="685" t="n"/>
      <c r="M62" s="685" t="n"/>
      <c r="N62" s="685" t="n"/>
      <c r="O62" s="685" t="n"/>
      <c r="P62" s="498" t="n"/>
      <c r="Q62" s="354" t="n"/>
      <c r="R62" s="192" t="n"/>
      <c r="S62" s="188" t="n"/>
      <c r="T62" s="761" t="n"/>
      <c r="U62" s="762" t="n"/>
      <c r="V62" s="761" t="n"/>
      <c r="W62" s="761" t="n"/>
      <c r="X62" s="727" t="n"/>
      <c r="Y62" s="191" t="n"/>
      <c r="Z62" s="186" t="n"/>
      <c r="AA62" s="235" t="n"/>
    </row>
    <row r="63" ht="17.25" customFormat="1" customHeight="1" s="758">
      <c r="A63" s="709" t="n"/>
      <c r="B63" s="685" t="n"/>
      <c r="C63" s="685" t="n"/>
      <c r="D63" s="685" t="n"/>
      <c r="E63" s="685" t="n"/>
      <c r="F63" s="685" t="n"/>
      <c r="G63" s="685" t="n"/>
      <c r="H63" s="685" t="n"/>
      <c r="I63" s="685" t="n"/>
      <c r="J63" s="685" t="n"/>
      <c r="K63" s="685" t="n"/>
      <c r="L63" s="685" t="n"/>
      <c r="M63" s="685" t="n"/>
      <c r="N63" s="685" t="n"/>
      <c r="O63" s="685" t="n"/>
      <c r="P63" s="262" t="n"/>
      <c r="Q63" s="354" t="n"/>
      <c r="R63" s="192" t="n"/>
      <c r="S63" s="188" t="n"/>
      <c r="T63" s="761" t="n"/>
      <c r="U63" s="762" t="n"/>
      <c r="V63" s="761" t="n"/>
      <c r="W63" s="761" t="n"/>
      <c r="X63" s="727" t="n"/>
      <c r="Y63" s="191" t="n"/>
      <c r="Z63" s="186" t="n"/>
      <c r="AA63" s="242" t="n"/>
    </row>
    <row r="64" ht="17.25" customFormat="1" customHeight="1" s="758">
      <c r="A64" s="709" t="n"/>
      <c r="B64" s="685" t="n"/>
      <c r="C64" s="685" t="n"/>
      <c r="D64" s="685" t="n"/>
      <c r="E64" s="685" t="n"/>
      <c r="F64" s="685" t="n"/>
      <c r="G64" s="685" t="n"/>
      <c r="H64" s="685" t="n"/>
      <c r="I64" s="685" t="n"/>
      <c r="J64" s="685" t="n"/>
      <c r="K64" s="685" t="n"/>
      <c r="L64" s="685" t="n"/>
      <c r="M64" s="685" t="n"/>
      <c r="N64" s="685" t="n"/>
      <c r="O64" s="685" t="n"/>
      <c r="P64" s="499" t="n"/>
      <c r="Q64" s="500" t="n"/>
      <c r="R64" s="191" t="n"/>
      <c r="S64" s="191" t="n"/>
      <c r="T64" s="761" t="n"/>
      <c r="U64" s="762" t="n"/>
      <c r="V64" s="761" t="n"/>
      <c r="W64" s="761" t="n"/>
      <c r="X64" s="727" t="n"/>
      <c r="Y64" s="191" t="n"/>
      <c r="Z64" s="186" t="n"/>
      <c r="AA64" s="242" t="n"/>
    </row>
    <row r="65" ht="17.25" customFormat="1" customHeight="1" s="758">
      <c r="A65" s="728" t="n"/>
      <c r="B65" s="685" t="n"/>
      <c r="C65" s="685" t="n"/>
      <c r="D65" s="685" t="n"/>
      <c r="E65" s="685" t="n"/>
      <c r="F65" s="685" t="n"/>
      <c r="G65" s="685" t="n"/>
      <c r="H65" s="685" t="n"/>
      <c r="I65" s="685" t="n"/>
      <c r="J65" s="685" t="n"/>
      <c r="K65" s="685" t="n"/>
      <c r="L65" s="685" t="n"/>
      <c r="M65" s="685" t="n"/>
      <c r="N65" s="685" t="n"/>
      <c r="O65" s="685" t="n"/>
      <c r="P65" s="345" t="n"/>
      <c r="Q65" s="354" t="n"/>
      <c r="R65" s="245" t="n"/>
      <c r="S65" s="245" t="n"/>
      <c r="T65" s="761" t="n"/>
      <c r="U65" s="762" t="n"/>
      <c r="V65" s="761" t="n"/>
      <c r="W65" s="761" t="n"/>
      <c r="X65" s="727" t="n"/>
      <c r="Y65" s="245" t="n"/>
      <c r="Z65" s="234" t="n"/>
      <c r="AA65" s="242" t="n"/>
    </row>
    <row r="66" ht="17.25" customFormat="1" customHeight="1" s="625">
      <c r="A66" s="403" t="n"/>
      <c r="B66" s="685" t="n"/>
      <c r="C66" s="685" t="n"/>
      <c r="D66" s="685" t="n"/>
      <c r="E66" s="685" t="n"/>
      <c r="F66" s="685" t="n"/>
      <c r="G66" s="685" t="n"/>
      <c r="H66" s="685" t="n"/>
      <c r="I66" s="685" t="n"/>
      <c r="J66" s="685" t="n"/>
      <c r="K66" s="685" t="n"/>
      <c r="L66" s="685" t="n"/>
      <c r="M66" s="685" t="n"/>
      <c r="N66" s="685" t="n"/>
      <c r="O66" s="685" t="n"/>
      <c r="P66" s="366" t="n"/>
      <c r="Q66" s="753" t="n"/>
      <c r="R66" s="764" t="n"/>
      <c r="S66" s="744" t="n"/>
      <c r="T66" s="741" t="n"/>
      <c r="U66" s="198" t="n"/>
      <c r="V66" s="741" t="n"/>
      <c r="W66" s="741" t="n"/>
      <c r="X66" s="727" t="n"/>
      <c r="Y66" s="745" t="n"/>
      <c r="Z66" s="186" t="n"/>
      <c r="AA66" s="242" t="n"/>
    </row>
    <row r="67" ht="26.25" customFormat="1" customHeight="1" s="758">
      <c r="A67" s="404" t="n"/>
      <c r="B67" s="685" t="n"/>
      <c r="C67" s="685" t="n"/>
      <c r="D67" s="685" t="n"/>
      <c r="E67" s="685" t="n"/>
      <c r="F67" s="685" t="n"/>
      <c r="G67" s="685" t="n"/>
      <c r="H67" s="685" t="n"/>
      <c r="I67" s="685" t="n"/>
      <c r="J67" s="685" t="n"/>
      <c r="K67" s="685" t="n"/>
      <c r="L67" s="685" t="n"/>
      <c r="M67" s="685" t="n"/>
      <c r="N67" s="685" t="n"/>
      <c r="O67" s="685" t="n"/>
      <c r="P67" s="405" t="n"/>
      <c r="Q67" s="359" t="n"/>
      <c r="R67" s="255" t="n"/>
      <c r="S67" s="256" t="n"/>
      <c r="T67" s="259" t="n"/>
      <c r="U67" s="258" t="n"/>
      <c r="V67" s="259" t="n"/>
      <c r="W67" s="259" t="n"/>
      <c r="X67" s="727" t="n"/>
      <c r="Y67" s="260" t="n"/>
      <c r="Z67" s="254" t="n"/>
      <c r="AA67" s="261" t="n"/>
    </row>
    <row r="68" ht="21" customFormat="1" customHeight="1" s="758">
      <c r="A68" s="35" t="n"/>
      <c r="B68" s="685" t="n"/>
      <c r="C68" s="685" t="n"/>
      <c r="D68" s="685" t="n"/>
      <c r="E68" s="685" t="n"/>
      <c r="F68" s="685" t="n"/>
      <c r="G68" s="685" t="n"/>
      <c r="H68" s="685" t="n"/>
      <c r="I68" s="685" t="n"/>
      <c r="J68" s="685" t="n"/>
      <c r="K68" s="685" t="n"/>
      <c r="L68" s="685" t="n"/>
      <c r="M68" s="685" t="n"/>
      <c r="N68" s="685" t="n"/>
      <c r="O68" s="685" t="n"/>
      <c r="P68" s="366" t="n"/>
      <c r="Q68" s="356" t="n"/>
      <c r="R68" s="754" t="n"/>
      <c r="S68" s="755" t="n"/>
      <c r="T68" s="759" t="n"/>
      <c r="U68" s="380" t="n"/>
      <c r="V68" s="759" t="n"/>
      <c r="W68" s="759" t="n"/>
      <c r="X68" s="727" t="n"/>
      <c r="Y68" s="302" t="n"/>
      <c r="Z68" s="234" t="n"/>
      <c r="AA68" s="242" t="n"/>
    </row>
    <row r="69" ht="28.5" customFormat="1" customHeight="1" s="758">
      <c r="A69" s="733" t="n">
        <v>4</v>
      </c>
      <c r="B69" s="685" t="n"/>
      <c r="C69" s="685" t="n"/>
      <c r="D69" s="685" t="n"/>
      <c r="E69" s="685" t="n"/>
      <c r="F69" s="685" t="n"/>
      <c r="G69" s="685" t="n"/>
      <c r="H69" s="685" t="n"/>
      <c r="I69" s="685" t="n"/>
      <c r="J69" s="685" t="n"/>
      <c r="K69" s="685" t="n"/>
      <c r="L69" s="685" t="n"/>
      <c r="M69" s="685" t="n"/>
      <c r="N69" s="685" t="n"/>
      <c r="O69" s="685" t="n"/>
      <c r="P69" s="262" t="n"/>
      <c r="Q69" s="357" t="n"/>
      <c r="R69" s="264" t="n"/>
      <c r="S69" s="265" t="n"/>
      <c r="T69" s="761" t="n"/>
      <c r="U69" s="267" t="n"/>
      <c r="V69" s="266" t="n"/>
      <c r="W69" s="266" t="n"/>
      <c r="X69" s="727" t="n"/>
      <c r="Y69" s="262" t="n"/>
      <c r="Z69" s="263" t="n"/>
      <c r="AA69" s="248" t="n"/>
    </row>
    <row r="70" ht="28.5" customFormat="1" customHeight="1" s="758">
      <c r="A70" s="727" t="n"/>
      <c r="B70" s="685" t="n"/>
      <c r="C70" s="685" t="n"/>
      <c r="D70" s="685" t="n"/>
      <c r="E70" s="685" t="n"/>
      <c r="F70" s="685" t="n"/>
      <c r="G70" s="685" t="n"/>
      <c r="H70" s="685" t="n"/>
      <c r="I70" s="685" t="n"/>
      <c r="J70" s="685" t="n"/>
      <c r="K70" s="685" t="n"/>
      <c r="L70" s="685" t="n"/>
      <c r="M70" s="685" t="n"/>
      <c r="N70" s="685" t="n"/>
      <c r="O70" s="685" t="n"/>
      <c r="P70" s="191" t="n"/>
      <c r="Q70" s="354" t="n"/>
      <c r="R70" s="192" t="n"/>
      <c r="S70" s="188" t="n"/>
      <c r="T70" s="761" t="n"/>
      <c r="U70" s="762" t="n"/>
      <c r="V70" s="761" t="n"/>
      <c r="W70" s="761" t="n"/>
      <c r="X70" s="727" t="n"/>
      <c r="Y70" s="191" t="n"/>
      <c r="Z70" s="186" t="n"/>
      <c r="AA70" s="235" t="n"/>
    </row>
    <row r="71" ht="28.5" customFormat="1" customHeight="1" s="758">
      <c r="A71" s="709" t="n"/>
      <c r="B71" s="685" t="n"/>
      <c r="C71" s="685" t="n"/>
      <c r="D71" s="685" t="n"/>
      <c r="E71" s="685" t="n"/>
      <c r="F71" s="685" t="n"/>
      <c r="G71" s="685" t="n"/>
      <c r="H71" s="685" t="n"/>
      <c r="I71" s="685" t="n"/>
      <c r="J71" s="685" t="n"/>
      <c r="K71" s="685" t="n"/>
      <c r="L71" s="685" t="n"/>
      <c r="M71" s="685" t="n"/>
      <c r="N71" s="685" t="n"/>
      <c r="O71" s="685" t="n"/>
      <c r="P71" s="262" t="n"/>
      <c r="Q71" s="354" t="n"/>
      <c r="R71" s="192" t="n"/>
      <c r="S71" s="188" t="n"/>
      <c r="T71" s="761" t="n"/>
      <c r="U71" s="762" t="n"/>
      <c r="V71" s="761" t="n"/>
      <c r="W71" s="761" t="n"/>
      <c r="X71" s="727" t="n"/>
      <c r="Y71" s="191" t="n"/>
      <c r="Z71" s="186" t="n"/>
      <c r="AA71" s="242" t="n"/>
    </row>
    <row r="72" ht="28.5" customFormat="1" customHeight="1" s="758">
      <c r="A72" s="346" t="n"/>
      <c r="B72" s="685" t="n"/>
      <c r="C72" s="685" t="n"/>
      <c r="D72" s="685" t="n"/>
      <c r="E72" s="685" t="n"/>
      <c r="F72" s="685" t="n"/>
      <c r="G72" s="685" t="n"/>
      <c r="H72" s="685" t="n"/>
      <c r="I72" s="685" t="n"/>
      <c r="J72" s="685" t="n"/>
      <c r="K72" s="685" t="n"/>
      <c r="L72" s="685" t="n"/>
      <c r="M72" s="685" t="n"/>
      <c r="N72" s="685" t="n"/>
      <c r="O72" s="685" t="n"/>
      <c r="P72" s="559" t="n"/>
      <c r="Q72" s="357" t="n"/>
      <c r="R72" s="192" t="n"/>
      <c r="S72" s="192" t="n"/>
      <c r="T72" s="192" t="n"/>
      <c r="U72" s="762" t="n"/>
      <c r="V72" s="761" t="n"/>
      <c r="W72" s="761" t="n"/>
      <c r="X72" s="727" t="n"/>
      <c r="Y72" s="191" t="n"/>
      <c r="Z72" s="186" t="n"/>
      <c r="AA72" s="242" t="n"/>
    </row>
    <row r="73" ht="17.25" customFormat="1" customHeight="1" s="758">
      <c r="A73" s="735" t="n"/>
      <c r="B73" s="685" t="n"/>
      <c r="C73" s="685" t="n"/>
      <c r="D73" s="685" t="n"/>
      <c r="E73" s="685" t="n"/>
      <c r="F73" s="685" t="n"/>
      <c r="G73" s="685" t="n"/>
      <c r="H73" s="685" t="n"/>
      <c r="I73" s="685" t="n"/>
      <c r="J73" s="685" t="n"/>
      <c r="K73" s="685" t="n"/>
      <c r="L73" s="685" t="n"/>
      <c r="M73" s="685" t="n"/>
      <c r="N73" s="685" t="n"/>
      <c r="O73" s="685" t="n"/>
      <c r="P73" s="366" t="n"/>
      <c r="Q73" s="753" t="n"/>
      <c r="R73" s="764" t="n"/>
      <c r="S73" s="744" t="n"/>
      <c r="T73" s="741" t="n"/>
      <c r="U73" s="198" t="n"/>
      <c r="V73" s="741" t="n"/>
      <c r="W73" s="741" t="n"/>
      <c r="X73" s="727" t="n"/>
      <c r="Y73" s="745" t="n"/>
      <c r="Z73" s="186" t="n"/>
      <c r="AA73" s="242" t="n"/>
    </row>
    <row r="74" ht="17.25" customFormat="1" customHeight="1" s="758">
      <c r="A74" s="719" t="n"/>
      <c r="B74" s="685" t="n"/>
      <c r="C74" s="685" t="n"/>
      <c r="D74" s="685" t="n"/>
      <c r="E74" s="685" t="n"/>
      <c r="F74" s="685" t="n"/>
      <c r="G74" s="685" t="n"/>
      <c r="H74" s="685" t="n"/>
      <c r="I74" s="685" t="n"/>
      <c r="J74" s="685" t="n"/>
      <c r="K74" s="685" t="n"/>
      <c r="L74" s="685" t="n"/>
      <c r="M74" s="685" t="n"/>
      <c r="N74" s="685" t="n"/>
      <c r="O74" s="685" t="n"/>
      <c r="P74" s="752" t="n"/>
      <c r="Q74" s="753" t="n"/>
      <c r="R74" s="764" t="n"/>
      <c r="S74" s="744" t="n"/>
      <c r="T74" s="741" t="n"/>
      <c r="U74" s="198" t="n"/>
      <c r="V74" s="741" t="n"/>
      <c r="W74" s="741" t="n"/>
      <c r="X74" s="727" t="n"/>
      <c r="Y74" s="745" t="n"/>
      <c r="Z74" s="186" t="n"/>
      <c r="AA74" s="242" t="n"/>
    </row>
    <row r="75" ht="17.25" customFormat="1" customHeight="1" s="758">
      <c r="A75" s="728" t="n"/>
      <c r="B75" s="685" t="n"/>
      <c r="C75" s="685" t="n"/>
      <c r="D75" s="685" t="n"/>
      <c r="E75" s="685" t="n"/>
      <c r="F75" s="685" t="n"/>
      <c r="G75" s="685" t="n"/>
      <c r="H75" s="685" t="n"/>
      <c r="I75" s="685" t="n"/>
      <c r="J75" s="685" t="n"/>
      <c r="K75" s="685" t="n"/>
      <c r="L75" s="685" t="n"/>
      <c r="M75" s="685" t="n"/>
      <c r="N75" s="685" t="n"/>
      <c r="O75" s="685" t="n"/>
      <c r="P75" s="752" t="n"/>
      <c r="Q75" s="753" t="n"/>
      <c r="R75" s="764" t="n"/>
      <c r="S75" s="744" t="n"/>
      <c r="T75" s="741" t="n"/>
      <c r="U75" s="198" t="n"/>
      <c r="V75" s="741" t="n"/>
      <c r="W75" s="741" t="n"/>
      <c r="X75" s="727" t="n"/>
      <c r="Y75" s="745" t="n"/>
      <c r="Z75" s="186" t="n"/>
      <c r="AA75" s="242" t="n"/>
    </row>
    <row r="76" ht="17.25" customFormat="1" customHeight="1" s="625" thickBot="1">
      <c r="A76" s="728" t="n"/>
      <c r="B76" s="685" t="n"/>
      <c r="C76" s="685" t="n"/>
      <c r="D76" s="685" t="n"/>
      <c r="E76" s="685" t="n"/>
      <c r="F76" s="685" t="n"/>
      <c r="G76" s="685" t="n"/>
      <c r="H76" s="685" t="n"/>
      <c r="I76" s="685" t="n"/>
      <c r="J76" s="685" t="n"/>
      <c r="K76" s="685" t="n"/>
      <c r="L76" s="685" t="n"/>
      <c r="M76" s="685" t="n"/>
      <c r="N76" s="685" t="n"/>
      <c r="O76" s="685" t="n"/>
      <c r="P76" s="752" t="n"/>
      <c r="Q76" s="753" t="n"/>
      <c r="R76" s="764" t="n"/>
      <c r="S76" s="744" t="n"/>
      <c r="T76" s="741" t="n"/>
      <c r="U76" s="198" t="n"/>
      <c r="V76" s="741" t="n"/>
      <c r="W76" s="741" t="n"/>
      <c r="X76" s="727" t="n"/>
      <c r="Y76" s="745" t="n"/>
      <c r="Z76" s="186" t="n"/>
      <c r="AA76" s="242" t="n"/>
    </row>
    <row r="77" ht="23.25" customFormat="1" customHeight="1" s="758">
      <c r="A77" s="35" t="n"/>
      <c r="B77" s="685" t="n"/>
      <c r="C77" s="685" t="n"/>
      <c r="D77" s="685" t="n"/>
      <c r="E77" s="685" t="n"/>
      <c r="F77" s="685" t="n"/>
      <c r="G77" s="685" t="n"/>
      <c r="H77" s="685" t="n"/>
      <c r="I77" s="685" t="n"/>
      <c r="J77" s="685" t="n"/>
      <c r="K77" s="685" t="n"/>
      <c r="L77" s="685" t="n"/>
      <c r="M77" s="685" t="n"/>
      <c r="N77" s="685" t="n"/>
      <c r="O77" s="685" t="n"/>
      <c r="P77" s="752" t="n"/>
      <c r="Q77" s="753" t="n"/>
      <c r="R77" s="764" t="n"/>
      <c r="S77" s="744" t="n"/>
      <c r="T77" s="741" t="n"/>
      <c r="U77" s="198" t="n"/>
      <c r="V77" s="741" t="n"/>
      <c r="W77" s="741" t="n"/>
      <c r="X77" s="727" t="n"/>
      <c r="Y77" s="745" t="n"/>
      <c r="Z77" s="186" t="n"/>
      <c r="AA77" s="242" t="n"/>
    </row>
    <row r="78" ht="21" customFormat="1" customHeight="1" s="758">
      <c r="A78" s="621" t="n">
        <v>5</v>
      </c>
      <c r="B78" s="685" t="n"/>
      <c r="C78" s="685" t="n"/>
      <c r="D78" s="685" t="n"/>
      <c r="E78" s="685" t="n"/>
      <c r="F78" s="685" t="n"/>
      <c r="G78" s="685" t="n"/>
      <c r="H78" s="685" t="n"/>
      <c r="I78" s="685" t="n"/>
      <c r="J78" s="685" t="n"/>
      <c r="K78" s="685" t="n"/>
      <c r="L78" s="685" t="n"/>
      <c r="M78" s="685" t="n"/>
      <c r="N78" s="685" t="n"/>
      <c r="O78" s="685" t="n"/>
      <c r="P78" s="191" t="n"/>
      <c r="Q78" s="354" t="n"/>
      <c r="R78" s="192" t="n"/>
      <c r="S78" s="188" t="n"/>
      <c r="T78" s="761" t="n"/>
      <c r="U78" s="762" t="n"/>
      <c r="V78" s="761" t="n"/>
      <c r="W78" s="761" t="n"/>
      <c r="X78" s="727" t="n"/>
      <c r="Y78" s="191" t="n"/>
      <c r="Z78" s="186" t="n"/>
      <c r="AA78" s="248" t="n"/>
    </row>
    <row r="79" ht="24.75" customFormat="1" customHeight="1" s="758">
      <c r="A79" s="709" t="n"/>
      <c r="B79" s="685" t="n"/>
      <c r="C79" s="685" t="n"/>
      <c r="D79" s="685" t="n"/>
      <c r="E79" s="685" t="n"/>
      <c r="F79" s="685" t="n"/>
      <c r="G79" s="685" t="n"/>
      <c r="H79" s="685" t="n"/>
      <c r="I79" s="685" t="n"/>
      <c r="J79" s="685" t="n"/>
      <c r="K79" s="685" t="n"/>
      <c r="L79" s="685" t="n"/>
      <c r="M79" s="685" t="n"/>
      <c r="N79" s="685" t="n"/>
      <c r="O79" s="685" t="n"/>
      <c r="P79" s="191" t="n"/>
      <c r="Q79" s="354" t="n"/>
      <c r="R79" s="192" t="n"/>
      <c r="S79" s="188" t="n"/>
      <c r="T79" s="761" t="n"/>
      <c r="U79" s="762" t="n"/>
      <c r="V79" s="761" t="n"/>
      <c r="W79" s="761" t="n"/>
      <c r="X79" s="727" t="n"/>
      <c r="Y79" s="191" t="n"/>
      <c r="Z79" s="186" t="n"/>
      <c r="AA79" s="235" t="n"/>
    </row>
    <row r="80" hidden="1" ht="22.5" customFormat="1" customHeight="1" s="758">
      <c r="A80" s="426" t="n"/>
      <c r="B80" s="685" t="n"/>
      <c r="C80" s="685" t="n"/>
      <c r="D80" s="685" t="n"/>
      <c r="E80" s="685" t="n"/>
      <c r="F80" s="685" t="n"/>
      <c r="G80" s="685" t="n"/>
      <c r="H80" s="685" t="n"/>
      <c r="I80" s="685" t="n"/>
      <c r="J80" s="685" t="n"/>
      <c r="K80" s="685" t="n"/>
      <c r="L80" s="685" t="n"/>
      <c r="M80" s="685" t="n"/>
      <c r="N80" s="685" t="n"/>
      <c r="O80" s="685" t="n"/>
      <c r="P80" s="262" t="n"/>
      <c r="Q80" s="354" t="n"/>
      <c r="R80" s="424" t="n"/>
      <c r="S80" s="418" t="n"/>
      <c r="T80" s="761" t="n"/>
      <c r="U80" s="762" t="n"/>
      <c r="V80" s="761" t="n"/>
      <c r="W80" s="761" t="n"/>
      <c r="X80" s="727" t="n"/>
      <c r="Y80" s="191" t="n"/>
      <c r="Z80" s="186" t="n"/>
      <c r="AA80" s="425" t="n"/>
    </row>
    <row r="81" ht="17.25" customFormat="1" customHeight="1" s="758">
      <c r="A81" s="426" t="n"/>
      <c r="B81" s="685" t="n"/>
      <c r="C81" s="685" t="n"/>
      <c r="D81" s="685" t="n"/>
      <c r="E81" s="685" t="n"/>
      <c r="F81" s="685" t="n"/>
      <c r="G81" s="685" t="n"/>
      <c r="H81" s="685" t="n"/>
      <c r="I81" s="685" t="n"/>
      <c r="J81" s="685" t="n"/>
      <c r="K81" s="685" t="n"/>
      <c r="L81" s="685" t="n"/>
      <c r="M81" s="685" t="n"/>
      <c r="N81" s="685" t="n"/>
      <c r="O81" s="685" t="n"/>
      <c r="P81" s="262" t="n"/>
      <c r="Q81" s="354" t="n"/>
      <c r="R81" s="370" t="n"/>
      <c r="S81" s="139" t="n"/>
      <c r="T81" s="761" t="n"/>
      <c r="U81" s="371" t="n"/>
      <c r="V81" s="257" t="n"/>
      <c r="W81" s="257" t="n"/>
      <c r="X81" s="727" t="n"/>
      <c r="Y81" s="191" t="n"/>
      <c r="Z81" s="186" t="n"/>
      <c r="AA81" s="425" t="n"/>
    </row>
    <row r="82" ht="17.25" customFormat="1" customHeight="1" s="758" thickBot="1">
      <c r="A82" s="365" t="n"/>
      <c r="B82" s="685" t="n"/>
      <c r="C82" s="685" t="n"/>
      <c r="D82" s="685" t="n"/>
      <c r="E82" s="685" t="n"/>
      <c r="F82" s="685" t="n"/>
      <c r="G82" s="685" t="n"/>
      <c r="H82" s="685" t="n"/>
      <c r="I82" s="685" t="n"/>
      <c r="J82" s="685" t="n"/>
      <c r="K82" s="685" t="n"/>
      <c r="L82" s="685" t="n"/>
      <c r="M82" s="685" t="n"/>
      <c r="N82" s="685" t="n"/>
      <c r="O82" s="685" t="n"/>
      <c r="P82" s="369" t="n"/>
      <c r="Q82" s="369" t="n"/>
      <c r="R82" s="369" t="n"/>
      <c r="S82" s="369" t="n"/>
      <c r="T82" s="761" t="n"/>
      <c r="U82" s="371" t="n"/>
      <c r="V82" s="257" t="n"/>
      <c r="W82" s="257" t="n"/>
      <c r="X82" s="727" t="n"/>
      <c r="Y82" s="369" t="n"/>
      <c r="Z82" s="254" t="n"/>
      <c r="AA82" s="261" t="n"/>
    </row>
    <row r="83" ht="17.25" customFormat="1" customHeight="1" s="758">
      <c r="A83" s="365" t="n"/>
      <c r="B83" s="685" t="n"/>
      <c r="C83" s="685" t="n"/>
      <c r="D83" s="685" t="n"/>
      <c r="E83" s="685" t="n"/>
      <c r="F83" s="685" t="n"/>
      <c r="G83" s="685" t="n"/>
      <c r="H83" s="685" t="n"/>
      <c r="I83" s="685" t="n"/>
      <c r="J83" s="685" t="n"/>
      <c r="K83" s="685" t="n"/>
      <c r="L83" s="685" t="n"/>
      <c r="M83" s="685" t="n"/>
      <c r="N83" s="685" t="n"/>
      <c r="O83" s="685" t="n"/>
      <c r="P83" s="379" t="n"/>
      <c r="Q83" s="356" t="n"/>
      <c r="R83" s="754" t="n"/>
      <c r="S83" s="755" t="n"/>
      <c r="T83" s="382" t="n"/>
      <c r="U83" s="380" t="n"/>
      <c r="V83" s="759" t="n"/>
      <c r="W83" s="759" t="n"/>
      <c r="X83" s="727" t="n"/>
      <c r="Y83" s="302" t="n"/>
      <c r="Z83" s="234" t="n"/>
      <c r="AA83" s="242" t="n"/>
    </row>
    <row r="84" ht="17.25" customFormat="1" customHeight="1" s="758">
      <c r="A84" s="737" t="n"/>
      <c r="B84" s="685" t="n"/>
      <c r="C84" s="685" t="n"/>
      <c r="D84" s="685" t="n"/>
      <c r="E84" s="685" t="n"/>
      <c r="F84" s="685" t="n"/>
      <c r="G84" s="685" t="n"/>
      <c r="H84" s="685" t="n"/>
      <c r="I84" s="685" t="n"/>
      <c r="J84" s="685" t="n"/>
      <c r="K84" s="685" t="n"/>
      <c r="L84" s="685" t="n"/>
      <c r="M84" s="685" t="n"/>
      <c r="N84" s="685" t="n"/>
      <c r="O84" s="685" t="n"/>
      <c r="P84" s="379" t="n"/>
      <c r="Q84" s="356" t="n"/>
      <c r="R84" s="754" t="n"/>
      <c r="S84" s="755" t="n"/>
      <c r="T84" s="382" t="n"/>
      <c r="U84" s="380" t="n"/>
      <c r="V84" s="759" t="n"/>
      <c r="W84" s="759" t="n"/>
      <c r="X84" s="727" t="n"/>
      <c r="Y84" s="302" t="n"/>
      <c r="Z84" s="234" t="n"/>
      <c r="AA84" s="340" t="n"/>
    </row>
    <row r="85" ht="36" customFormat="1" customHeight="1" s="758">
      <c r="A85" s="344" t="n"/>
      <c r="B85" s="685" t="n"/>
      <c r="C85" s="685" t="n"/>
      <c r="D85" s="685" t="n"/>
      <c r="E85" s="685" t="n"/>
      <c r="F85" s="685" t="n"/>
      <c r="G85" s="685" t="n"/>
      <c r="H85" s="685" t="n"/>
      <c r="I85" s="685" t="n"/>
      <c r="J85" s="685" t="n"/>
      <c r="K85" s="685" t="n"/>
      <c r="L85" s="685" t="n"/>
      <c r="M85" s="685" t="n"/>
      <c r="N85" s="685" t="n"/>
      <c r="O85" s="685" t="n"/>
      <c r="P85" s="381" t="n"/>
      <c r="Q85" s="372" t="n"/>
      <c r="R85" s="373" t="n"/>
      <c r="S85" s="374" t="n"/>
      <c r="T85" s="375" t="n"/>
      <c r="U85" s="376" t="n"/>
      <c r="V85" s="375" t="n"/>
      <c r="W85" s="375" t="n"/>
      <c r="X85" s="727" t="n"/>
      <c r="Y85" s="377" t="n"/>
      <c r="Z85" s="234" t="n"/>
      <c r="AA85" s="378" t="n"/>
    </row>
    <row r="86" ht="23.25" customFormat="1" customHeight="1" s="758">
      <c r="A86" s="728" t="n"/>
      <c r="B86" s="685" t="n"/>
      <c r="C86" s="685" t="n"/>
      <c r="D86" s="685" t="n"/>
      <c r="E86" s="685" t="n"/>
      <c r="F86" s="685" t="n"/>
      <c r="G86" s="685" t="n"/>
      <c r="H86" s="685" t="n"/>
      <c r="I86" s="685" t="n"/>
      <c r="J86" s="685" t="n"/>
      <c r="K86" s="685" t="n"/>
      <c r="L86" s="685" t="n"/>
      <c r="M86" s="685" t="n"/>
      <c r="N86" s="685" t="n"/>
      <c r="O86" s="685" t="n"/>
      <c r="P86" s="379" t="n"/>
      <c r="Q86" s="753" t="n"/>
      <c r="R86" s="764" t="n"/>
      <c r="S86" s="374" t="n"/>
      <c r="T86" s="375" t="n"/>
      <c r="U86" s="198" t="n"/>
      <c r="V86" s="375" t="n"/>
      <c r="W86" s="741" t="n"/>
      <c r="X86" s="727" t="n"/>
      <c r="Y86" s="745" t="n"/>
      <c r="Z86" s="234" t="n"/>
      <c r="AA86" s="242" t="n"/>
    </row>
    <row r="87" ht="21" customFormat="1" customHeight="1" s="758">
      <c r="A87" s="728" t="n"/>
      <c r="B87" s="685" t="n"/>
      <c r="C87" s="685" t="n"/>
      <c r="D87" s="685" t="n"/>
      <c r="E87" s="685" t="n"/>
      <c r="F87" s="685" t="n"/>
      <c r="G87" s="685" t="n"/>
      <c r="H87" s="685" t="n"/>
      <c r="I87" s="685" t="n"/>
      <c r="J87" s="685" t="n"/>
      <c r="K87" s="685" t="n"/>
      <c r="L87" s="685" t="n"/>
      <c r="M87" s="685" t="n"/>
      <c r="N87" s="685" t="n"/>
      <c r="O87" s="685" t="n"/>
      <c r="P87" s="379" t="n"/>
      <c r="Q87" s="359" t="n"/>
      <c r="R87" s="255" t="n"/>
      <c r="S87" s="755" t="n"/>
      <c r="T87" s="383" t="n"/>
      <c r="U87" s="258" t="n"/>
      <c r="V87" s="259" t="n"/>
      <c r="W87" s="259" t="n"/>
      <c r="X87" s="727" t="n"/>
      <c r="Y87" s="260" t="n"/>
      <c r="Z87" s="254" t="n"/>
      <c r="AA87" s="261" t="n"/>
    </row>
    <row r="88" ht="24.75" customFormat="1" customHeight="1" s="758">
      <c r="A88" s="621" t="n">
        <v>6</v>
      </c>
      <c r="B88" s="685" t="n"/>
      <c r="C88" s="685" t="n"/>
      <c r="D88" s="685" t="n"/>
      <c r="E88" s="685" t="n"/>
      <c r="F88" s="685" t="n"/>
      <c r="G88" s="685" t="n"/>
      <c r="H88" s="685" t="n"/>
      <c r="I88" s="685" t="n"/>
      <c r="J88" s="685" t="n"/>
      <c r="K88" s="685" t="n"/>
      <c r="L88" s="685" t="n"/>
      <c r="M88" s="685" t="n"/>
      <c r="N88" s="685" t="n"/>
      <c r="O88" s="685" t="n"/>
      <c r="P88" s="245" t="n"/>
      <c r="Q88" s="427" t="n"/>
      <c r="R88" s="246" t="n"/>
      <c r="S88" s="236" t="n"/>
      <c r="T88" s="247" t="n"/>
      <c r="U88" s="253" t="n"/>
      <c r="V88" s="247" t="n"/>
      <c r="W88" s="247" t="n"/>
      <c r="X88" s="727" t="n"/>
      <c r="Y88" s="245" t="n"/>
      <c r="Z88" s="263" t="n"/>
      <c r="AA88" s="351" t="n"/>
    </row>
    <row r="89" hidden="1" ht="22.5" customFormat="1" customHeight="1" s="758">
      <c r="A89" s="709" t="n"/>
      <c r="B89" s="685" t="n"/>
      <c r="C89" s="685" t="n"/>
      <c r="D89" s="685" t="n"/>
      <c r="E89" s="685" t="n"/>
      <c r="F89" s="685" t="n"/>
      <c r="G89" s="685" t="n"/>
      <c r="H89" s="685" t="n"/>
      <c r="I89" s="685" t="n"/>
      <c r="J89" s="685" t="n"/>
      <c r="K89" s="685" t="n"/>
      <c r="L89" s="685" t="n"/>
      <c r="M89" s="685" t="n"/>
      <c r="N89" s="685" t="n"/>
      <c r="O89" s="685" t="n"/>
      <c r="P89" s="262" t="n"/>
      <c r="Q89" s="427" t="n"/>
      <c r="R89" s="264" t="n"/>
      <c r="S89" s="265" t="n"/>
      <c r="T89" s="266" t="n"/>
      <c r="U89" s="267" t="n"/>
      <c r="V89" s="266" t="n"/>
      <c r="W89" s="266" t="n"/>
      <c r="X89" s="727" t="n"/>
      <c r="Y89" s="262" t="n"/>
      <c r="Z89" s="263" t="n"/>
      <c r="AA89" s="268" t="n"/>
    </row>
    <row r="90" ht="17.25" customFormat="1" customHeight="1" s="758">
      <c r="A90" s="728" t="n"/>
      <c r="B90" s="685" t="n"/>
      <c r="C90" s="685" t="n"/>
      <c r="D90" s="685" t="n"/>
      <c r="E90" s="685" t="n"/>
      <c r="F90" s="685" t="n"/>
      <c r="G90" s="685" t="n"/>
      <c r="H90" s="685" t="n"/>
      <c r="I90" s="685" t="n"/>
      <c r="J90" s="685" t="n"/>
      <c r="K90" s="685" t="n"/>
      <c r="L90" s="685" t="n"/>
      <c r="M90" s="685" t="n"/>
      <c r="N90" s="685" t="n"/>
      <c r="O90" s="685" t="n"/>
      <c r="P90" s="559" t="n"/>
      <c r="Q90" s="357" t="n"/>
      <c r="R90" s="264" t="n"/>
      <c r="S90" s="265" t="n"/>
      <c r="T90" s="266" t="n"/>
      <c r="U90" s="267" t="n"/>
      <c r="V90" s="266" t="n"/>
      <c r="W90" s="266" t="n"/>
      <c r="X90" s="727" t="n"/>
      <c r="Y90" s="262" t="n"/>
      <c r="Z90" s="263" t="n"/>
      <c r="AA90" s="340" t="n"/>
    </row>
    <row r="91" ht="17.25" customFormat="1" customHeight="1" s="758" thickBot="1">
      <c r="A91" s="728" t="n"/>
      <c r="B91" s="685" t="n"/>
      <c r="C91" s="685" t="n"/>
      <c r="D91" s="685" t="n"/>
      <c r="E91" s="685" t="n"/>
      <c r="F91" s="685" t="n"/>
      <c r="G91" s="685" t="n"/>
      <c r="H91" s="685" t="n"/>
      <c r="I91" s="685" t="n"/>
      <c r="J91" s="685" t="n"/>
      <c r="K91" s="685" t="n"/>
      <c r="L91" s="685" t="n"/>
      <c r="M91" s="685" t="n"/>
      <c r="N91" s="685" t="n"/>
      <c r="O91" s="685" t="n"/>
      <c r="P91" s="345" t="n"/>
      <c r="Q91" s="358" t="n"/>
      <c r="R91" s="246" t="n"/>
      <c r="S91" s="236" t="n"/>
      <c r="T91" s="266" t="n"/>
      <c r="U91" s="762" t="n"/>
      <c r="V91" s="761" t="n"/>
      <c r="W91" s="761" t="n"/>
      <c r="X91" s="727" t="n"/>
      <c r="Y91" s="262" t="n"/>
      <c r="Z91" s="263" t="n"/>
      <c r="AA91" s="242" t="n"/>
    </row>
    <row r="92" ht="17.25" customFormat="1" customHeight="1" s="758">
      <c r="A92" s="728" t="n"/>
      <c r="B92" s="685" t="n"/>
      <c r="C92" s="685" t="n"/>
      <c r="D92" s="685" t="n"/>
      <c r="E92" s="685" t="n"/>
      <c r="F92" s="685" t="n"/>
      <c r="G92" s="685" t="n"/>
      <c r="H92" s="685" t="n"/>
      <c r="I92" s="685" t="n"/>
      <c r="J92" s="685" t="n"/>
      <c r="K92" s="685" t="n"/>
      <c r="L92" s="685" t="n"/>
      <c r="M92" s="685" t="n"/>
      <c r="N92" s="685" t="n"/>
      <c r="O92" s="685" t="n"/>
      <c r="P92" s="345" t="n"/>
      <c r="Q92" s="358" t="n"/>
      <c r="R92" s="246" t="n"/>
      <c r="S92" s="236" t="n"/>
      <c r="T92" s="266" t="n"/>
      <c r="U92" s="762" t="n"/>
      <c r="V92" s="761" t="n"/>
      <c r="W92" s="761" t="n"/>
      <c r="X92" s="727" t="n"/>
      <c r="Y92" s="262" t="n"/>
      <c r="Z92" s="263" t="n"/>
      <c r="AA92" s="242" t="n"/>
    </row>
    <row r="93" ht="17.25" customFormat="1" customHeight="1" s="758">
      <c r="A93" s="727" t="n"/>
      <c r="B93" s="685" t="n"/>
      <c r="C93" s="685" t="n"/>
      <c r="D93" s="685" t="n"/>
      <c r="E93" s="685" t="n"/>
      <c r="F93" s="685" t="n"/>
      <c r="G93" s="685" t="n"/>
      <c r="H93" s="685" t="n"/>
      <c r="I93" s="685" t="n"/>
      <c r="J93" s="685" t="n"/>
      <c r="K93" s="685" t="n"/>
      <c r="L93" s="685" t="n"/>
      <c r="M93" s="685" t="n"/>
      <c r="N93" s="685" t="n"/>
      <c r="O93" s="685" t="n"/>
      <c r="P93" s="366" t="n"/>
      <c r="Q93" s="753" t="n"/>
      <c r="R93" s="764" t="n"/>
      <c r="S93" s="744" t="n"/>
      <c r="T93" s="368" t="n"/>
      <c r="U93" s="198" t="n"/>
      <c r="V93" s="741" t="n"/>
      <c r="W93" s="741" t="n"/>
      <c r="X93" s="727" t="n"/>
      <c r="Y93" s="745" t="n"/>
      <c r="Z93" s="186" t="n"/>
      <c r="AA93" s="242" t="n"/>
    </row>
    <row r="94" ht="36" customFormat="1" customHeight="1" s="758">
      <c r="A94" s="727" t="n"/>
      <c r="B94" s="685" t="n"/>
      <c r="C94" s="685" t="n"/>
      <c r="D94" s="685" t="n"/>
      <c r="E94" s="685" t="n"/>
      <c r="F94" s="685" t="n"/>
      <c r="G94" s="685" t="n"/>
      <c r="H94" s="685" t="n"/>
      <c r="I94" s="685" t="n"/>
      <c r="J94" s="685" t="n"/>
      <c r="K94" s="685" t="n"/>
      <c r="L94" s="685" t="n"/>
      <c r="M94" s="685" t="n"/>
      <c r="N94" s="685" t="n"/>
      <c r="O94" s="685" t="n"/>
      <c r="P94" s="366" t="n"/>
      <c r="Q94" s="753" t="n"/>
      <c r="R94" s="764" t="n"/>
      <c r="S94" s="744" t="n"/>
      <c r="T94" s="368" t="n"/>
      <c r="U94" s="198" t="n"/>
      <c r="V94" s="741" t="n"/>
      <c r="W94" s="741" t="n"/>
      <c r="X94" s="727" t="n"/>
      <c r="Y94" s="745" t="n"/>
      <c r="Z94" s="186" t="n"/>
      <c r="AA94" s="242" t="n"/>
    </row>
    <row r="95" ht="23.25" customFormat="1" customHeight="1" s="758" thickBot="1">
      <c r="A95" s="728" t="n"/>
      <c r="B95" s="685" t="n"/>
      <c r="C95" s="685" t="n"/>
      <c r="D95" s="685" t="n"/>
      <c r="E95" s="685" t="n"/>
      <c r="F95" s="685" t="n"/>
      <c r="G95" s="685" t="n"/>
      <c r="H95" s="685" t="n"/>
      <c r="I95" s="685" t="n"/>
      <c r="J95" s="685" t="n"/>
      <c r="K95" s="685" t="n"/>
      <c r="L95" s="685" t="n"/>
      <c r="M95" s="685" t="n"/>
      <c r="N95" s="685" t="n"/>
      <c r="O95" s="685" t="n"/>
      <c r="P95" s="366" t="n"/>
      <c r="Q95" s="753" t="n"/>
      <c r="R95" s="764" t="n"/>
      <c r="S95" s="744" t="n"/>
      <c r="T95" s="368" t="n"/>
      <c r="U95" s="198" t="n"/>
      <c r="V95" s="741" t="n"/>
      <c r="W95" s="741" t="n"/>
      <c r="X95" s="727" t="n"/>
      <c r="Y95" s="745" t="n"/>
      <c r="Z95" s="186" t="n"/>
      <c r="AA95" s="242" t="n"/>
    </row>
    <row r="96" hidden="1" ht="21" customFormat="1" customHeight="1" s="758" thickBot="1">
      <c r="A96" s="35" t="n"/>
      <c r="B96" s="685" t="n"/>
      <c r="C96" s="685" t="n"/>
      <c r="D96" s="685" t="n"/>
      <c r="E96" s="685" t="n"/>
      <c r="F96" s="685" t="n"/>
      <c r="G96" s="685" t="n"/>
      <c r="H96" s="685" t="n"/>
      <c r="I96" s="685" t="n"/>
      <c r="J96" s="685" t="n"/>
      <c r="K96" s="685" t="n"/>
      <c r="L96" s="685" t="n"/>
      <c r="M96" s="685" t="n"/>
      <c r="N96" s="685" t="n"/>
      <c r="O96" s="685" t="n"/>
      <c r="P96" s="624" t="n"/>
      <c r="Q96" s="356" t="n"/>
      <c r="R96" s="754" t="n"/>
      <c r="S96" s="755" t="n"/>
      <c r="T96" s="382" t="n"/>
      <c r="U96" s="380" t="n"/>
      <c r="V96" s="759" t="n"/>
      <c r="W96" s="759" t="n"/>
      <c r="X96" s="727" t="n"/>
      <c r="Y96" s="302" t="n"/>
      <c r="Z96" s="234" t="n"/>
      <c r="AA96" s="242" t="n"/>
    </row>
    <row r="97" ht="24" customFormat="1" customHeight="1" s="632" thickTop="1">
      <c r="A97" s="621" t="n">
        <v>7</v>
      </c>
      <c r="B97" s="685" t="n"/>
      <c r="C97" s="685" t="n"/>
      <c r="D97" s="685" t="n"/>
      <c r="E97" s="685" t="n"/>
      <c r="F97" s="685" t="n"/>
      <c r="G97" s="685" t="n"/>
      <c r="H97" s="685" t="n"/>
      <c r="I97" s="685" t="n"/>
      <c r="J97" s="685" t="n"/>
      <c r="K97" s="685" t="n"/>
      <c r="L97" s="685" t="n"/>
      <c r="M97" s="685" t="n"/>
      <c r="N97" s="685" t="n"/>
      <c r="O97" s="685" t="n"/>
      <c r="P97" s="245" t="n"/>
      <c r="Q97" s="427" t="n"/>
      <c r="R97" s="246" t="n"/>
      <c r="S97" s="236" t="n"/>
      <c r="T97" s="247" t="n"/>
      <c r="U97" s="253" t="n"/>
      <c r="V97" s="247" t="n"/>
      <c r="W97" s="247" t="n"/>
      <c r="X97" s="727" t="n"/>
      <c r="Y97" s="245" t="n"/>
      <c r="Z97" s="263" t="n"/>
      <c r="AA97" s="635" t="n"/>
    </row>
    <row r="98" hidden="1" ht="18.75" customFormat="1" customHeight="1" s="758">
      <c r="A98" s="728" t="n"/>
      <c r="B98" s="685" t="n"/>
      <c r="C98" s="685" t="n"/>
      <c r="D98" s="685" t="n"/>
      <c r="E98" s="685" t="n"/>
      <c r="F98" s="685" t="n"/>
      <c r="G98" s="685" t="n"/>
      <c r="H98" s="685" t="n"/>
      <c r="I98" s="685" t="n"/>
      <c r="J98" s="685" t="n"/>
      <c r="K98" s="685" t="n"/>
      <c r="L98" s="685" t="n"/>
      <c r="M98" s="685" t="n"/>
      <c r="N98" s="685" t="n"/>
      <c r="O98" s="685" t="n"/>
      <c r="P98" s="262" t="n"/>
      <c r="Q98" s="427" t="n"/>
      <c r="R98" s="264" t="n"/>
      <c r="S98" s="265" t="n"/>
      <c r="T98" s="266" t="n"/>
      <c r="U98" s="267" t="n"/>
      <c r="V98" s="266" t="n"/>
      <c r="W98" s="266" t="n"/>
      <c r="X98" s="727" t="n"/>
      <c r="Y98" s="262" t="n"/>
      <c r="Z98" s="263" t="n"/>
      <c r="AA98" s="268" t="n"/>
    </row>
    <row r="99" hidden="1" customFormat="1" s="758">
      <c r="A99" s="728" t="n"/>
      <c r="B99" s="685" t="n"/>
      <c r="C99" s="685" t="n"/>
      <c r="D99" s="685" t="n"/>
      <c r="E99" s="685" t="n"/>
      <c r="F99" s="685" t="n"/>
      <c r="G99" s="685" t="n"/>
      <c r="H99" s="685" t="n"/>
      <c r="I99" s="685" t="n"/>
      <c r="J99" s="685" t="n"/>
      <c r="K99" s="685" t="n"/>
      <c r="L99" s="685" t="n"/>
      <c r="M99" s="685" t="n"/>
      <c r="N99" s="685" t="n"/>
      <c r="O99" s="685" t="n"/>
      <c r="P99" s="262" t="n"/>
      <c r="Q99" s="354" t="n"/>
      <c r="R99" s="264" t="n"/>
      <c r="S99" s="265" t="n"/>
      <c r="T99" s="266" t="n"/>
      <c r="U99" s="267" t="n"/>
      <c r="V99" s="266" t="n"/>
      <c r="W99" s="266" t="n"/>
      <c r="X99" s="727" t="n"/>
      <c r="Y99" s="262" t="n"/>
      <c r="Z99" s="263" t="n"/>
      <c r="AA99" s="340" t="n"/>
    </row>
    <row r="100" hidden="1" customFormat="1" s="758">
      <c r="A100" s="728" t="n"/>
      <c r="B100" s="685" t="n"/>
      <c r="C100" s="685" t="n"/>
      <c r="D100" s="685" t="n"/>
      <c r="E100" s="685" t="n"/>
      <c r="F100" s="685" t="n"/>
      <c r="G100" s="685" t="n"/>
      <c r="H100" s="685" t="n"/>
      <c r="I100" s="685" t="n"/>
      <c r="J100" s="685" t="n"/>
      <c r="K100" s="685" t="n"/>
      <c r="L100" s="685" t="n"/>
      <c r="M100" s="685" t="n"/>
      <c r="N100" s="685" t="n"/>
      <c r="O100" s="685" t="n"/>
      <c r="P100" s="262" t="n"/>
      <c r="Q100" s="427" t="n"/>
      <c r="R100" s="246" t="n"/>
      <c r="S100" s="236" t="n"/>
      <c r="T100" s="266" t="n"/>
      <c r="U100" s="762" t="n"/>
      <c r="V100" s="761" t="n"/>
      <c r="W100" s="761" t="n"/>
      <c r="X100" s="727" t="n"/>
      <c r="Y100" s="262" t="n"/>
      <c r="Z100" s="263" t="n"/>
      <c r="AA100" s="242" t="n"/>
    </row>
    <row r="101" hidden="1" ht="24" customFormat="1" customHeight="1" s="758">
      <c r="A101" s="728" t="n"/>
      <c r="B101" s="685" t="n"/>
      <c r="C101" s="685" t="n"/>
      <c r="D101" s="685" t="n"/>
      <c r="E101" s="685" t="n"/>
      <c r="F101" s="685" t="n"/>
      <c r="G101" s="685" t="n"/>
      <c r="H101" s="685" t="n"/>
      <c r="I101" s="685" t="n"/>
      <c r="J101" s="685" t="n"/>
      <c r="K101" s="685" t="n"/>
      <c r="L101" s="685" t="n"/>
      <c r="M101" s="685" t="n"/>
      <c r="N101" s="685" t="n"/>
      <c r="O101" s="685" t="n"/>
      <c r="P101" s="633" t="n"/>
      <c r="Q101" s="634" t="n"/>
      <c r="R101" s="246" t="n"/>
      <c r="S101" s="236" t="n"/>
      <c r="T101" s="266" t="n"/>
      <c r="U101" s="762" t="n"/>
      <c r="V101" s="761" t="n"/>
      <c r="W101" s="761" t="n"/>
      <c r="X101" s="727" t="n"/>
      <c r="Y101" s="262" t="n"/>
      <c r="Z101" s="263" t="n"/>
      <c r="AA101" s="242" t="n"/>
    </row>
    <row r="102" hidden="1" ht="24" customFormat="1" customHeight="1" s="758">
      <c r="A102" s="727" t="n"/>
      <c r="B102" s="685" t="n"/>
      <c r="C102" s="685" t="n"/>
      <c r="D102" s="685" t="n"/>
      <c r="E102" s="685" t="n"/>
      <c r="F102" s="685" t="n"/>
      <c r="G102" s="685" t="n"/>
      <c r="H102" s="685" t="n"/>
      <c r="I102" s="685" t="n"/>
      <c r="J102" s="685" t="n"/>
      <c r="K102" s="685" t="n"/>
      <c r="L102" s="685" t="n"/>
      <c r="M102" s="685" t="n"/>
      <c r="N102" s="685" t="n"/>
      <c r="O102" s="685" t="n"/>
      <c r="P102" s="633" t="n"/>
      <c r="Q102" s="634" t="n"/>
      <c r="R102" s="246" t="n"/>
      <c r="S102" s="236" t="n"/>
      <c r="T102" s="266" t="n"/>
      <c r="U102" s="762" t="n"/>
      <c r="V102" s="761" t="n"/>
      <c r="W102" s="761" t="n"/>
      <c r="X102" s="727" t="n"/>
      <c r="Y102" s="262" t="n"/>
      <c r="Z102" s="263" t="n"/>
      <c r="AA102" s="242" t="n"/>
    </row>
    <row r="103" hidden="1" ht="24" customFormat="1" customHeight="1" s="758">
      <c r="A103" s="727" t="n"/>
      <c r="B103" s="685" t="n"/>
      <c r="C103" s="685" t="n"/>
      <c r="D103" s="685" t="n"/>
      <c r="E103" s="685" t="n"/>
      <c r="F103" s="685" t="n"/>
      <c r="G103" s="685" t="n"/>
      <c r="H103" s="685" t="n"/>
      <c r="I103" s="685" t="n"/>
      <c r="J103" s="685" t="n"/>
      <c r="K103" s="685" t="n"/>
      <c r="L103" s="685" t="n"/>
      <c r="M103" s="685" t="n"/>
      <c r="N103" s="685" t="n"/>
      <c r="O103" s="685" t="n"/>
      <c r="P103" s="366" t="n"/>
      <c r="Q103" s="753" t="n"/>
      <c r="R103" s="764" t="n"/>
      <c r="S103" s="744" t="n"/>
      <c r="T103" s="368" t="n"/>
      <c r="U103" s="198" t="n"/>
      <c r="V103" s="741" t="n"/>
      <c r="W103" s="741" t="n"/>
      <c r="X103" s="727" t="n"/>
      <c r="Y103" s="745" t="n"/>
      <c r="Z103" s="186" t="n"/>
      <c r="AA103" s="242" t="n"/>
    </row>
    <row r="104" hidden="1" ht="24" customFormat="1" customHeight="1" s="758">
      <c r="A104" s="728" t="n"/>
      <c r="B104" s="685" t="n"/>
      <c r="C104" s="685" t="n"/>
      <c r="D104" s="685" t="n"/>
      <c r="E104" s="685" t="n"/>
      <c r="F104" s="685" t="n"/>
      <c r="G104" s="685" t="n"/>
      <c r="H104" s="685" t="n"/>
      <c r="I104" s="685" t="n"/>
      <c r="J104" s="685" t="n"/>
      <c r="K104" s="685" t="n"/>
      <c r="L104" s="685" t="n"/>
      <c r="M104" s="685" t="n"/>
      <c r="N104" s="685" t="n"/>
      <c r="O104" s="685" t="n"/>
      <c r="P104" s="366" t="n"/>
      <c r="Q104" s="753" t="n"/>
      <c r="R104" s="764" t="n"/>
      <c r="S104" s="744" t="n"/>
      <c r="T104" s="368" t="n"/>
      <c r="U104" s="198" t="n"/>
      <c r="V104" s="741" t="n"/>
      <c r="W104" s="741" t="n"/>
      <c r="X104" s="727" t="n"/>
      <c r="Y104" s="745" t="n"/>
      <c r="Z104" s="186" t="n"/>
      <c r="AA104" s="242" t="n"/>
    </row>
    <row r="105" hidden="1" ht="24" customFormat="1" customHeight="1" s="758">
      <c r="A105" s="728" t="n"/>
      <c r="B105" s="685" t="n"/>
      <c r="C105" s="685" t="n"/>
      <c r="D105" s="685" t="n"/>
      <c r="E105" s="685" t="n"/>
      <c r="F105" s="685" t="n"/>
      <c r="G105" s="685" t="n"/>
      <c r="H105" s="685" t="n"/>
      <c r="I105" s="685" t="n"/>
      <c r="J105" s="685" t="n"/>
      <c r="K105" s="685" t="n"/>
      <c r="L105" s="685" t="n"/>
      <c r="M105" s="685" t="n"/>
      <c r="N105" s="685" t="n"/>
      <c r="O105" s="685" t="n"/>
      <c r="P105" s="366" t="n"/>
      <c r="Q105" s="753" t="n"/>
      <c r="R105" s="764" t="n"/>
      <c r="S105" s="744" t="n"/>
      <c r="T105" s="368" t="n"/>
      <c r="U105" s="198" t="n"/>
      <c r="V105" s="741" t="n"/>
      <c r="W105" s="741" t="n"/>
      <c r="X105" s="727" t="n"/>
      <c r="Y105" s="745" t="n"/>
      <c r="Z105" s="186" t="n"/>
      <c r="AA105" s="242" t="n"/>
    </row>
    <row r="106" hidden="1" ht="24" customFormat="1" customHeight="1" s="758">
      <c r="A106" s="35" t="n"/>
      <c r="B106" s="685" t="n"/>
      <c r="C106" s="685" t="n"/>
      <c r="D106" s="685" t="n"/>
      <c r="E106" s="685" t="n"/>
      <c r="F106" s="685" t="n"/>
      <c r="G106" s="685" t="n"/>
      <c r="H106" s="685" t="n"/>
      <c r="I106" s="685" t="n"/>
      <c r="J106" s="685" t="n"/>
      <c r="K106" s="685" t="n"/>
      <c r="L106" s="685" t="n"/>
      <c r="M106" s="685" t="n"/>
      <c r="N106" s="685" t="n"/>
      <c r="O106" s="685" t="n"/>
      <c r="P106" s="624" t="n"/>
      <c r="Q106" s="356" t="n"/>
      <c r="R106" s="754" t="n"/>
      <c r="S106" s="755" t="n"/>
      <c r="T106" s="382" t="n"/>
      <c r="U106" s="380" t="n"/>
      <c r="V106" s="759" t="n"/>
      <c r="W106" s="759" t="n"/>
      <c r="X106" s="727" t="n"/>
      <c r="Y106" s="302" t="n"/>
      <c r="Z106" s="234" t="n"/>
      <c r="AA106" s="242" t="n"/>
    </row>
    <row r="107" hidden="1" ht="24" customFormat="1" customHeight="1" s="758">
      <c r="A107" s="733" t="n">
        <v>8</v>
      </c>
      <c r="B107" s="685" t="n"/>
      <c r="C107" s="685" t="n"/>
      <c r="D107" s="685" t="n"/>
      <c r="E107" s="685" t="n"/>
      <c r="F107" s="685" t="n"/>
      <c r="G107" s="685" t="n"/>
      <c r="H107" s="685" t="n"/>
      <c r="I107" s="685" t="n"/>
      <c r="J107" s="685" t="n"/>
      <c r="K107" s="685" t="n"/>
      <c r="L107" s="685" t="n"/>
      <c r="M107" s="685" t="n"/>
      <c r="N107" s="685" t="n"/>
      <c r="O107" s="685" t="n"/>
      <c r="P107" s="262" t="n"/>
      <c r="Q107" s="357" t="n"/>
      <c r="R107" s="264" t="n"/>
      <c r="S107" s="265" t="n"/>
      <c r="T107" s="761" t="n"/>
      <c r="U107" s="267" t="n"/>
      <c r="V107" s="266" t="n"/>
      <c r="W107" s="266" t="n"/>
      <c r="X107" s="727" t="n"/>
      <c r="Y107" s="262" t="n"/>
      <c r="Z107" s="263" t="n"/>
      <c r="AA107" s="248" t="n"/>
    </row>
    <row r="108" hidden="1" ht="24" customFormat="1" customHeight="1" s="758">
      <c r="A108" s="727" t="n"/>
      <c r="B108" s="685" t="n"/>
      <c r="C108" s="685" t="n"/>
      <c r="D108" s="685" t="n"/>
      <c r="E108" s="685" t="n"/>
      <c r="F108" s="685" t="n"/>
      <c r="G108" s="685" t="n"/>
      <c r="H108" s="685" t="n"/>
      <c r="I108" s="685" t="n"/>
      <c r="J108" s="685" t="n"/>
      <c r="K108" s="685" t="n"/>
      <c r="L108" s="685" t="n"/>
      <c r="M108" s="685" t="n"/>
      <c r="N108" s="685" t="n"/>
      <c r="O108" s="685" t="n"/>
      <c r="P108" s="191" t="n"/>
      <c r="Q108" s="354" t="n"/>
      <c r="R108" s="192" t="n"/>
      <c r="S108" s="188" t="n"/>
      <c r="T108" s="761" t="n"/>
      <c r="U108" s="762" t="n"/>
      <c r="V108" s="761" t="n"/>
      <c r="W108" s="761" t="n"/>
      <c r="X108" s="727" t="n"/>
      <c r="Y108" s="191" t="n"/>
      <c r="Z108" s="186" t="n"/>
      <c r="AA108" s="235" t="n"/>
    </row>
    <row r="109" hidden="1" ht="24" customFormat="1" customHeight="1" s="758">
      <c r="A109" s="709" t="n"/>
      <c r="B109" s="685" t="n"/>
      <c r="C109" s="685" t="n"/>
      <c r="D109" s="685" t="n"/>
      <c r="E109" s="685" t="n"/>
      <c r="F109" s="685" t="n"/>
      <c r="G109" s="685" t="n"/>
      <c r="H109" s="685" t="n"/>
      <c r="I109" s="685" t="n"/>
      <c r="J109" s="685" t="n"/>
      <c r="K109" s="685" t="n"/>
      <c r="L109" s="685" t="n"/>
      <c r="M109" s="685" t="n"/>
      <c r="N109" s="685" t="n"/>
      <c r="O109" s="685" t="n"/>
      <c r="P109" s="262" t="n"/>
      <c r="Q109" s="354" t="n"/>
      <c r="R109" s="192" t="n"/>
      <c r="S109" s="188" t="n"/>
      <c r="T109" s="761" t="n"/>
      <c r="U109" s="762" t="n"/>
      <c r="V109" s="761" t="n"/>
      <c r="W109" s="761" t="n"/>
      <c r="X109" s="727" t="n"/>
      <c r="Y109" s="191" t="n"/>
      <c r="Z109" s="186" t="n"/>
      <c r="AA109" s="242" t="n"/>
    </row>
    <row r="110" hidden="1" ht="24" customFormat="1" customHeight="1" s="758">
      <c r="A110" s="346" t="n"/>
      <c r="B110" s="685" t="n"/>
      <c r="C110" s="685" t="n"/>
      <c r="D110" s="685" t="n"/>
      <c r="E110" s="685" t="n"/>
      <c r="F110" s="685" t="n"/>
      <c r="G110" s="685" t="n"/>
      <c r="H110" s="685" t="n"/>
      <c r="I110" s="685" t="n"/>
      <c r="J110" s="685" t="n"/>
      <c r="K110" s="685" t="n"/>
      <c r="L110" s="685" t="n"/>
      <c r="M110" s="685" t="n"/>
      <c r="N110" s="685" t="n"/>
      <c r="O110" s="685" t="n"/>
      <c r="P110" s="559" t="n"/>
      <c r="Q110" s="357" t="n"/>
      <c r="R110" s="192" t="n"/>
      <c r="S110" s="192" t="n"/>
      <c r="T110" s="192" t="n"/>
      <c r="U110" s="762" t="n"/>
      <c r="V110" s="761" t="n"/>
      <c r="W110" s="761" t="n"/>
      <c r="X110" s="727" t="n"/>
      <c r="Y110" s="191" t="n"/>
      <c r="Z110" s="186" t="n"/>
      <c r="AA110" s="242" t="n"/>
    </row>
    <row r="111" hidden="1" ht="24" customFormat="1" customHeight="1" s="758">
      <c r="A111" s="735" t="n"/>
      <c r="B111" s="685" t="n"/>
      <c r="C111" s="685" t="n"/>
      <c r="D111" s="685" t="n"/>
      <c r="E111" s="685" t="n"/>
      <c r="F111" s="685" t="n"/>
      <c r="G111" s="685" t="n"/>
      <c r="H111" s="685" t="n"/>
      <c r="I111" s="685" t="n"/>
      <c r="J111" s="685" t="n"/>
      <c r="K111" s="685" t="n"/>
      <c r="L111" s="685" t="n"/>
      <c r="M111" s="685" t="n"/>
      <c r="N111" s="685" t="n"/>
      <c r="O111" s="685" t="n"/>
      <c r="P111" s="366" t="n"/>
      <c r="Q111" s="753" t="n"/>
      <c r="R111" s="764" t="n"/>
      <c r="S111" s="744" t="n"/>
      <c r="T111" s="741" t="n"/>
      <c r="U111" s="198" t="n"/>
      <c r="V111" s="741" t="n"/>
      <c r="W111" s="741" t="n"/>
      <c r="X111" s="727" t="n"/>
      <c r="Y111" s="745" t="n"/>
      <c r="Z111" s="186" t="n"/>
      <c r="AA111" s="242" t="n"/>
    </row>
    <row r="112" hidden="1" ht="24" customFormat="1" customHeight="1" s="758">
      <c r="A112" s="728" t="n"/>
      <c r="B112" s="685" t="n"/>
      <c r="C112" s="685" t="n"/>
      <c r="D112" s="685" t="n"/>
      <c r="E112" s="685" t="n"/>
      <c r="F112" s="685" t="n"/>
      <c r="G112" s="685" t="n"/>
      <c r="H112" s="685" t="n"/>
      <c r="I112" s="685" t="n"/>
      <c r="J112" s="685" t="n"/>
      <c r="K112" s="685" t="n"/>
      <c r="L112" s="685" t="n"/>
      <c r="M112" s="685" t="n"/>
      <c r="N112" s="685" t="n"/>
      <c r="O112" s="685" t="n"/>
      <c r="P112" s="752" t="n"/>
      <c r="Q112" s="753" t="n"/>
      <c r="R112" s="764" t="n"/>
      <c r="S112" s="744" t="n"/>
      <c r="T112" s="741" t="n"/>
      <c r="U112" s="198" t="n"/>
      <c r="V112" s="741" t="n"/>
      <c r="W112" s="741" t="n"/>
      <c r="X112" s="727" t="n"/>
      <c r="Y112" s="745" t="n"/>
      <c r="Z112" s="186" t="n"/>
      <c r="AA112" s="242" t="n"/>
    </row>
    <row r="113" hidden="1" ht="24" customFormat="1" customHeight="1" s="758">
      <c r="A113" s="728" t="n"/>
      <c r="B113" s="685" t="n"/>
      <c r="C113" s="685" t="n"/>
      <c r="D113" s="685" t="n"/>
      <c r="E113" s="685" t="n"/>
      <c r="F113" s="685" t="n"/>
      <c r="G113" s="685" t="n"/>
      <c r="H113" s="685" t="n"/>
      <c r="I113" s="685" t="n"/>
      <c r="J113" s="685" t="n"/>
      <c r="K113" s="685" t="n"/>
      <c r="L113" s="685" t="n"/>
      <c r="M113" s="685" t="n"/>
      <c r="N113" s="685" t="n"/>
      <c r="O113" s="685" t="n"/>
      <c r="P113" s="752" t="n"/>
      <c r="Q113" s="753" t="n"/>
      <c r="R113" s="764" t="n"/>
      <c r="S113" s="744" t="n"/>
      <c r="T113" s="741" t="n"/>
      <c r="U113" s="198" t="n"/>
      <c r="V113" s="741" t="n"/>
      <c r="W113" s="741" t="n"/>
      <c r="X113" s="727" t="n"/>
      <c r="Y113" s="745" t="n"/>
      <c r="Z113" s="186" t="n"/>
      <c r="AA113" s="242" t="n"/>
    </row>
    <row r="114" hidden="1" ht="24" customFormat="1" customHeight="1" s="758">
      <c r="A114" s="728" t="n"/>
      <c r="B114" s="685" t="n"/>
      <c r="C114" s="685" t="n"/>
      <c r="D114" s="685" t="n"/>
      <c r="E114" s="685" t="n"/>
      <c r="F114" s="685" t="n"/>
      <c r="G114" s="685" t="n"/>
      <c r="H114" s="685" t="n"/>
      <c r="I114" s="685" t="n"/>
      <c r="J114" s="685" t="n"/>
      <c r="K114" s="685" t="n"/>
      <c r="L114" s="685" t="n"/>
      <c r="M114" s="685" t="n"/>
      <c r="N114" s="685" t="n"/>
      <c r="O114" s="685" t="n"/>
      <c r="P114" s="752" t="n"/>
      <c r="Q114" s="753" t="n"/>
      <c r="R114" s="764" t="n"/>
      <c r="S114" s="744" t="n"/>
      <c r="T114" s="741" t="n"/>
      <c r="U114" s="198" t="n"/>
      <c r="V114" s="741" t="n"/>
      <c r="W114" s="741" t="n"/>
      <c r="X114" s="727" t="n"/>
      <c r="Y114" s="745" t="n"/>
      <c r="Z114" s="186" t="n"/>
      <c r="AA114" s="242" t="n"/>
    </row>
    <row r="115" ht="42" customFormat="1" customHeight="1" s="758">
      <c r="A115" s="728" t="n"/>
      <c r="B115" s="685" t="n"/>
      <c r="C115" s="685" t="n"/>
      <c r="D115" s="685" t="n"/>
      <c r="E115" s="685" t="n"/>
      <c r="F115" s="685" t="n"/>
      <c r="G115" s="685" t="n"/>
      <c r="H115" s="685" t="n"/>
      <c r="I115" s="685" t="n"/>
      <c r="J115" s="685" t="n"/>
      <c r="K115" s="685" t="n"/>
      <c r="L115" s="685" t="n"/>
      <c r="M115" s="685" t="n"/>
      <c r="N115" s="685" t="n"/>
      <c r="O115" s="685" t="n"/>
      <c r="P115" s="379" t="n"/>
      <c r="Q115" s="356" t="n"/>
      <c r="R115" s="754" t="n"/>
      <c r="S115" s="755" t="n"/>
      <c r="T115" s="759" t="n"/>
      <c r="U115" s="380" t="n"/>
      <c r="V115" s="759" t="n"/>
      <c r="W115" s="759" t="n"/>
      <c r="X115" s="727" t="n"/>
      <c r="Y115" s="552" t="n"/>
      <c r="Z115" s="627" t="n"/>
      <c r="AA115" s="628" t="n"/>
    </row>
    <row r="116" ht="21.75" customFormat="1" customHeight="1" s="758">
      <c r="A116" s="733" t="n">
        <v>9</v>
      </c>
      <c r="B116" s="685" t="n"/>
      <c r="C116" s="685" t="n"/>
      <c r="D116" s="685" t="n"/>
      <c r="E116" s="685" t="n"/>
      <c r="F116" s="685" t="n"/>
      <c r="G116" s="685" t="n"/>
      <c r="H116" s="685" t="n"/>
      <c r="I116" s="685" t="n"/>
      <c r="J116" s="685" t="n"/>
      <c r="K116" s="685" t="n"/>
      <c r="L116" s="685" t="n"/>
      <c r="M116" s="685" t="n"/>
      <c r="N116" s="685" t="n"/>
      <c r="O116" s="685" t="n"/>
      <c r="P116" s="262" t="n"/>
      <c r="Q116" s="262" t="n"/>
      <c r="R116" s="262" t="n"/>
      <c r="S116" s="262" t="n"/>
      <c r="T116" s="266" t="n"/>
      <c r="U116" s="266" t="n"/>
      <c r="V116" s="266" t="n"/>
      <c r="W116" s="266" t="n"/>
      <c r="X116" s="727" t="n"/>
      <c r="Y116" s="262" t="n"/>
      <c r="Z116" s="263" t="n"/>
      <c r="AA116" s="248" t="n"/>
    </row>
    <row r="117" ht="21.75" customFormat="1" customHeight="1" s="758">
      <c r="A117" s="727" t="n"/>
      <c r="B117" s="685" t="n"/>
      <c r="C117" s="685" t="n"/>
      <c r="D117" s="685" t="n"/>
      <c r="E117" s="685" t="n"/>
      <c r="F117" s="685" t="n"/>
      <c r="G117" s="685" t="n"/>
      <c r="H117" s="685" t="n"/>
      <c r="I117" s="685" t="n"/>
      <c r="J117" s="685" t="n"/>
      <c r="K117" s="685" t="n"/>
      <c r="L117" s="685" t="n"/>
      <c r="M117" s="685" t="n"/>
      <c r="N117" s="685" t="n"/>
      <c r="O117" s="685" t="n"/>
      <c r="P117" s="262" t="n"/>
      <c r="Q117" s="262" t="n"/>
      <c r="R117" s="262" t="n"/>
      <c r="S117" s="262" t="n"/>
      <c r="T117" s="761" t="n"/>
      <c r="U117" s="266" t="n"/>
      <c r="V117" s="266" t="n"/>
      <c r="W117" s="266" t="n"/>
      <c r="X117" s="727" t="n"/>
      <c r="Y117" s="191" t="n"/>
      <c r="Z117" s="186" t="n"/>
      <c r="AA117" s="235" t="n"/>
    </row>
    <row r="118" ht="25.5" customFormat="1" customHeight="1" s="758">
      <c r="A118" s="709" t="n"/>
      <c r="B118" s="685" t="n"/>
      <c r="C118" s="685" t="n"/>
      <c r="D118" s="685" t="n"/>
      <c r="E118" s="685" t="n"/>
      <c r="F118" s="685" t="n"/>
      <c r="G118" s="685" t="n"/>
      <c r="H118" s="685" t="n"/>
      <c r="I118" s="685" t="n"/>
      <c r="J118" s="685" t="n"/>
      <c r="K118" s="685" t="n"/>
      <c r="L118" s="685" t="n"/>
      <c r="M118" s="685" t="n"/>
      <c r="N118" s="685" t="n"/>
      <c r="O118" s="685" t="n"/>
      <c r="P118" s="262" t="n"/>
      <c r="Q118" s="262" t="n"/>
      <c r="R118" s="262" t="n"/>
      <c r="S118" s="262" t="n"/>
      <c r="T118" s="761" t="n"/>
      <c r="U118" s="266" t="n"/>
      <c r="V118" s="266" t="n"/>
      <c r="W118" s="266" t="n"/>
      <c r="X118" s="727" t="n"/>
      <c r="Y118" s="191" t="n"/>
      <c r="Z118" s="186" t="n"/>
      <c r="AA118" s="242" t="n"/>
    </row>
    <row r="119" ht="25.5" customFormat="1" customHeight="1" s="758">
      <c r="A119" s="346" t="n"/>
      <c r="B119" s="685" t="n"/>
      <c r="C119" s="685" t="n"/>
      <c r="D119" s="685" t="n"/>
      <c r="E119" s="685" t="n"/>
      <c r="F119" s="685" t="n"/>
      <c r="G119" s="685" t="n"/>
      <c r="H119" s="685" t="n"/>
      <c r="I119" s="685" t="n"/>
      <c r="J119" s="685" t="n"/>
      <c r="K119" s="685" t="n"/>
      <c r="L119" s="685" t="n"/>
      <c r="M119" s="685" t="n"/>
      <c r="N119" s="685" t="n"/>
      <c r="O119" s="685" t="n"/>
      <c r="P119" s="559" t="n"/>
      <c r="Q119" s="357" t="n"/>
      <c r="R119" s="192" t="n"/>
      <c r="S119" s="192" t="n"/>
      <c r="T119" s="192" t="n"/>
      <c r="U119" s="762" t="n"/>
      <c r="V119" s="761" t="n"/>
      <c r="W119" s="761" t="n"/>
      <c r="X119" s="727" t="n"/>
      <c r="Y119" s="191" t="n"/>
      <c r="Z119" s="186" t="n"/>
      <c r="AA119" s="242" t="n"/>
    </row>
    <row r="120" ht="25.5" customFormat="1" customHeight="1" s="758">
      <c r="A120" s="735" t="n"/>
      <c r="B120" s="685" t="n"/>
      <c r="C120" s="685" t="n"/>
      <c r="D120" s="685" t="n"/>
      <c r="E120" s="685" t="n"/>
      <c r="F120" s="685" t="n"/>
      <c r="G120" s="685" t="n"/>
      <c r="H120" s="685" t="n"/>
      <c r="I120" s="685" t="n"/>
      <c r="J120" s="685" t="n"/>
      <c r="K120" s="685" t="n"/>
      <c r="L120" s="685" t="n"/>
      <c r="M120" s="685" t="n"/>
      <c r="N120" s="685" t="n"/>
      <c r="O120" s="685" t="n"/>
      <c r="P120" s="366" t="n"/>
      <c r="Q120" s="753" t="n"/>
      <c r="R120" s="764" t="n"/>
      <c r="S120" s="744" t="n"/>
      <c r="T120" s="741" t="n"/>
      <c r="U120" s="198" t="n"/>
      <c r="V120" s="741" t="n"/>
      <c r="W120" s="741" t="n"/>
      <c r="X120" s="727" t="n"/>
      <c r="Y120" s="745" t="n"/>
      <c r="Z120" s="186" t="n"/>
      <c r="AA120" s="242" t="n"/>
    </row>
    <row r="121" ht="25.5" customFormat="1" customHeight="1" s="758">
      <c r="A121" s="728" t="n"/>
      <c r="B121" s="685" t="n"/>
      <c r="C121" s="685" t="n"/>
      <c r="D121" s="685" t="n"/>
      <c r="E121" s="685" t="n"/>
      <c r="F121" s="685" t="n"/>
      <c r="G121" s="685" t="n"/>
      <c r="H121" s="685" t="n"/>
      <c r="I121" s="685" t="n"/>
      <c r="J121" s="685" t="n"/>
      <c r="K121" s="685" t="n"/>
      <c r="L121" s="685" t="n"/>
      <c r="M121" s="685" t="n"/>
      <c r="N121" s="685" t="n"/>
      <c r="O121" s="685" t="n"/>
      <c r="P121" s="752" t="n"/>
      <c r="Q121" s="753" t="n"/>
      <c r="R121" s="764" t="n"/>
      <c r="S121" s="744" t="n"/>
      <c r="T121" s="741" t="n"/>
      <c r="U121" s="198" t="n"/>
      <c r="V121" s="741" t="n"/>
      <c r="W121" s="741" t="n"/>
      <c r="X121" s="727" t="n"/>
      <c r="Y121" s="745" t="n"/>
      <c r="Z121" s="186" t="n"/>
      <c r="AA121" s="242" t="n"/>
    </row>
    <row r="122" ht="25.5" customFormat="1" customHeight="1" s="758">
      <c r="A122" s="728" t="n"/>
      <c r="B122" s="685" t="n"/>
      <c r="C122" s="685" t="n"/>
      <c r="D122" s="685" t="n"/>
      <c r="E122" s="685" t="n"/>
      <c r="F122" s="685" t="n"/>
      <c r="G122" s="685" t="n"/>
      <c r="H122" s="685" t="n"/>
      <c r="I122" s="685" t="n"/>
      <c r="J122" s="685" t="n"/>
      <c r="K122" s="685" t="n"/>
      <c r="L122" s="685" t="n"/>
      <c r="M122" s="685" t="n"/>
      <c r="N122" s="685" t="n"/>
      <c r="O122" s="685" t="n"/>
      <c r="P122" s="752" t="n"/>
      <c r="Q122" s="753" t="n"/>
      <c r="R122" s="764" t="n"/>
      <c r="S122" s="744" t="n"/>
      <c r="T122" s="741" t="n"/>
      <c r="U122" s="198" t="n"/>
      <c r="V122" s="741" t="n"/>
      <c r="W122" s="741" t="n"/>
      <c r="X122" s="727" t="n"/>
      <c r="Y122" s="745" t="n"/>
      <c r="Z122" s="186" t="n"/>
      <c r="AA122" s="242" t="n"/>
    </row>
    <row r="123" ht="25.5" customFormat="1" customHeight="1" s="758">
      <c r="A123" s="728" t="n"/>
      <c r="B123" s="685" t="n"/>
      <c r="C123" s="685" t="n"/>
      <c r="D123" s="685" t="n"/>
      <c r="E123" s="685" t="n"/>
      <c r="F123" s="685" t="n"/>
      <c r="G123" s="685" t="n"/>
      <c r="H123" s="685" t="n"/>
      <c r="I123" s="685" t="n"/>
      <c r="J123" s="685" t="n"/>
      <c r="K123" s="685" t="n"/>
      <c r="L123" s="685" t="n"/>
      <c r="M123" s="685" t="n"/>
      <c r="N123" s="685" t="n"/>
      <c r="O123" s="685" t="n"/>
      <c r="P123" s="752" t="n"/>
      <c r="Q123" s="753" t="n"/>
      <c r="R123" s="764" t="n"/>
      <c r="S123" s="744" t="n"/>
      <c r="T123" s="741" t="n"/>
      <c r="U123" s="198" t="n"/>
      <c r="V123" s="741" t="n"/>
      <c r="W123" s="741" t="n"/>
      <c r="X123" s="727" t="n"/>
      <c r="Y123" s="745" t="n"/>
      <c r="Z123" s="186" t="n"/>
      <c r="AA123" s="242" t="n"/>
    </row>
    <row r="124" ht="25.5" customFormat="1" customHeight="1" s="758">
      <c r="A124" s="728" t="n"/>
      <c r="B124" s="685" t="n"/>
      <c r="C124" s="685" t="n"/>
      <c r="D124" s="685" t="n"/>
      <c r="E124" s="685" t="n"/>
      <c r="F124" s="685" t="n"/>
      <c r="G124" s="685" t="n"/>
      <c r="H124" s="685" t="n"/>
      <c r="I124" s="685" t="n"/>
      <c r="J124" s="685" t="n"/>
      <c r="K124" s="685" t="n"/>
      <c r="L124" s="685" t="n"/>
      <c r="M124" s="685" t="n"/>
      <c r="N124" s="685" t="n"/>
      <c r="O124" s="685" t="n"/>
      <c r="P124" s="546" t="n"/>
      <c r="Q124" s="547" t="n"/>
      <c r="R124" s="548" t="n"/>
      <c r="S124" s="549" t="n"/>
      <c r="T124" s="550" t="n"/>
      <c r="U124" s="626" t="n"/>
      <c r="V124" s="550" t="n"/>
      <c r="W124" s="550" t="n"/>
      <c r="X124" s="727" t="n"/>
      <c r="Y124" s="552" t="n"/>
      <c r="Z124" s="627" t="n"/>
      <c r="AA124" s="628" t="n"/>
    </row>
    <row r="125" ht="25.5" customFormat="1" customHeight="1" s="758">
      <c r="A125" s="644" t="n">
        <v>10</v>
      </c>
      <c r="B125" s="685" t="n"/>
      <c r="C125" s="685" t="n"/>
      <c r="D125" s="685" t="n"/>
      <c r="E125" s="685" t="n"/>
      <c r="F125" s="685" t="n"/>
      <c r="G125" s="685" t="n"/>
      <c r="H125" s="685" t="n"/>
      <c r="I125" s="685" t="n"/>
      <c r="J125" s="685" t="n"/>
      <c r="K125" s="685" t="n"/>
      <c r="L125" s="685" t="n"/>
      <c r="M125" s="685" t="n"/>
      <c r="N125" s="685" t="n"/>
      <c r="O125" s="685" t="n"/>
      <c r="P125" s="191" t="n"/>
      <c r="Q125" s="354" t="n"/>
      <c r="R125" s="192" t="n"/>
      <c r="S125" s="188" t="n"/>
      <c r="T125" s="761" t="n"/>
      <c r="U125" s="762" t="n"/>
      <c r="V125" s="761" t="n"/>
      <c r="W125" s="761" t="n"/>
      <c r="X125" s="727" t="n"/>
      <c r="Y125" s="191" t="n"/>
      <c r="Z125" s="186" t="n"/>
      <c r="AA125" s="248" t="n"/>
    </row>
    <row r="126" ht="54.75" customFormat="1" customHeight="1" s="758">
      <c r="A126" s="346" t="n"/>
      <c r="B126" s="346" t="n"/>
      <c r="C126" s="346" t="n"/>
      <c r="D126" s="346" t="n"/>
      <c r="E126" s="346" t="n"/>
      <c r="F126" s="346" t="n"/>
      <c r="G126" s="346" t="n"/>
      <c r="H126" s="346" t="n"/>
      <c r="I126" s="346" t="n"/>
      <c r="J126" s="346" t="n"/>
      <c r="K126" s="346" t="n"/>
      <c r="L126" s="346" t="n"/>
      <c r="M126" s="346" t="n"/>
      <c r="N126" s="346" t="n"/>
      <c r="O126" s="346" t="n"/>
      <c r="P126" s="559" t="n"/>
      <c r="Q126" s="666" t="n"/>
      <c r="R126" s="667" t="n"/>
      <c r="S126" s="668" t="n"/>
      <c r="T126" s="669" t="n"/>
      <c r="U126" s="670" t="n"/>
      <c r="V126" s="669" t="n"/>
      <c r="W126" s="669" t="n"/>
      <c r="X126" s="727" t="n"/>
      <c r="Y126" s="191" t="n"/>
      <c r="Z126" s="186" t="n"/>
      <c r="AA126" s="235" t="n"/>
    </row>
    <row r="127" ht="25.5" customFormat="1" customHeight="1" s="758">
      <c r="A127" s="629" t="n">
        <v>1</v>
      </c>
      <c r="B127" s="678" t="inlineStr">
        <is>
          <t>307744932520</t>
        </is>
      </c>
      <c r="C127" s="629" t="inlineStr">
        <is>
          <t>09/09/2025</t>
        </is>
      </c>
      <c r="D127" s="629" t="inlineStr">
        <is>
          <t>039FX85728B</t>
        </is>
      </c>
      <c r="E127" s="629" t="inlineStr">
        <is>
          <t>DLNV-20250910</t>
        </is>
      </c>
      <c r="F127" s="629" t="inlineStr">
        <is>
          <t>MẶT ĐÁ NHÂN TẠO</t>
        </is>
      </c>
      <c r="G127" s="629" t="inlineStr">
        <is>
          <t>KHO NOVA</t>
        </is>
      </c>
      <c r="H127" s="629" t="inlineStr">
        <is>
          <t>CÁT LÁI</t>
        </is>
      </c>
      <c r="I127" s="629" t="n"/>
      <c r="J127" s="629" t="n"/>
      <c r="K127" s="629" t="n"/>
      <c r="L127" s="629" t="n"/>
      <c r="M127" s="629" t="n">
        <v>1</v>
      </c>
      <c r="N127" s="629" t="n"/>
      <c r="O127" s="629" t="n"/>
      <c r="P127" s="673" t="n"/>
      <c r="Q127" s="673" t="n"/>
      <c r="R127" s="674" t="n"/>
      <c r="S127" s="675" t="n"/>
      <c r="T127" s="676" t="n"/>
      <c r="U127" s="677" t="n"/>
      <c r="V127" s="676" t="n"/>
      <c r="W127" s="676" t="n"/>
      <c r="X127" s="727" t="n"/>
      <c r="Y127" s="630" t="n"/>
      <c r="Z127" s="630" t="n"/>
      <c r="AA127" s="631" t="n"/>
    </row>
    <row r="128" ht="25.5" customFormat="1" customHeight="1" s="758">
      <c r="A128" s="535" t="n"/>
      <c r="B128" s="726" t="n"/>
      <c r="C128" s="726" t="n"/>
      <c r="D128" s="726" t="n"/>
      <c r="E128" s="726" t="n"/>
      <c r="F128" s="726" t="n"/>
      <c r="G128" s="726" t="n"/>
      <c r="H128" s="726" t="n"/>
      <c r="I128" s="726" t="n"/>
      <c r="J128" s="726" t="n"/>
      <c r="K128" s="726" t="n"/>
      <c r="L128" s="726" t="n"/>
      <c r="M128" s="726" t="n"/>
      <c r="N128" s="726" t="n"/>
      <c r="O128" s="726" t="n"/>
      <c r="P128" s="671" t="n"/>
      <c r="Q128" s="662" t="n"/>
      <c r="R128" s="663" t="n"/>
      <c r="S128" s="664" t="n"/>
      <c r="T128" s="665" t="n"/>
      <c r="U128" s="672" t="n"/>
      <c r="V128" s="665" t="n"/>
      <c r="W128" s="665" t="n"/>
      <c r="X128" s="727" t="n"/>
      <c r="Y128" s="377" t="n"/>
      <c r="Z128" s="263" t="n"/>
      <c r="AA128" s="536" t="n"/>
    </row>
    <row r="129" hidden="1" ht="25.5" customFormat="1" customHeight="1" s="758">
      <c r="A129" s="535" t="n"/>
      <c r="B129" s="726" t="n"/>
      <c r="C129" s="726" t="n"/>
      <c r="D129" s="726" t="n"/>
      <c r="E129" s="726" t="n"/>
      <c r="F129" s="726" t="n"/>
      <c r="G129" s="726" t="n"/>
      <c r="H129" s="726" t="n"/>
      <c r="I129" s="726" t="n"/>
      <c r="J129" s="726" t="n"/>
      <c r="K129" s="726" t="n"/>
      <c r="L129" s="726" t="n"/>
      <c r="M129" s="726" t="n"/>
      <c r="N129" s="726" t="n"/>
      <c r="O129" s="726" t="n"/>
      <c r="P129" s="537" t="n"/>
      <c r="Q129" s="538" t="n"/>
      <c r="R129" s="539" t="n"/>
      <c r="S129" s="540" t="n"/>
      <c r="T129" s="541" t="n"/>
      <c r="U129" s="542" t="n"/>
      <c r="V129" s="541" t="n"/>
      <c r="W129" s="541" t="n"/>
      <c r="X129" s="727" t="n"/>
      <c r="Y129" s="377" t="n"/>
      <c r="Z129" s="263" t="n"/>
      <c r="AA129" s="536" t="n"/>
    </row>
    <row r="130" ht="25.5" customFormat="1" customHeight="1" s="758">
      <c r="A130" s="535" t="n"/>
      <c r="B130" s="726" t="n"/>
      <c r="C130" s="726" t="n"/>
      <c r="D130" s="726" t="n"/>
      <c r="E130" s="726" t="n"/>
      <c r="F130" s="726" t="n"/>
      <c r="G130" s="726" t="n"/>
      <c r="H130" s="726" t="n"/>
      <c r="I130" s="726" t="n"/>
      <c r="J130" s="726" t="n"/>
      <c r="K130" s="726" t="n"/>
      <c r="L130" s="726" t="n"/>
      <c r="M130" s="726" t="n"/>
      <c r="N130" s="726" t="n"/>
      <c r="O130" s="726" t="n"/>
      <c r="P130" s="537" t="n"/>
      <c r="Q130" s="538" t="n"/>
      <c r="R130" s="539" t="n"/>
      <c r="S130" s="540" t="n"/>
      <c r="T130" s="541" t="n"/>
      <c r="U130" s="542" t="n"/>
      <c r="V130" s="541" t="n"/>
      <c r="W130" s="541" t="n"/>
      <c r="X130" s="719" t="n"/>
      <c r="Y130" s="377" t="n"/>
      <c r="Z130" s="263" t="n"/>
      <c r="AA130" s="536" t="n"/>
    </row>
    <row r="131" ht="25.5" customFormat="1" customHeight="1" s="758">
      <c r="A131" s="535" t="n"/>
      <c r="B131" s="726" t="n"/>
      <c r="C131" s="726" t="n"/>
      <c r="D131" s="726" t="n"/>
      <c r="E131" s="726" t="n"/>
      <c r="F131" s="726" t="n"/>
      <c r="G131" s="726" t="n"/>
      <c r="H131" s="726" t="n"/>
      <c r="I131" s="726" t="n"/>
      <c r="J131" s="726" t="n"/>
      <c r="K131" s="726" t="n"/>
      <c r="L131" s="726" t="n"/>
      <c r="M131" s="726" t="n"/>
      <c r="N131" s="726" t="n"/>
      <c r="O131" s="726" t="n"/>
      <c r="P131" s="537" t="n"/>
      <c r="Q131" s="538" t="n"/>
      <c r="R131" s="539" t="n"/>
      <c r="S131" s="540" t="n"/>
      <c r="T131" s="541" t="n"/>
      <c r="U131" s="542" t="n"/>
      <c r="V131" s="541" t="n"/>
      <c r="W131" s="541" t="n"/>
      <c r="X131" s="719" t="n"/>
      <c r="Y131" s="377" t="n"/>
      <c r="Z131" s="263" t="n"/>
      <c r="AA131" s="543" t="n"/>
    </row>
    <row r="132" ht="25.5" customFormat="1" customHeight="1" s="758">
      <c r="A132" s="535" t="n"/>
      <c r="B132" s="726" t="n"/>
      <c r="C132" s="726" t="n"/>
      <c r="D132" s="726" t="n"/>
      <c r="E132" s="726" t="n"/>
      <c r="F132" s="726" t="n"/>
      <c r="G132" s="726" t="n"/>
      <c r="H132" s="726" t="n"/>
      <c r="I132" s="726" t="n"/>
      <c r="J132" s="726" t="n"/>
      <c r="K132" s="726" t="n"/>
      <c r="L132" s="726" t="n"/>
      <c r="M132" s="726" t="n"/>
      <c r="N132" s="726" t="n"/>
      <c r="O132" s="726" t="n"/>
      <c r="P132" s="537" t="n"/>
      <c r="Q132" s="538" t="n"/>
      <c r="R132" s="539" t="n"/>
      <c r="S132" s="540" t="n"/>
      <c r="T132" s="541" t="n"/>
      <c r="U132" s="542" t="n"/>
      <c r="V132" s="541" t="n"/>
      <c r="W132" s="541" t="n"/>
      <c r="X132" s="719" t="n"/>
      <c r="Y132" s="377" t="n"/>
      <c r="Z132" s="263" t="n"/>
      <c r="AA132" s="543" t="n"/>
    </row>
    <row r="133" ht="33.75" customFormat="1" customHeight="1" s="758">
      <c r="A133" s="544" t="n"/>
      <c r="B133" s="726" t="n"/>
      <c r="C133" s="737" t="n"/>
      <c r="D133" s="725" t="n"/>
      <c r="E133" s="725" t="n"/>
      <c r="F133" s="726" t="n"/>
      <c r="G133" s="726" t="n"/>
      <c r="H133" s="726" t="n"/>
      <c r="I133" s="726" t="n"/>
      <c r="J133" s="738" t="n"/>
      <c r="K133" s="724" t="n"/>
      <c r="L133" s="724" t="n"/>
      <c r="M133" s="724" t="n"/>
      <c r="N133" s="724" t="n"/>
      <c r="O133" s="43" t="n"/>
      <c r="P133" s="537" t="n"/>
      <c r="Q133" s="538" t="n"/>
      <c r="R133" s="539" t="n"/>
      <c r="S133" s="540" t="n"/>
      <c r="T133" s="541" t="n"/>
      <c r="U133" s="542" t="n"/>
      <c r="V133" s="541" t="n"/>
      <c r="W133" s="541" t="n"/>
      <c r="X133" s="719" t="n"/>
      <c r="Y133" s="377" t="n"/>
      <c r="Z133" s="263" t="n"/>
      <c r="AA133" s="543" t="n"/>
    </row>
    <row r="134" ht="25.5" customFormat="1" customHeight="1" s="758">
      <c r="A134" s="544" t="n"/>
      <c r="B134" s="726" t="n"/>
      <c r="C134" s="737" t="n"/>
      <c r="D134" s="725" t="n"/>
      <c r="E134" s="725" t="n"/>
      <c r="F134" s="726" t="n"/>
      <c r="G134" s="726" t="n"/>
      <c r="H134" s="726" t="n"/>
      <c r="I134" s="726" t="n"/>
      <c r="J134" s="738" t="n"/>
      <c r="K134" s="724" t="n"/>
      <c r="L134" s="724" t="n"/>
      <c r="M134" s="724" t="n"/>
      <c r="N134" s="724" t="n"/>
      <c r="O134" s="43" t="n"/>
      <c r="P134" s="537" t="n"/>
      <c r="Q134" s="538" t="n"/>
      <c r="R134" s="539" t="n"/>
      <c r="S134" s="540" t="n"/>
      <c r="T134" s="541" t="n"/>
      <c r="U134" s="542" t="n"/>
      <c r="V134" s="541" t="n"/>
      <c r="W134" s="541" t="n"/>
      <c r="X134" s="719" t="n"/>
      <c r="Y134" s="377" t="n"/>
      <c r="Z134" s="263" t="n"/>
      <c r="AA134" s="543" t="n"/>
    </row>
    <row r="135" ht="25.5" customFormat="1" customHeight="1" s="758">
      <c r="A135" s="544" t="n"/>
      <c r="B135" s="726" t="n"/>
      <c r="C135" s="737" t="n"/>
      <c r="D135" s="725" t="n"/>
      <c r="E135" s="725" t="n"/>
      <c r="F135" s="726" t="n"/>
      <c r="G135" s="726" t="n"/>
      <c r="H135" s="726" t="n"/>
      <c r="I135" s="726" t="n"/>
      <c r="J135" s="738" t="n"/>
      <c r="K135" s="724" t="n"/>
      <c r="L135" s="724" t="n"/>
      <c r="M135" s="724" t="n"/>
      <c r="N135" s="724" t="n"/>
      <c r="O135" s="43" t="n"/>
      <c r="P135" s="537" t="n"/>
      <c r="Q135" s="538" t="n"/>
      <c r="R135" s="539" t="n"/>
      <c r="S135" s="540" t="n"/>
      <c r="T135" s="541" t="n"/>
      <c r="U135" s="542" t="n"/>
      <c r="V135" s="541" t="n"/>
      <c r="W135" s="541" t="n"/>
      <c r="X135" s="719" t="n"/>
      <c r="Y135" s="377" t="n"/>
      <c r="Z135" s="263" t="n"/>
      <c r="AA135" s="543" t="n"/>
    </row>
    <row r="136" ht="25.5" customFormat="1" customHeight="1" s="758">
      <c r="A136" s="544" t="n"/>
      <c r="B136" s="726" t="n"/>
      <c r="C136" s="737" t="n"/>
      <c r="D136" s="725" t="n"/>
      <c r="E136" s="725" t="n"/>
      <c r="F136" s="726" t="n"/>
      <c r="G136" s="726" t="n"/>
      <c r="H136" s="726" t="n"/>
      <c r="I136" s="726" t="n"/>
      <c r="J136" s="738" t="n"/>
      <c r="K136" s="724" t="n"/>
      <c r="L136" s="724" t="n"/>
      <c r="M136" s="724" t="n"/>
      <c r="N136" s="724" t="n"/>
      <c r="O136" s="43" t="n"/>
      <c r="P136" s="537" t="n"/>
      <c r="Q136" s="538" t="n"/>
      <c r="R136" s="539" t="n"/>
      <c r="S136" s="540" t="n"/>
      <c r="T136" s="541" t="n"/>
      <c r="U136" s="542" t="n"/>
      <c r="V136" s="541" t="n"/>
      <c r="W136" s="541" t="n"/>
      <c r="X136" s="719" t="n"/>
      <c r="Y136" s="377" t="n"/>
      <c r="Z136" s="263" t="n"/>
      <c r="AA136" s="543" t="n"/>
    </row>
    <row r="137" ht="25.5" customFormat="1" customHeight="1" s="758">
      <c r="A137" s="544" t="n"/>
      <c r="B137" s="726" t="n"/>
      <c r="C137" s="737" t="n"/>
      <c r="D137" s="725" t="n"/>
      <c r="E137" s="725" t="n"/>
      <c r="F137" s="726" t="n"/>
      <c r="G137" s="726" t="n"/>
      <c r="H137" s="726" t="n"/>
      <c r="I137" s="726" t="n"/>
      <c r="J137" s="738" t="n"/>
      <c r="K137" s="724" t="n"/>
      <c r="L137" s="724" t="n"/>
      <c r="M137" s="724" t="n"/>
      <c r="N137" s="724" t="n"/>
      <c r="O137" s="43" t="n"/>
      <c r="P137" s="537" t="n"/>
      <c r="Q137" s="538" t="n"/>
      <c r="R137" s="539" t="n"/>
      <c r="S137" s="540" t="n"/>
      <c r="T137" s="541" t="n"/>
      <c r="U137" s="542" t="n"/>
      <c r="V137" s="541" t="n"/>
      <c r="W137" s="541" t="n"/>
      <c r="X137" s="719" t="n"/>
      <c r="Y137" s="545" t="n"/>
      <c r="Z137" s="263" t="n"/>
      <c r="AA137" s="543" t="n"/>
    </row>
    <row r="138" ht="25.5" customFormat="1" customHeight="1" s="758">
      <c r="A138" s="544" t="n"/>
      <c r="B138" s="726" t="n"/>
      <c r="C138" s="737" t="n"/>
      <c r="D138" s="725" t="n"/>
      <c r="E138" s="725" t="n"/>
      <c r="F138" s="726" t="n"/>
      <c r="G138" s="726" t="n"/>
      <c r="H138" s="726" t="n"/>
      <c r="I138" s="726" t="n"/>
      <c r="J138" s="738" t="n"/>
      <c r="K138" s="724" t="n"/>
      <c r="L138" s="724" t="n"/>
      <c r="M138" s="724" t="n"/>
      <c r="N138" s="724" t="n"/>
      <c r="O138" s="43" t="n"/>
      <c r="P138" s="537" t="n"/>
      <c r="Q138" s="538" t="n"/>
      <c r="R138" s="539" t="n"/>
      <c r="S138" s="540" t="n"/>
      <c r="T138" s="541" t="n"/>
      <c r="U138" s="542" t="n"/>
      <c r="V138" s="541" t="n"/>
      <c r="W138" s="541" t="n"/>
      <c r="X138" s="719" t="n"/>
      <c r="Y138" s="545" t="n"/>
      <c r="Z138" s="263" t="n"/>
      <c r="AA138" s="543" t="n"/>
    </row>
    <row r="139" ht="25.5" customFormat="1" customHeight="1" s="758">
      <c r="A139" s="544" t="n"/>
      <c r="B139" s="726" t="n"/>
      <c r="C139" s="737" t="n"/>
      <c r="D139" s="725" t="n"/>
      <c r="E139" s="725" t="n"/>
      <c r="F139" s="726" t="n"/>
      <c r="G139" s="726" t="n"/>
      <c r="H139" s="726" t="n"/>
      <c r="I139" s="726" t="n"/>
      <c r="J139" s="738" t="n"/>
      <c r="K139" s="724" t="n"/>
      <c r="L139" s="724" t="n"/>
      <c r="M139" s="724" t="n"/>
      <c r="N139" s="724" t="n"/>
      <c r="O139" s="43" t="n"/>
      <c r="P139" s="537" t="n"/>
      <c r="Q139" s="538" t="n"/>
      <c r="R139" s="539" t="n"/>
      <c r="S139" s="540" t="n"/>
      <c r="T139" s="541" t="n"/>
      <c r="U139" s="542" t="n"/>
      <c r="V139" s="541" t="n"/>
      <c r="W139" s="541" t="n"/>
      <c r="X139" s="719" t="n"/>
      <c r="Y139" s="545" t="n"/>
      <c r="Z139" s="263" t="n"/>
      <c r="AA139" s="543" t="n"/>
    </row>
    <row r="140" ht="25.5" customFormat="1" customHeight="1" s="758">
      <c r="A140" s="544" t="n"/>
      <c r="B140" s="726" t="n"/>
      <c r="C140" s="737" t="n"/>
      <c r="D140" s="725" t="n"/>
      <c r="E140" s="725" t="n"/>
      <c r="F140" s="726" t="n"/>
      <c r="G140" s="726" t="n"/>
      <c r="H140" s="726" t="n"/>
      <c r="I140" s="726" t="n"/>
      <c r="J140" s="738" t="n"/>
      <c r="K140" s="724" t="n"/>
      <c r="L140" s="724" t="n"/>
      <c r="M140" s="724" t="n"/>
      <c r="N140" s="724" t="n"/>
      <c r="O140" s="43" t="n"/>
      <c r="P140" s="537" t="n"/>
      <c r="Q140" s="538" t="n"/>
      <c r="R140" s="539" t="n"/>
      <c r="S140" s="540" t="n"/>
      <c r="T140" s="541" t="n"/>
      <c r="U140" s="542" t="n"/>
      <c r="V140" s="541" t="n"/>
      <c r="W140" s="541" t="n"/>
      <c r="X140" s="719" t="n"/>
      <c r="Y140" s="545" t="n"/>
      <c r="Z140" s="263" t="n"/>
      <c r="AA140" s="543" t="n"/>
    </row>
    <row r="141" ht="25.5" customFormat="1" customHeight="1" s="758">
      <c r="A141" s="544" t="n"/>
      <c r="B141" s="726" t="n"/>
      <c r="C141" s="737" t="n"/>
      <c r="D141" s="725" t="n"/>
      <c r="E141" s="725" t="n"/>
      <c r="F141" s="726" t="n"/>
      <c r="G141" s="726" t="n"/>
      <c r="H141" s="726" t="n"/>
      <c r="I141" s="726" t="n"/>
      <c r="J141" s="738" t="n"/>
      <c r="K141" s="724" t="n"/>
      <c r="L141" s="724" t="n"/>
      <c r="M141" s="724" t="n"/>
      <c r="N141" s="724" t="n"/>
      <c r="O141" s="43" t="n"/>
      <c r="P141" s="537" t="n"/>
      <c r="Q141" s="538" t="n"/>
      <c r="R141" s="539" t="n"/>
      <c r="S141" s="540" t="n"/>
      <c r="T141" s="541" t="n"/>
      <c r="U141" s="542" t="n"/>
      <c r="V141" s="541" t="n"/>
      <c r="W141" s="541" t="n"/>
      <c r="X141" s="719" t="n"/>
      <c r="Y141" s="545" t="n"/>
      <c r="Z141" s="263" t="n"/>
      <c r="AA141" s="543" t="n"/>
    </row>
    <row r="142" ht="25.5" customFormat="1" customHeight="1" s="758">
      <c r="A142" s="544" t="n"/>
      <c r="B142" s="726" t="n"/>
      <c r="C142" s="737" t="n"/>
      <c r="D142" s="725" t="n"/>
      <c r="E142" s="725" t="n"/>
      <c r="F142" s="726" t="n"/>
      <c r="G142" s="726" t="n"/>
      <c r="H142" s="726" t="n"/>
      <c r="I142" s="726" t="n"/>
      <c r="J142" s="738" t="n"/>
      <c r="K142" s="724" t="n"/>
      <c r="L142" s="724" t="n"/>
      <c r="M142" s="724" t="n"/>
      <c r="N142" s="724" t="n"/>
      <c r="O142" s="43" t="n"/>
      <c r="P142" s="537" t="n"/>
      <c r="Q142" s="538" t="n"/>
      <c r="R142" s="539" t="n"/>
      <c r="S142" s="540" t="n"/>
      <c r="T142" s="541" t="n"/>
      <c r="U142" s="542" t="n"/>
      <c r="V142" s="541" t="n"/>
      <c r="W142" s="541" t="n"/>
      <c r="X142" s="719" t="n"/>
      <c r="Y142" s="545" t="n"/>
      <c r="Z142" s="263" t="n"/>
      <c r="AA142" s="543" t="n"/>
    </row>
    <row r="143" ht="33.75" customFormat="1" customHeight="1" s="758">
      <c r="A143" s="544" t="n"/>
      <c r="B143" s="726" t="n"/>
      <c r="C143" s="737" t="n"/>
      <c r="D143" s="725" t="n"/>
      <c r="E143" s="725" t="n"/>
      <c r="F143" s="726" t="n"/>
      <c r="G143" s="726" t="n"/>
      <c r="H143" s="726" t="n"/>
      <c r="I143" s="726" t="n"/>
      <c r="J143" s="738" t="n"/>
      <c r="K143" s="724" t="n"/>
      <c r="L143" s="724" t="n"/>
      <c r="M143" s="724" t="n"/>
      <c r="N143" s="724" t="n"/>
      <c r="O143" s="43" t="n"/>
      <c r="P143" s="537" t="n"/>
      <c r="Q143" s="538" t="n"/>
      <c r="R143" s="539" t="n"/>
      <c r="S143" s="540" t="n"/>
      <c r="T143" s="541" t="n"/>
      <c r="U143" s="542" t="n"/>
      <c r="V143" s="541" t="n"/>
      <c r="W143" s="541" t="n"/>
      <c r="X143" s="719" t="n"/>
      <c r="Y143" s="545" t="n"/>
      <c r="Z143" s="263" t="n"/>
      <c r="AA143" s="543" t="n"/>
    </row>
    <row r="144" ht="25.5" customFormat="1" customHeight="1" s="758">
      <c r="A144" s="544" t="n"/>
      <c r="B144" s="726" t="n"/>
      <c r="C144" s="737" t="n"/>
      <c r="D144" s="725" t="n"/>
      <c r="E144" s="725" t="n"/>
      <c r="F144" s="726" t="n"/>
      <c r="G144" s="726" t="n"/>
      <c r="H144" s="726" t="n"/>
      <c r="I144" s="726" t="n"/>
      <c r="J144" s="738" t="n"/>
      <c r="K144" s="724" t="n"/>
      <c r="L144" s="724" t="n"/>
      <c r="M144" s="724" t="n"/>
      <c r="N144" s="724" t="n"/>
      <c r="O144" s="43" t="n"/>
      <c r="P144" s="546" t="n"/>
      <c r="Q144" s="547" t="n"/>
      <c r="R144" s="548" t="n"/>
      <c r="S144" s="549" t="n"/>
      <c r="T144" s="550" t="n"/>
      <c r="U144" s="551" t="n"/>
      <c r="V144" s="550" t="n"/>
      <c r="W144" s="550" t="n"/>
      <c r="X144" s="719" t="n"/>
      <c r="Y144" s="552" t="n"/>
      <c r="Z144" s="553" t="n"/>
      <c r="AA144" s="554" t="n"/>
    </row>
    <row r="145" ht="25.5" customFormat="1" customHeight="1" s="758">
      <c r="A145" s="417" t="n">
        <v>2</v>
      </c>
      <c r="B145" s="401" t="n"/>
      <c r="C145" s="509" t="n"/>
      <c r="D145" s="766" t="n"/>
      <c r="E145" s="766" t="n"/>
      <c r="F145" s="508" t="n"/>
      <c r="G145" s="508" t="n"/>
      <c r="H145" s="508" t="n"/>
      <c r="I145" s="766" t="n"/>
      <c r="J145" s="423" t="n"/>
      <c r="K145" s="347" t="n"/>
      <c r="L145" s="347" t="n"/>
      <c r="M145" s="510" t="n"/>
      <c r="N145" s="507" t="n"/>
      <c r="O145" s="557" t="n"/>
      <c r="P145" s="191" t="n"/>
      <c r="Q145" s="354" t="n"/>
      <c r="R145" s="192" t="n"/>
      <c r="S145" s="188" t="n"/>
      <c r="T145" s="761" t="n"/>
      <c r="U145" s="762" t="n"/>
      <c r="V145" s="761" t="n"/>
      <c r="W145" s="761" t="n"/>
      <c r="X145" s="719" t="n"/>
      <c r="Y145" s="191" t="n"/>
      <c r="Z145" s="191" t="n"/>
      <c r="AA145" s="248" t="n"/>
    </row>
    <row r="146" ht="25.5" customFormat="1" customHeight="1" s="758">
      <c r="A146" s="736" t="n"/>
      <c r="B146" s="736" t="n"/>
      <c r="C146" s="736" t="n"/>
      <c r="D146" s="736" t="n"/>
      <c r="E146" s="736" t="n"/>
      <c r="F146" s="736" t="n"/>
      <c r="G146" s="736" t="n"/>
      <c r="H146" s="736" t="n"/>
      <c r="I146" s="736" t="n"/>
      <c r="J146" s="736" t="n"/>
      <c r="K146" s="736" t="n"/>
      <c r="L146" s="736" t="n"/>
      <c r="M146" s="736" t="n"/>
      <c r="N146" s="736" t="n"/>
      <c r="O146" s="736" t="n"/>
      <c r="P146" s="191" t="n"/>
      <c r="Q146" s="354" t="n"/>
      <c r="R146" s="192" t="n"/>
      <c r="S146" s="188" t="n"/>
      <c r="T146" s="761" t="n"/>
      <c r="U146" s="762" t="n"/>
      <c r="V146" s="761" t="n"/>
      <c r="W146" s="761" t="n"/>
      <c r="X146" s="719" t="n"/>
      <c r="Y146" s="191" t="n"/>
      <c r="Z146" s="191" t="n"/>
      <c r="AA146" s="235" t="n"/>
    </row>
    <row r="147" ht="25.5" customFormat="1" customHeight="1" s="758">
      <c r="A147" s="736" t="n"/>
      <c r="B147" s="736" t="n"/>
      <c r="C147" s="736" t="n"/>
      <c r="D147" s="736" t="n"/>
      <c r="E147" s="736" t="n"/>
      <c r="F147" s="736" t="n"/>
      <c r="G147" s="736" t="n"/>
      <c r="H147" s="736" t="n"/>
      <c r="I147" s="736" t="n"/>
      <c r="J147" s="736" t="n"/>
      <c r="K147" s="736" t="n"/>
      <c r="L147" s="736" t="n"/>
      <c r="M147" s="736" t="n"/>
      <c r="N147" s="736" t="n"/>
      <c r="O147" s="736" t="n"/>
      <c r="P147" s="201" t="n"/>
      <c r="Q147" s="354" t="n"/>
      <c r="R147" s="191" t="n"/>
      <c r="S147" s="191" t="n"/>
      <c r="T147" s="761" t="n"/>
      <c r="U147" s="762" t="n"/>
      <c r="V147" s="761" t="n"/>
      <c r="W147" s="761" t="n"/>
      <c r="X147" s="719" t="n"/>
      <c r="Y147" s="191" t="n"/>
      <c r="Z147" s="186" t="n"/>
      <c r="AA147" s="235" t="n"/>
    </row>
    <row r="148" ht="25.5" customFormat="1" customHeight="1" s="758">
      <c r="A148" s="736" t="n"/>
      <c r="B148" s="736" t="n"/>
      <c r="C148" s="736" t="n"/>
      <c r="D148" s="736" t="n"/>
      <c r="E148" s="736" t="n"/>
      <c r="F148" s="736" t="n"/>
      <c r="G148" s="736" t="n"/>
      <c r="H148" s="736" t="n"/>
      <c r="I148" s="736" t="n"/>
      <c r="J148" s="736" t="n"/>
      <c r="K148" s="736" t="n"/>
      <c r="L148" s="736" t="n"/>
      <c r="M148" s="736" t="n"/>
      <c r="N148" s="736" t="n"/>
      <c r="O148" s="736" t="n"/>
      <c r="P148" s="752" t="n"/>
      <c r="Q148" s="753" t="n"/>
      <c r="R148" s="399" t="n"/>
      <c r="S148" s="399" t="n"/>
      <c r="T148" s="399" t="n"/>
      <c r="U148" s="402" t="n"/>
      <c r="V148" s="399" t="n"/>
      <c r="W148" s="368" t="n"/>
      <c r="X148" s="727" t="n"/>
      <c r="Y148" s="745" t="n"/>
      <c r="Z148" s="186" t="n"/>
      <c r="AA148" s="235" t="n"/>
    </row>
    <row r="149" ht="25.5" customFormat="1" customHeight="1" s="758">
      <c r="A149" s="727" t="n"/>
      <c r="B149" s="736" t="n"/>
      <c r="C149" s="737" t="n"/>
      <c r="D149" s="727" t="n"/>
      <c r="E149" s="725" t="n"/>
      <c r="F149" s="727" t="n"/>
      <c r="G149" s="727" t="n"/>
      <c r="H149" s="727" t="n"/>
      <c r="I149" s="725" t="n"/>
      <c r="J149" s="738" t="n"/>
      <c r="K149" s="727" t="n"/>
      <c r="L149" s="727" t="n"/>
      <c r="M149" s="727" t="n"/>
      <c r="N149" s="727" t="n"/>
      <c r="O149" s="727" t="n"/>
      <c r="P149" s="752" t="n"/>
      <c r="Q149" s="753" t="n"/>
      <c r="R149" s="764" t="n"/>
      <c r="S149" s="744" t="n"/>
      <c r="T149" s="741" t="n"/>
      <c r="U149" s="742" t="n"/>
      <c r="V149" s="741" t="n"/>
      <c r="W149" s="741" t="n"/>
      <c r="X149" s="727" t="n"/>
      <c r="Y149" s="745" t="n"/>
      <c r="Z149" s="186" t="n"/>
      <c r="AA149" s="235" t="n"/>
    </row>
    <row r="150" ht="25.5" customFormat="1" customHeight="1" s="758">
      <c r="A150" s="728" t="n"/>
      <c r="B150" s="736" t="n"/>
      <c r="C150" s="737" t="n"/>
      <c r="D150" s="725" t="n"/>
      <c r="E150" s="725" t="n"/>
      <c r="F150" s="725" t="n"/>
      <c r="G150" s="725" t="n"/>
      <c r="H150" s="725" t="n"/>
      <c r="I150" s="725" t="n"/>
      <c r="J150" s="738" t="n"/>
      <c r="K150" s="724" t="n"/>
      <c r="L150" s="724" t="n"/>
      <c r="M150" s="724" t="n"/>
      <c r="N150" s="739" t="n"/>
      <c r="O150" s="751" t="n"/>
      <c r="P150" s="752" t="n"/>
      <c r="Q150" s="753" t="n"/>
      <c r="R150" s="754" t="n"/>
      <c r="S150" s="755" t="n"/>
      <c r="T150" s="741" t="n"/>
      <c r="U150" s="742" t="n"/>
      <c r="V150" s="741" t="n"/>
      <c r="W150" s="741" t="n"/>
      <c r="X150" s="727" t="n"/>
      <c r="Y150" s="745" t="n"/>
      <c r="Z150" s="186" t="n"/>
      <c r="AA150" s="235" t="n"/>
    </row>
    <row r="151" ht="25.5" customFormat="1" customHeight="1" s="758">
      <c r="A151" s="728" t="n"/>
      <c r="B151" s="736" t="n"/>
      <c r="C151" s="737" t="n"/>
      <c r="D151" s="725" t="n"/>
      <c r="E151" s="725" t="n"/>
      <c r="F151" s="725" t="n"/>
      <c r="G151" s="725" t="n"/>
      <c r="H151" s="725" t="n"/>
      <c r="I151" s="725" t="n"/>
      <c r="J151" s="738" t="n"/>
      <c r="K151" s="724" t="n"/>
      <c r="L151" s="724" t="n"/>
      <c r="M151" s="724" t="n"/>
      <c r="N151" s="739" t="n"/>
      <c r="O151" s="751" t="n"/>
      <c r="P151" s="752" t="n"/>
      <c r="Q151" s="753" t="n"/>
      <c r="R151" s="754" t="n"/>
      <c r="S151" s="755" t="n"/>
      <c r="T151" s="741" t="n"/>
      <c r="U151" s="742" t="n"/>
      <c r="V151" s="741" t="n"/>
      <c r="W151" s="741" t="n"/>
      <c r="X151" s="727" t="n"/>
      <c r="Y151" s="745" t="n"/>
      <c r="Z151" s="186" t="n"/>
      <c r="AA151" s="235" t="n"/>
    </row>
    <row r="152" ht="25.5" customFormat="1" customHeight="1" s="758">
      <c r="A152" s="728" t="n"/>
      <c r="B152" s="736" t="n"/>
      <c r="C152" s="737" t="n"/>
      <c r="D152" s="725" t="n"/>
      <c r="E152" s="725" t="n"/>
      <c r="F152" s="725" t="n"/>
      <c r="G152" s="725" t="n"/>
      <c r="H152" s="725" t="n"/>
      <c r="I152" s="725" t="n"/>
      <c r="J152" s="738" t="n"/>
      <c r="K152" s="724" t="n"/>
      <c r="L152" s="724" t="n"/>
      <c r="M152" s="724" t="n"/>
      <c r="N152" s="739" t="n"/>
      <c r="O152" s="751" t="n"/>
      <c r="P152" s="752" t="n"/>
      <c r="Q152" s="753" t="n"/>
      <c r="R152" s="754" t="n"/>
      <c r="S152" s="755" t="n"/>
      <c r="T152" s="741" t="n"/>
      <c r="U152" s="742" t="n"/>
      <c r="V152" s="741" t="n"/>
      <c r="W152" s="741" t="n"/>
      <c r="X152" s="727" t="n"/>
      <c r="Y152" s="745" t="n"/>
      <c r="Z152" s="186" t="n"/>
      <c r="AA152" s="235" t="n"/>
    </row>
    <row r="153" ht="33.75" customFormat="1" customHeight="1" s="758">
      <c r="A153" s="728" t="n"/>
      <c r="B153" s="736" t="n"/>
      <c r="C153" s="737" t="n"/>
      <c r="D153" s="725" t="n"/>
      <c r="E153" s="725" t="n"/>
      <c r="F153" s="725" t="n"/>
      <c r="G153" s="725" t="n"/>
      <c r="H153" s="725" t="n"/>
      <c r="I153" s="725" t="n"/>
      <c r="J153" s="738" t="n"/>
      <c r="K153" s="724" t="n"/>
      <c r="L153" s="724" t="n"/>
      <c r="M153" s="724" t="n"/>
      <c r="N153" s="739" t="n"/>
      <c r="O153" s="751" t="n"/>
      <c r="P153" s="752" t="n"/>
      <c r="Q153" s="753" t="n"/>
      <c r="R153" s="754" t="n"/>
      <c r="S153" s="755" t="n"/>
      <c r="T153" s="759" t="n"/>
      <c r="U153" s="763" t="n"/>
      <c r="V153" s="759" t="n"/>
      <c r="W153" s="741" t="n"/>
      <c r="X153" s="727" t="n"/>
      <c r="Y153" s="745" t="n"/>
      <c r="Z153" s="186" t="n"/>
      <c r="AA153" s="235" t="n"/>
    </row>
    <row r="154" ht="25.5" customFormat="1" customHeight="1" s="758">
      <c r="A154" s="728" t="n"/>
      <c r="B154" s="736" t="n"/>
      <c r="C154" s="737" t="n"/>
      <c r="D154" s="725" t="n"/>
      <c r="E154" s="725" t="n"/>
      <c r="F154" s="725" t="n"/>
      <c r="G154" s="725" t="n"/>
      <c r="H154" s="725" t="n"/>
      <c r="I154" s="725" t="n"/>
      <c r="J154" s="738" t="n"/>
      <c r="K154" s="724" t="n"/>
      <c r="L154" s="724" t="n"/>
      <c r="M154" s="724" t="n"/>
      <c r="N154" s="739" t="n"/>
      <c r="O154" s="751" t="n"/>
      <c r="P154" s="752" t="n"/>
      <c r="Q154" s="753" t="n"/>
      <c r="R154" s="754" t="n"/>
      <c r="S154" s="755" t="n"/>
      <c r="T154" s="759" t="n"/>
      <c r="U154" s="763" t="n"/>
      <c r="V154" s="759" t="n"/>
      <c r="W154" s="741" t="n"/>
      <c r="X154" s="727" t="n"/>
      <c r="Y154" s="745" t="n"/>
      <c r="Z154" s="186" t="n"/>
      <c r="AA154" s="235" t="n"/>
    </row>
    <row r="155" ht="25.5" customFormat="1" customHeight="1" s="758">
      <c r="A155" s="728" t="n"/>
      <c r="B155" s="736" t="n"/>
      <c r="C155" s="737" t="n"/>
      <c r="D155" s="725" t="n"/>
      <c r="E155" s="725" t="n"/>
      <c r="F155" s="725" t="n"/>
      <c r="G155" s="725" t="n"/>
      <c r="H155" s="725" t="n"/>
      <c r="I155" s="725" t="n"/>
      <c r="J155" s="738" t="n"/>
      <c r="K155" s="724" t="n"/>
      <c r="L155" s="724" t="n"/>
      <c r="M155" s="724" t="n"/>
      <c r="N155" s="739" t="n"/>
      <c r="O155" s="751" t="n"/>
      <c r="P155" s="752" t="n"/>
      <c r="Q155" s="753" t="n"/>
      <c r="R155" s="764" t="n"/>
      <c r="S155" s="744" t="n"/>
      <c r="T155" s="741" t="n"/>
      <c r="U155" s="742" t="n"/>
      <c r="V155" s="741" t="n"/>
      <c r="W155" s="741" t="n"/>
      <c r="X155" s="727" t="n"/>
      <c r="Y155" s="745" t="n"/>
      <c r="Z155" s="186" t="n"/>
      <c r="AA155" s="235" t="n"/>
    </row>
    <row r="156" hidden="1" ht="25.5" customFormat="1" customHeight="1" s="758">
      <c r="A156" s="187" t="n"/>
      <c r="B156" s="202" t="n"/>
      <c r="C156" s="237" t="n"/>
      <c r="D156" s="189" t="n"/>
      <c r="E156" s="189" t="n"/>
      <c r="F156" s="508" t="n"/>
      <c r="G156" s="508" t="n"/>
      <c r="H156" s="508" t="n"/>
      <c r="I156" s="766" t="n"/>
      <c r="J156" s="400" t="n"/>
      <c r="K156" s="190" t="n"/>
      <c r="L156" s="190" t="n"/>
      <c r="M156" s="190" t="n"/>
      <c r="N156" s="243" t="n"/>
      <c r="O156" s="506" t="n"/>
      <c r="P156" s="191" t="n"/>
      <c r="Q156" s="354" t="n"/>
      <c r="R156" s="192" t="n"/>
      <c r="S156" s="188" t="n"/>
      <c r="T156" s="761" t="n"/>
      <c r="U156" s="762" t="n"/>
      <c r="V156" s="761" t="n"/>
      <c r="W156" s="761" t="n"/>
      <c r="X156" s="727" t="n"/>
      <c r="Y156" s="191" t="n"/>
      <c r="Z156" s="248" t="n"/>
      <c r="AA156" s="248" t="n"/>
    </row>
    <row r="157" ht="25.5" customFormat="1" customHeight="1" s="758">
      <c r="A157" s="728" t="n"/>
      <c r="B157" s="736" t="n"/>
      <c r="C157" s="737" t="n"/>
      <c r="D157" s="725" t="n"/>
      <c r="E157" s="725" t="n"/>
      <c r="F157" s="725" t="n"/>
      <c r="G157" s="725" t="n"/>
      <c r="H157" s="725" t="n"/>
      <c r="I157" s="725" t="n"/>
      <c r="J157" s="738" t="n"/>
      <c r="K157" s="724" t="n"/>
      <c r="L157" s="724" t="n"/>
      <c r="M157" s="724" t="n"/>
      <c r="N157" s="739" t="n"/>
      <c r="O157" s="739" t="n"/>
      <c r="P157" s="191" t="n"/>
      <c r="Q157" s="354" t="n"/>
      <c r="R157" s="192" t="n"/>
      <c r="S157" s="188" t="n"/>
      <c r="T157" s="512" t="n"/>
      <c r="U157" s="762" t="n"/>
      <c r="V157" s="761" t="n"/>
      <c r="W157" s="761" t="n"/>
      <c r="X157" s="727" t="n"/>
      <c r="Y157" s="191" t="n"/>
      <c r="Z157" s="248" t="n"/>
      <c r="AA157" s="235" t="n"/>
    </row>
    <row r="158" ht="25.5" customFormat="1" customHeight="1" s="758">
      <c r="A158" s="728" t="n"/>
      <c r="B158" s="736" t="n"/>
      <c r="C158" s="737" t="n"/>
      <c r="D158" s="725" t="n"/>
      <c r="E158" s="725" t="n"/>
      <c r="F158" s="725" t="n"/>
      <c r="G158" s="725" t="n"/>
      <c r="H158" s="725" t="n"/>
      <c r="I158" s="725" t="n"/>
      <c r="J158" s="738" t="n"/>
      <c r="K158" s="724" t="n"/>
      <c r="L158" s="724" t="n"/>
      <c r="M158" s="724" t="n"/>
      <c r="N158" s="739" t="n"/>
      <c r="O158" s="739" t="n"/>
      <c r="P158" s="201" t="n"/>
      <c r="Q158" s="354" t="n"/>
      <c r="R158" s="203" t="n"/>
      <c r="S158" s="204" t="n"/>
      <c r="T158" s="761" t="n"/>
      <c r="U158" s="205" t="n"/>
      <c r="V158" s="761" t="n"/>
      <c r="W158" s="761" t="n"/>
      <c r="X158" s="727" t="n"/>
      <c r="Y158" s="191" t="n"/>
      <c r="Z158" s="191" t="n"/>
      <c r="AA158" s="235" t="n"/>
    </row>
    <row r="159" ht="25.5" customFormat="1" customHeight="1" s="758">
      <c r="A159" s="727" t="n"/>
      <c r="B159" s="736" t="n"/>
      <c r="C159" s="737" t="n"/>
      <c r="D159" s="727" t="n"/>
      <c r="E159" s="725" t="n"/>
      <c r="F159" s="727" t="n"/>
      <c r="G159" s="727" t="n"/>
      <c r="H159" s="727" t="n"/>
      <c r="I159" s="725" t="n"/>
      <c r="J159" s="738" t="n"/>
      <c r="K159" s="727" t="n"/>
      <c r="L159" s="727" t="n"/>
      <c r="M159" s="727" t="n"/>
      <c r="N159" s="727" t="n"/>
      <c r="O159" s="727" t="n"/>
      <c r="P159" s="191" t="n"/>
      <c r="Q159" s="354" t="n"/>
      <c r="R159" s="249" t="n"/>
      <c r="S159" s="250" t="n"/>
      <c r="T159" s="247" t="n"/>
      <c r="U159" s="205" t="n"/>
      <c r="V159" s="761" t="n"/>
      <c r="W159" s="761" t="n"/>
      <c r="X159" s="727" t="n"/>
      <c r="Y159" s="302" t="n"/>
      <c r="Z159" s="186" t="n"/>
      <c r="AA159" s="235" t="n"/>
    </row>
    <row r="160" ht="25.5" customFormat="1" customHeight="1" s="758">
      <c r="A160" s="728" t="n"/>
      <c r="B160" s="736" t="n"/>
      <c r="C160" s="737" t="n"/>
      <c r="D160" s="725" t="n"/>
      <c r="E160" s="725" t="n"/>
      <c r="F160" s="725" t="n"/>
      <c r="G160" s="725" t="n"/>
      <c r="H160" s="725" t="n"/>
      <c r="I160" s="725" t="n"/>
      <c r="J160" s="738" t="n"/>
      <c r="K160" s="724" t="n"/>
      <c r="L160" s="724" t="n"/>
      <c r="M160" s="724" t="n"/>
      <c r="N160" s="739" t="n"/>
      <c r="O160" s="751" t="n"/>
      <c r="P160" s="752" t="n"/>
      <c r="Q160" s="753" t="n"/>
      <c r="R160" s="764" t="n"/>
      <c r="S160" s="744" t="n"/>
      <c r="T160" s="741" t="n"/>
      <c r="U160" s="742" t="n"/>
      <c r="V160" s="741" t="n"/>
      <c r="W160" s="741" t="n"/>
      <c r="X160" s="727" t="n"/>
      <c r="Y160" s="745" t="n"/>
      <c r="Z160" s="186" t="n"/>
      <c r="AA160" s="235" t="n"/>
    </row>
    <row r="161" ht="25.5" customFormat="1" customHeight="1" s="758">
      <c r="A161" s="728" t="n"/>
      <c r="B161" s="736" t="n"/>
      <c r="C161" s="737" t="n"/>
      <c r="D161" s="725" t="n"/>
      <c r="E161" s="725" t="n"/>
      <c r="F161" s="725" t="n"/>
      <c r="G161" s="725" t="n"/>
      <c r="H161" s="725" t="n"/>
      <c r="I161" s="725" t="n"/>
      <c r="J161" s="738" t="n"/>
      <c r="K161" s="724" t="n"/>
      <c r="L161" s="724" t="n"/>
      <c r="M161" s="724" t="n"/>
      <c r="N161" s="739" t="n"/>
      <c r="O161" s="751" t="n"/>
      <c r="P161" s="752" t="n"/>
      <c r="Q161" s="753" t="n"/>
      <c r="R161" s="764" t="n"/>
      <c r="S161" s="744" t="n"/>
      <c r="T161" s="741" t="n"/>
      <c r="U161" s="742" t="n"/>
      <c r="V161" s="741" t="n"/>
      <c r="W161" s="741" t="n"/>
      <c r="X161" s="727" t="n"/>
      <c r="Y161" s="745" t="n"/>
      <c r="Z161" s="186" t="n"/>
      <c r="AA161" s="235" t="n"/>
    </row>
    <row r="162" ht="25.5" customFormat="1" customHeight="1" s="758">
      <c r="A162" s="728" t="n"/>
      <c r="B162" s="736" t="n"/>
      <c r="C162" s="737" t="n"/>
      <c r="D162" s="725" t="n"/>
      <c r="E162" s="725" t="n"/>
      <c r="F162" s="725" t="n"/>
      <c r="G162" s="725" t="n"/>
      <c r="H162" s="725" t="n"/>
      <c r="I162" s="725" t="n"/>
      <c r="J162" s="738" t="n"/>
      <c r="K162" s="724" t="n"/>
      <c r="L162" s="724" t="n"/>
      <c r="M162" s="724" t="n"/>
      <c r="N162" s="739" t="n"/>
      <c r="O162" s="751" t="n"/>
      <c r="P162" s="752" t="n"/>
      <c r="Q162" s="753" t="n"/>
      <c r="R162" s="764" t="n"/>
      <c r="S162" s="744" t="n"/>
      <c r="T162" s="741" t="n"/>
      <c r="U162" s="742" t="n"/>
      <c r="V162" s="741" t="n"/>
      <c r="W162" s="741" t="n"/>
      <c r="X162" s="727" t="n"/>
      <c r="Y162" s="745" t="n"/>
      <c r="Z162" s="186" t="n"/>
      <c r="AA162" s="235" t="n"/>
    </row>
    <row r="163" ht="33.75" customFormat="1" customHeight="1" s="758">
      <c r="A163" s="696" t="n"/>
      <c r="B163" s="202" t="n"/>
      <c r="C163" s="585" t="n"/>
      <c r="D163" s="697" t="n"/>
      <c r="E163" s="508" t="n"/>
      <c r="F163" s="697" t="n"/>
      <c r="G163" s="697" t="n"/>
      <c r="H163" s="697" t="n"/>
      <c r="I163" s="508" t="n"/>
      <c r="J163" s="558" t="n"/>
      <c r="K163" s="698" t="n"/>
      <c r="L163" s="698" t="n"/>
      <c r="M163" s="698" t="n"/>
      <c r="N163" s="699" t="n"/>
      <c r="O163" s="699" t="n"/>
      <c r="P163" s="191" t="n"/>
      <c r="Q163" s="191" t="n"/>
      <c r="R163" s="192" t="n"/>
      <c r="S163" s="188" t="n"/>
      <c r="T163" s="761" t="n"/>
      <c r="U163" s="762" t="n"/>
      <c r="V163" s="761" t="n"/>
      <c r="W163" s="761" t="n"/>
      <c r="X163" s="727" t="n"/>
      <c r="Y163" s="191" t="n"/>
      <c r="Z163" s="191" t="n"/>
      <c r="AA163" s="248" t="inlineStr">
        <is>
          <t>Miễn kiểm 无需检验</t>
        </is>
      </c>
    </row>
    <row r="164" ht="25.5" customFormat="1" customHeight="1" s="758">
      <c r="A164" s="709" t="n"/>
      <c r="B164" s="202" t="n"/>
      <c r="C164" s="502" t="n"/>
      <c r="D164" s="709" t="n"/>
      <c r="E164" s="508" t="n"/>
      <c r="F164" s="709" t="n"/>
      <c r="G164" s="709" t="n"/>
      <c r="H164" s="709" t="n"/>
      <c r="I164" s="508" t="n"/>
      <c r="J164" s="558" t="n"/>
      <c r="K164" s="709" t="n"/>
      <c r="L164" s="709" t="n"/>
      <c r="M164" s="709" t="n"/>
      <c r="N164" s="709" t="n"/>
      <c r="O164" s="709" t="n"/>
      <c r="P164" s="191" t="n"/>
      <c r="Q164" s="191" t="n"/>
      <c r="R164" s="192" t="n"/>
      <c r="S164" s="188" t="n"/>
      <c r="T164" s="512" t="n"/>
      <c r="U164" s="762" t="n"/>
      <c r="V164" s="761" t="n"/>
      <c r="W164" s="761" t="n"/>
      <c r="X164" s="727" t="n"/>
      <c r="Y164" s="191" t="n"/>
      <c r="Z164" s="191" t="n"/>
      <c r="AA164" s="235" t="n"/>
    </row>
    <row r="165" ht="25.5" customFormat="1" customHeight="1" s="758">
      <c r="A165" s="728" t="n"/>
      <c r="B165" s="736" t="n"/>
      <c r="C165" s="737" t="n"/>
      <c r="D165" s="725" t="n"/>
      <c r="E165" s="725" t="n"/>
      <c r="F165" s="725" t="n"/>
      <c r="G165" s="725" t="n"/>
      <c r="H165" s="725" t="n"/>
      <c r="I165" s="725" t="n"/>
      <c r="J165" s="738" t="n"/>
      <c r="K165" s="724" t="n"/>
      <c r="L165" s="724" t="n"/>
      <c r="M165" s="724" t="n"/>
      <c r="N165" s="739" t="n"/>
      <c r="O165" s="751" t="n"/>
      <c r="P165" s="201" t="n"/>
      <c r="Q165" s="191" t="n"/>
      <c r="R165" s="203" t="n"/>
      <c r="S165" s="204" t="n"/>
      <c r="T165" s="761" t="n"/>
      <c r="U165" s="205" t="n"/>
      <c r="V165" s="761" t="n"/>
      <c r="W165" s="761" t="n"/>
      <c r="X165" s="727" t="n"/>
      <c r="Y165" s="191" t="n"/>
      <c r="Z165" s="191" t="n"/>
      <c r="AA165" s="235" t="n"/>
    </row>
    <row r="166" ht="25.5" customFormat="1" customHeight="1" s="758">
      <c r="A166" s="728" t="n"/>
      <c r="B166" s="736" t="n"/>
      <c r="C166" s="737" t="n"/>
      <c r="D166" s="725" t="n"/>
      <c r="E166" s="725" t="n"/>
      <c r="F166" s="725" t="n"/>
      <c r="G166" s="725" t="n"/>
      <c r="H166" s="725" t="n"/>
      <c r="I166" s="725" t="n"/>
      <c r="J166" s="738" t="n"/>
      <c r="K166" s="724" t="n"/>
      <c r="L166" s="724" t="n"/>
      <c r="M166" s="724" t="n"/>
      <c r="N166" s="739" t="n"/>
      <c r="O166" s="751" t="n"/>
      <c r="P166" s="752" t="n"/>
      <c r="Q166" s="753" t="n"/>
      <c r="R166" s="764" t="n"/>
      <c r="S166" s="744" t="n"/>
      <c r="T166" s="741" t="n"/>
      <c r="U166" s="742" t="n"/>
      <c r="V166" s="741" t="n"/>
      <c r="W166" s="741" t="n"/>
      <c r="X166" s="727" t="n"/>
      <c r="Y166" s="745" t="n"/>
      <c r="Z166" s="186" t="n"/>
      <c r="AA166" s="235" t="n"/>
    </row>
    <row r="167" ht="25.5" customFormat="1" customHeight="1" s="758">
      <c r="A167" s="728" t="n"/>
      <c r="B167" s="736" t="n"/>
      <c r="C167" s="737" t="n"/>
      <c r="D167" s="725" t="n"/>
      <c r="E167" s="725" t="n"/>
      <c r="F167" s="725" t="n"/>
      <c r="G167" s="725" t="n"/>
      <c r="H167" s="725" t="n"/>
      <c r="I167" s="725" t="n"/>
      <c r="J167" s="738" t="n"/>
      <c r="K167" s="724" t="n"/>
      <c r="L167" s="724" t="n"/>
      <c r="M167" s="724" t="n"/>
      <c r="N167" s="739" t="n"/>
      <c r="O167" s="751" t="n"/>
      <c r="P167" s="752" t="n"/>
      <c r="Q167" s="753" t="n"/>
      <c r="R167" s="754" t="n"/>
      <c r="S167" s="755" t="n"/>
      <c r="T167" s="759" t="n"/>
      <c r="U167" s="742" t="n"/>
      <c r="V167" s="741" t="n"/>
      <c r="W167" s="741" t="n"/>
      <c r="X167" s="727" t="n"/>
      <c r="Y167" s="745" t="n"/>
      <c r="Z167" s="186" t="n"/>
      <c r="AA167" s="235" t="n"/>
    </row>
    <row r="168" ht="25.5" customFormat="1" customHeight="1" s="758">
      <c r="A168" s="728" t="n"/>
      <c r="B168" s="736" t="n"/>
      <c r="C168" s="737" t="n"/>
      <c r="D168" s="725" t="n"/>
      <c r="E168" s="725" t="n"/>
      <c r="F168" s="725" t="n"/>
      <c r="G168" s="725" t="n"/>
      <c r="H168" s="725" t="n"/>
      <c r="I168" s="725" t="n"/>
      <c r="J168" s="738" t="n"/>
      <c r="K168" s="724" t="n"/>
      <c r="L168" s="724" t="n"/>
      <c r="M168" s="724" t="n"/>
      <c r="N168" s="739" t="n"/>
      <c r="O168" s="751" t="n"/>
      <c r="P168" s="752" t="n"/>
      <c r="Q168" s="753" t="n"/>
      <c r="R168" s="754" t="n"/>
      <c r="S168" s="755" t="n"/>
      <c r="T168" s="741" t="n"/>
      <c r="U168" s="742" t="n"/>
      <c r="V168" s="741" t="n"/>
      <c r="W168" s="741" t="n"/>
      <c r="X168" s="727" t="n"/>
      <c r="Y168" s="745" t="n"/>
      <c r="Z168" s="186" t="n"/>
      <c r="AA168" s="235" t="n"/>
    </row>
    <row r="169" ht="26.25" customFormat="1" customHeight="1" s="758">
      <c r="A169" s="727" t="n"/>
      <c r="B169" s="736" t="n"/>
      <c r="C169" s="719" t="n"/>
      <c r="D169" s="727" t="n"/>
      <c r="E169" s="725" t="n"/>
      <c r="F169" s="727" t="n"/>
      <c r="G169" s="727" t="n"/>
      <c r="H169" s="727" t="n"/>
      <c r="I169" s="725" t="n"/>
      <c r="J169" s="738" t="n"/>
      <c r="K169" s="727" t="n"/>
      <c r="L169" s="727" t="n"/>
      <c r="M169" s="727" t="n"/>
      <c r="N169" s="727" t="n"/>
      <c r="O169" s="727" t="n"/>
      <c r="P169" s="752" t="n"/>
      <c r="Q169" s="753" t="n"/>
      <c r="R169" s="764" t="n"/>
      <c r="S169" s="744" t="n"/>
      <c r="T169" s="741" t="n"/>
      <c r="U169" s="742" t="n"/>
      <c r="V169" s="741" t="n"/>
      <c r="W169" s="741" t="n"/>
      <c r="X169" s="727" t="n"/>
      <c r="Y169" s="745" t="n"/>
      <c r="Z169" s="186" t="n"/>
      <c r="AA169" s="235" t="n"/>
    </row>
    <row r="170" hidden="1" ht="25.5" customFormat="1" customHeight="1" s="758">
      <c r="A170" s="727" t="n"/>
      <c r="B170" s="736" t="n"/>
      <c r="C170" s="719" t="n"/>
      <c r="D170" s="727" t="n"/>
      <c r="E170" s="725" t="n"/>
      <c r="F170" s="727" t="n"/>
      <c r="G170" s="727" t="n"/>
      <c r="H170" s="727" t="n"/>
      <c r="I170" s="725" t="n"/>
      <c r="J170" s="738" t="n"/>
      <c r="K170" s="727" t="n"/>
      <c r="L170" s="727" t="n"/>
      <c r="M170" s="727" t="n"/>
      <c r="N170" s="727" t="n"/>
      <c r="O170" s="727" t="n"/>
      <c r="P170" s="752" t="n"/>
      <c r="Q170" s="753" t="n"/>
      <c r="R170" s="754" t="n"/>
      <c r="S170" s="755" t="n"/>
      <c r="T170" s="759" t="n"/>
      <c r="U170" s="763" t="n"/>
      <c r="V170" s="759" t="n"/>
      <c r="W170" s="741" t="n"/>
      <c r="X170" s="727" t="n"/>
      <c r="Y170" s="745" t="n"/>
      <c r="Z170" s="186" t="n"/>
      <c r="AA170" s="235" t="n"/>
    </row>
    <row r="171" hidden="1" ht="25.5" customFormat="1" customHeight="1" s="758">
      <c r="A171" s="728" t="n"/>
      <c r="B171" s="736" t="n"/>
      <c r="C171" s="737" t="n"/>
      <c r="D171" s="725" t="n"/>
      <c r="E171" s="725" t="n"/>
      <c r="F171" s="725" t="n"/>
      <c r="G171" s="725" t="n"/>
      <c r="H171" s="725" t="n"/>
      <c r="I171" s="725" t="n"/>
      <c r="J171" s="738" t="n"/>
      <c r="K171" s="724" t="n"/>
      <c r="L171" s="724" t="n"/>
      <c r="M171" s="724" t="n"/>
      <c r="N171" s="739" t="n"/>
      <c r="O171" s="751" t="n"/>
      <c r="P171" s="752" t="n"/>
      <c r="Q171" s="753" t="n"/>
      <c r="R171" s="754" t="n"/>
      <c r="S171" s="755" t="n"/>
      <c r="T171" s="759" t="n"/>
      <c r="U171" s="763" t="n"/>
      <c r="V171" s="759" t="n"/>
      <c r="W171" s="741" t="n"/>
      <c r="X171" s="727" t="n"/>
      <c r="Y171" s="745" t="n"/>
      <c r="Z171" s="186" t="n"/>
      <c r="AA171" s="235" t="n"/>
    </row>
    <row r="172" hidden="1" ht="25.5" customFormat="1" customHeight="1" s="758">
      <c r="A172" s="728" t="n"/>
      <c r="B172" s="736" t="n"/>
      <c r="C172" s="737" t="n"/>
      <c r="D172" s="725" t="n"/>
      <c r="E172" s="725" t="n"/>
      <c r="F172" s="725" t="n"/>
      <c r="G172" s="725" t="n"/>
      <c r="H172" s="725" t="n"/>
      <c r="I172" s="725" t="n"/>
      <c r="J172" s="738" t="n"/>
      <c r="K172" s="724" t="n"/>
      <c r="L172" s="724" t="n"/>
      <c r="M172" s="724" t="n"/>
      <c r="N172" s="739" t="n"/>
      <c r="O172" s="751" t="n"/>
      <c r="P172" s="752" t="n"/>
      <c r="Q172" s="753" t="n"/>
      <c r="R172" s="764" t="n"/>
      <c r="S172" s="755" t="n"/>
      <c r="T172" s="759" t="n"/>
      <c r="U172" s="763" t="n"/>
      <c r="V172" s="741" t="n"/>
      <c r="W172" s="741" t="n"/>
      <c r="X172" s="727" t="n"/>
      <c r="Y172" s="745" t="n"/>
      <c r="Z172" s="186" t="n"/>
      <c r="AA172" s="235" t="n"/>
    </row>
    <row r="173" ht="54.75" customFormat="1" customHeight="1" s="758">
      <c r="A173" s="696" t="n"/>
      <c r="B173" s="202" t="n"/>
      <c r="C173" s="585" t="n"/>
      <c r="D173" s="697" t="n"/>
      <c r="E173" s="508" t="n"/>
      <c r="F173" s="697" t="n"/>
      <c r="G173" s="697" t="n"/>
      <c r="H173" s="697" t="n"/>
      <c r="I173" s="508" t="n"/>
      <c r="J173" s="558" t="n"/>
      <c r="K173" s="698" t="n"/>
      <c r="L173" s="698" t="n"/>
      <c r="M173" s="698" t="n"/>
      <c r="N173" s="699" t="n"/>
      <c r="O173" s="699" t="n"/>
      <c r="P173" s="191" t="n"/>
      <c r="Q173" s="191" t="n"/>
      <c r="R173" s="192" t="n"/>
      <c r="S173" s="188" t="n"/>
      <c r="T173" s="761" t="n"/>
      <c r="U173" s="762" t="n"/>
      <c r="V173" s="761" t="n"/>
      <c r="W173" s="761" t="n"/>
      <c r="X173" s="727" t="n"/>
      <c r="Y173" s="191" t="n"/>
      <c r="Z173" s="191" t="n"/>
      <c r="AA173" s="248" t="inlineStr">
        <is>
          <t>Miễn kiểm 无需检验</t>
        </is>
      </c>
    </row>
    <row r="174" ht="25.5" customFormat="1" customHeight="1" s="758">
      <c r="A174" s="709" t="n"/>
      <c r="B174" s="202" t="n"/>
      <c r="C174" s="502" t="n"/>
      <c r="D174" s="709" t="n"/>
      <c r="E174" s="508" t="n"/>
      <c r="F174" s="709" t="n"/>
      <c r="G174" s="709" t="n"/>
      <c r="H174" s="709" t="n"/>
      <c r="I174" s="508" t="n"/>
      <c r="J174" s="558" t="n"/>
      <c r="K174" s="709" t="n"/>
      <c r="L174" s="709" t="n"/>
      <c r="M174" s="709" t="n"/>
      <c r="N174" s="709" t="n"/>
      <c r="O174" s="709" t="n"/>
      <c r="P174" s="191" t="n"/>
      <c r="Q174" s="191" t="n"/>
      <c r="R174" s="192" t="n"/>
      <c r="S174" s="188" t="n"/>
      <c r="T174" s="512" t="n"/>
      <c r="U174" s="762" t="n"/>
      <c r="V174" s="761" t="n"/>
      <c r="W174" s="761" t="n"/>
      <c r="X174" s="727" t="n"/>
      <c r="Y174" s="191" t="n"/>
      <c r="Z174" s="191" t="n"/>
      <c r="AA174" s="235" t="n"/>
    </row>
    <row r="175" ht="25.5" customFormat="1" customHeight="1" s="758">
      <c r="A175" s="728" t="n"/>
      <c r="B175" s="736" t="n"/>
      <c r="C175" s="737" t="n"/>
      <c r="D175" s="725" t="n"/>
      <c r="E175" s="725" t="n"/>
      <c r="F175" s="725" t="n"/>
      <c r="G175" s="725" t="n"/>
      <c r="H175" s="725" t="n"/>
      <c r="I175" s="725" t="n"/>
      <c r="J175" s="738" t="n"/>
      <c r="K175" s="724" t="n"/>
      <c r="L175" s="724" t="n"/>
      <c r="M175" s="724" t="n"/>
      <c r="N175" s="739" t="n"/>
      <c r="O175" s="751" t="n"/>
      <c r="P175" s="201" t="n"/>
      <c r="Q175" s="191" t="n"/>
      <c r="R175" s="203" t="n"/>
      <c r="S175" s="204" t="n"/>
      <c r="T175" s="761" t="n"/>
      <c r="U175" s="205" t="n"/>
      <c r="V175" s="761" t="n"/>
      <c r="W175" s="761" t="n"/>
      <c r="X175" s="727" t="n"/>
      <c r="Y175" s="191" t="n"/>
      <c r="Z175" s="191" t="n"/>
      <c r="AA175" s="235" t="n"/>
    </row>
    <row r="176" hidden="1" ht="25.5" customFormat="1" customHeight="1" s="758">
      <c r="A176" s="728" t="n"/>
      <c r="B176" s="736" t="n"/>
      <c r="C176" s="737" t="n"/>
      <c r="D176" s="725" t="n"/>
      <c r="E176" s="725" t="n"/>
      <c r="F176" s="725" t="n"/>
      <c r="G176" s="725" t="n"/>
      <c r="H176" s="725" t="n"/>
      <c r="I176" s="725" t="n"/>
      <c r="J176" s="738" t="n"/>
      <c r="K176" s="724" t="n"/>
      <c r="L176" s="724" t="n"/>
      <c r="M176" s="724" t="n"/>
      <c r="N176" s="739" t="n"/>
      <c r="O176" s="751" t="n"/>
      <c r="P176" s="201" t="n"/>
      <c r="Q176" s="191" t="n"/>
      <c r="R176" s="203" t="n"/>
      <c r="S176" s="204" t="n"/>
      <c r="T176" s="761" t="n"/>
      <c r="U176" s="205" t="n"/>
      <c r="V176" s="761" t="n"/>
      <c r="W176" s="761" t="n"/>
      <c r="X176" s="727" t="n"/>
      <c r="Y176" s="191" t="n"/>
      <c r="Z176" s="191" t="n"/>
      <c r="AA176" s="235" t="n"/>
    </row>
    <row r="177" ht="25.5" customFormat="1" customHeight="1" s="758">
      <c r="A177" s="728" t="n"/>
      <c r="B177" s="736" t="n"/>
      <c r="C177" s="737" t="n"/>
      <c r="D177" s="725" t="n"/>
      <c r="E177" s="725" t="n"/>
      <c r="F177" s="725" t="n"/>
      <c r="G177" s="725" t="n"/>
      <c r="H177" s="725" t="n"/>
      <c r="I177" s="725" t="n"/>
      <c r="J177" s="738" t="n"/>
      <c r="K177" s="724" t="n"/>
      <c r="L177" s="724" t="n"/>
      <c r="M177" s="724" t="n"/>
      <c r="N177" s="739" t="n"/>
      <c r="O177" s="751" t="n"/>
      <c r="P177" s="752" t="n"/>
      <c r="Q177" s="753" t="n"/>
      <c r="R177" s="754" t="n"/>
      <c r="S177" s="755" t="n"/>
      <c r="T177" s="759" t="n"/>
      <c r="U177" s="742" t="n"/>
      <c r="V177" s="741" t="n"/>
      <c r="W177" s="741" t="n"/>
      <c r="X177" s="727" t="n"/>
      <c r="Y177" s="745" t="n"/>
      <c r="Z177" s="186" t="n"/>
      <c r="AA177" s="235" t="n"/>
    </row>
    <row r="178" ht="25.5" customFormat="1" customHeight="1" s="758">
      <c r="A178" s="728" t="n"/>
      <c r="B178" s="736" t="n"/>
      <c r="C178" s="737" t="n"/>
      <c r="D178" s="725" t="n"/>
      <c r="E178" s="725" t="n"/>
      <c r="F178" s="725" t="n"/>
      <c r="G178" s="725" t="n"/>
      <c r="H178" s="725" t="n"/>
      <c r="I178" s="725" t="n"/>
      <c r="J178" s="738" t="n"/>
      <c r="K178" s="724" t="n"/>
      <c r="L178" s="724" t="n"/>
      <c r="M178" s="724" t="n"/>
      <c r="N178" s="739" t="n"/>
      <c r="O178" s="751" t="n"/>
      <c r="P178" s="752" t="n"/>
      <c r="Q178" s="753" t="n"/>
      <c r="R178" s="754" t="n"/>
      <c r="S178" s="755" t="n"/>
      <c r="T178" s="741" t="n"/>
      <c r="U178" s="742" t="n"/>
      <c r="V178" s="741" t="n"/>
      <c r="W178" s="741" t="n"/>
      <c r="X178" s="727" t="n"/>
      <c r="Y178" s="745" t="n"/>
      <c r="Z178" s="186" t="n"/>
      <c r="AA178" s="235" t="n"/>
    </row>
    <row r="179" ht="25.5" customFormat="1" customHeight="1" s="758">
      <c r="A179" s="727" t="n"/>
      <c r="B179" s="736" t="n"/>
      <c r="C179" s="719" t="n"/>
      <c r="D179" s="727" t="n"/>
      <c r="E179" s="725" t="n"/>
      <c r="F179" s="727" t="n"/>
      <c r="G179" s="727" t="n"/>
      <c r="H179" s="727" t="n"/>
      <c r="I179" s="725" t="n"/>
      <c r="J179" s="738" t="n"/>
      <c r="K179" s="727" t="n"/>
      <c r="L179" s="727" t="n"/>
      <c r="M179" s="727" t="n"/>
      <c r="N179" s="727" t="n"/>
      <c r="O179" s="727" t="n"/>
      <c r="P179" s="752" t="n"/>
      <c r="Q179" s="753" t="n"/>
      <c r="R179" s="764" t="n"/>
      <c r="S179" s="744" t="n"/>
      <c r="T179" s="741" t="n"/>
      <c r="U179" s="742" t="n"/>
      <c r="V179" s="741" t="n"/>
      <c r="W179" s="741" t="n"/>
      <c r="X179" s="727" t="n"/>
      <c r="Y179" s="745" t="n"/>
      <c r="Z179" s="186" t="n"/>
      <c r="AA179" s="235" t="n"/>
    </row>
    <row r="180" ht="33" customFormat="1" customHeight="1" s="758">
      <c r="A180" s="727" t="n"/>
      <c r="B180" s="736" t="n"/>
      <c r="C180" s="719" t="n"/>
      <c r="D180" s="727" t="n"/>
      <c r="E180" s="725" t="n"/>
      <c r="F180" s="727" t="n"/>
      <c r="G180" s="727" t="n"/>
      <c r="H180" s="727" t="n"/>
      <c r="I180" s="725" t="n"/>
      <c r="J180" s="738" t="n"/>
      <c r="K180" s="727" t="n"/>
      <c r="L180" s="727" t="n"/>
      <c r="M180" s="727" t="n"/>
      <c r="N180" s="727" t="n"/>
      <c r="O180" s="727" t="n"/>
      <c r="P180" s="752" t="n"/>
      <c r="Q180" s="753" t="n"/>
      <c r="R180" s="754" t="n"/>
      <c r="S180" s="755" t="n"/>
      <c r="T180" s="759" t="n"/>
      <c r="U180" s="763" t="n"/>
      <c r="V180" s="759" t="n"/>
      <c r="W180" s="741" t="n"/>
      <c r="X180" s="727" t="n"/>
      <c r="Y180" s="745" t="n"/>
      <c r="Z180" s="186" t="n"/>
      <c r="AA180" s="235" t="n"/>
    </row>
    <row r="181" ht="22.5" customHeight="1">
      <c r="A181" s="727" t="n"/>
      <c r="B181" s="736" t="n"/>
      <c r="C181" s="719" t="n"/>
      <c r="D181" s="727" t="n"/>
      <c r="E181" s="725" t="n"/>
      <c r="F181" s="727" t="n"/>
      <c r="G181" s="727" t="n"/>
      <c r="H181" s="727" t="n"/>
      <c r="I181" s="725" t="n"/>
      <c r="J181" s="738" t="n"/>
      <c r="K181" s="727" t="n"/>
      <c r="L181" s="727" t="n"/>
      <c r="M181" s="727" t="n"/>
      <c r="N181" s="727" t="n"/>
      <c r="O181" s="727" t="n"/>
      <c r="P181" s="752" t="n"/>
      <c r="Q181" s="753" t="n"/>
      <c r="R181" s="754" t="n"/>
      <c r="S181" s="755" t="n"/>
      <c r="T181" s="759" t="n"/>
      <c r="U181" s="763" t="n"/>
      <c r="V181" s="759" t="n"/>
      <c r="W181" s="741" t="n"/>
      <c r="X181" s="727" t="n"/>
      <c r="Y181" s="745" t="n"/>
      <c r="Z181" s="186" t="n"/>
      <c r="AA181" s="235" t="n"/>
    </row>
    <row r="182" ht="15.6" customHeight="1">
      <c r="A182" s="728" t="n"/>
      <c r="B182" s="736" t="n"/>
      <c r="C182" s="737" t="n"/>
      <c r="D182" s="725" t="n"/>
      <c r="E182" s="725" t="n"/>
      <c r="F182" s="725" t="n"/>
      <c r="G182" s="725" t="n"/>
      <c r="H182" s="725" t="n"/>
      <c r="I182" s="725" t="n"/>
      <c r="J182" s="738" t="n"/>
      <c r="K182" s="724" t="n"/>
      <c r="L182" s="724" t="n"/>
      <c r="M182" s="724" t="n"/>
      <c r="N182" s="739" t="n"/>
      <c r="O182" s="751" t="n"/>
      <c r="P182" s="752" t="n"/>
      <c r="Q182" s="753" t="n"/>
      <c r="R182" s="764" t="n"/>
      <c r="S182" s="755" t="n"/>
      <c r="T182" s="759" t="n"/>
      <c r="U182" s="763" t="n"/>
      <c r="V182" s="741" t="n"/>
      <c r="W182" s="741" t="n"/>
      <c r="X182" s="727" t="n"/>
      <c r="Y182" s="745" t="n"/>
      <c r="Z182" s="186" t="n"/>
      <c r="AA182" s="235" t="n"/>
    </row>
    <row r="183" ht="15.6" customHeight="1">
      <c r="A183" s="696" t="n"/>
      <c r="B183" s="765" t="n"/>
      <c r="C183" s="697" t="n"/>
      <c r="D183" s="697" t="n"/>
      <c r="E183" s="766" t="n"/>
      <c r="F183" s="697" t="n"/>
      <c r="G183" s="697" t="n"/>
      <c r="H183" s="697" t="n"/>
      <c r="I183" s="766" t="n"/>
      <c r="J183" s="767" t="n"/>
      <c r="K183" s="698" t="n"/>
      <c r="L183" s="698" t="n"/>
      <c r="M183" s="698" t="n"/>
      <c r="N183" s="699" t="n"/>
      <c r="O183" s="699" t="n"/>
      <c r="P183" s="245" t="n"/>
      <c r="Q183" s="191" t="n"/>
      <c r="R183" s="192" t="n"/>
      <c r="S183" s="188" t="n"/>
      <c r="T183" s="761" t="n"/>
      <c r="U183" s="762" t="n"/>
      <c r="V183" s="761" t="n"/>
      <c r="W183" s="761" t="n"/>
      <c r="X183" s="727" t="n"/>
      <c r="Y183" s="191" t="n"/>
      <c r="Z183" s="191" t="n"/>
      <c r="AA183" s="248" t="inlineStr">
        <is>
          <t>Miễn kiểm 无需检验</t>
        </is>
      </c>
    </row>
    <row r="184" ht="33.9" customHeight="1">
      <c r="A184" s="727" t="n"/>
      <c r="B184" s="765" t="n"/>
      <c r="C184" s="727" t="n"/>
      <c r="D184" s="727" t="n"/>
      <c r="E184" s="766" t="n"/>
      <c r="F184" s="727" t="n"/>
      <c r="G184" s="727" t="n"/>
      <c r="H184" s="727" t="n"/>
      <c r="I184" s="766" t="n"/>
      <c r="J184" s="767" t="n"/>
      <c r="K184" s="727" t="n"/>
      <c r="L184" s="727" t="n"/>
      <c r="M184" s="727" t="n"/>
      <c r="N184" s="727" t="n"/>
      <c r="O184" s="727" t="n"/>
      <c r="P184" s="245" t="n"/>
      <c r="Q184" s="191" t="n"/>
      <c r="R184" s="192" t="n"/>
      <c r="S184" s="188" t="n"/>
      <c r="T184" s="512" t="n"/>
      <c r="U184" s="762" t="n"/>
      <c r="V184" s="761" t="n"/>
      <c r="W184" s="761" t="n"/>
      <c r="X184" s="727" t="n"/>
      <c r="Y184" s="191" t="n"/>
      <c r="Z184" s="191" t="n"/>
      <c r="AA184" s="235" t="n"/>
    </row>
    <row r="185" ht="32.4" customHeight="1">
      <c r="A185" s="709" t="n"/>
      <c r="B185" s="765" t="n"/>
      <c r="C185" s="709" t="n"/>
      <c r="D185" s="709" t="n"/>
      <c r="E185" s="766" t="n"/>
      <c r="F185" s="709" t="n"/>
      <c r="G185" s="709" t="n"/>
      <c r="H185" s="709" t="n"/>
      <c r="I185" s="766" t="n"/>
      <c r="J185" s="767" t="n"/>
      <c r="K185" s="709" t="n"/>
      <c r="L185" s="709" t="n"/>
      <c r="M185" s="709" t="n"/>
      <c r="N185" s="709" t="n"/>
      <c r="O185" s="709" t="n"/>
      <c r="P185" s="248" t="n"/>
      <c r="Q185" s="191" t="n"/>
      <c r="R185" s="203" t="n"/>
      <c r="S185" s="204" t="n"/>
      <c r="T185" s="761" t="n"/>
      <c r="U185" s="205" t="n"/>
      <c r="V185" s="761" t="n"/>
      <c r="W185" s="761" t="n"/>
      <c r="X185" s="727" t="n"/>
      <c r="Y185" s="191" t="n"/>
      <c r="Z185" s="191" t="n"/>
      <c r="AA185" s="235" t="n"/>
    </row>
    <row r="186" ht="30" customHeight="1">
      <c r="A186" s="728" t="n"/>
      <c r="B186" s="736" t="n"/>
      <c r="C186" s="737" t="n"/>
      <c r="D186" s="725" t="n"/>
      <c r="E186" s="725" t="n"/>
      <c r="F186" s="725" t="n"/>
      <c r="G186" s="725" t="n"/>
      <c r="H186" s="725" t="n"/>
      <c r="I186" s="725" t="n"/>
      <c r="J186" s="738" t="n"/>
      <c r="K186" s="724" t="n"/>
      <c r="L186" s="724" t="n"/>
      <c r="M186" s="724" t="n"/>
      <c r="N186" s="739" t="n"/>
      <c r="O186" s="751" t="n"/>
      <c r="P186" s="622" t="n"/>
      <c r="Q186" s="191" t="n"/>
      <c r="R186" s="203" t="n"/>
      <c r="S186" s="204" t="n"/>
      <c r="T186" s="761" t="n"/>
      <c r="U186" s="205" t="n"/>
      <c r="V186" s="761" t="n"/>
      <c r="W186" s="761" t="n"/>
      <c r="X186" s="727" t="n"/>
      <c r="Y186" s="191" t="n"/>
      <c r="Z186" s="191" t="n"/>
      <c r="AA186" s="235" t="n"/>
    </row>
    <row r="187" ht="15.6" customHeight="1">
      <c r="A187" s="728" t="n"/>
      <c r="B187" s="736" t="n"/>
      <c r="C187" s="737" t="n"/>
      <c r="D187" s="725" t="n"/>
      <c r="E187" s="725" t="n"/>
      <c r="F187" s="725" t="n"/>
      <c r="G187" s="725" t="n"/>
      <c r="H187" s="725" t="n"/>
      <c r="I187" s="725" t="n"/>
      <c r="J187" s="738" t="n"/>
      <c r="K187" s="724" t="n"/>
      <c r="L187" s="724" t="n"/>
      <c r="M187" s="724" t="n"/>
      <c r="N187" s="739" t="n"/>
      <c r="O187" s="751" t="n"/>
      <c r="P187" s="752" t="n"/>
      <c r="Q187" s="753" t="n"/>
      <c r="R187" s="754" t="n"/>
      <c r="S187" s="755" t="n"/>
      <c r="T187" s="759" t="n"/>
      <c r="U187" s="742" t="n"/>
      <c r="V187" s="741" t="n"/>
      <c r="W187" s="741" t="n"/>
      <c r="X187" s="727" t="n"/>
      <c r="Y187" s="745" t="n"/>
      <c r="Z187" s="186" t="n"/>
      <c r="AA187" s="235" t="n"/>
    </row>
    <row r="188" ht="15.6" customHeight="1">
      <c r="A188" s="728" t="n"/>
      <c r="B188" s="736" t="n"/>
      <c r="C188" s="737" t="n"/>
      <c r="D188" s="725" t="n"/>
      <c r="E188" s="725" t="n"/>
      <c r="F188" s="725" t="n"/>
      <c r="G188" s="725" t="n"/>
      <c r="H188" s="725" t="n"/>
      <c r="I188" s="725" t="n"/>
      <c r="J188" s="738" t="n"/>
      <c r="K188" s="724" t="n"/>
      <c r="L188" s="724" t="n"/>
      <c r="M188" s="724" t="n"/>
      <c r="N188" s="739" t="n"/>
      <c r="O188" s="751" t="n"/>
      <c r="P188" s="752" t="n"/>
      <c r="Q188" s="753" t="n"/>
      <c r="R188" s="754" t="n"/>
      <c r="S188" s="755" t="n"/>
      <c r="T188" s="741" t="n"/>
      <c r="U188" s="742" t="n"/>
      <c r="V188" s="741" t="n"/>
      <c r="W188" s="741" t="n"/>
      <c r="X188" s="727" t="n"/>
      <c r="Y188" s="745" t="n"/>
      <c r="Z188" s="186" t="n"/>
      <c r="AA188" s="235" t="n"/>
    </row>
    <row r="189" ht="14.4" customHeight="1">
      <c r="A189" s="728" t="n"/>
      <c r="B189" s="736" t="n"/>
      <c r="C189" s="737" t="n"/>
      <c r="D189" s="725" t="n"/>
      <c r="E189" s="725" t="n"/>
      <c r="F189" s="725" t="n"/>
      <c r="G189" s="725" t="n"/>
      <c r="H189" s="725" t="n"/>
      <c r="I189" s="725" t="n"/>
      <c r="J189" s="738" t="n"/>
      <c r="K189" s="724" t="n"/>
      <c r="L189" s="724" t="n"/>
      <c r="M189" s="724" t="n"/>
      <c r="N189" s="739" t="n"/>
      <c r="O189" s="751" t="n"/>
      <c r="P189" s="752" t="n"/>
      <c r="Q189" s="753" t="n"/>
      <c r="R189" s="764" t="n"/>
      <c r="S189" s="744" t="n"/>
      <c r="T189" s="741" t="n"/>
      <c r="U189" s="742" t="n"/>
      <c r="V189" s="741" t="n"/>
      <c r="W189" s="741" t="n"/>
      <c r="X189" s="727" t="n"/>
      <c r="Y189" s="745" t="n"/>
      <c r="Z189" s="186" t="n"/>
      <c r="AA189" s="235" t="n"/>
    </row>
    <row r="190" ht="14.4" customHeight="1">
      <c r="A190" s="728" t="n"/>
      <c r="B190" s="736" t="n"/>
      <c r="C190" s="737" t="n"/>
      <c r="D190" s="725" t="n"/>
      <c r="E190" s="725" t="n"/>
      <c r="F190" s="725" t="n"/>
      <c r="G190" s="725" t="n"/>
      <c r="H190" s="725" t="n"/>
      <c r="I190" s="725" t="n"/>
      <c r="J190" s="738" t="n"/>
      <c r="K190" s="724" t="n"/>
      <c r="L190" s="724" t="n"/>
      <c r="M190" s="724" t="n"/>
      <c r="N190" s="739" t="n"/>
      <c r="O190" s="751" t="n"/>
      <c r="P190" s="752" t="n"/>
      <c r="Q190" s="753" t="n"/>
      <c r="R190" s="754" t="n"/>
      <c r="S190" s="755" t="n"/>
      <c r="T190" s="759" t="n"/>
      <c r="U190" s="763" t="n"/>
      <c r="V190" s="759" t="n"/>
      <c r="W190" s="741" t="n"/>
      <c r="X190" s="727" t="n"/>
      <c r="Y190" s="745" t="n"/>
      <c r="Z190" s="186" t="n"/>
      <c r="AA190" s="235" t="n"/>
    </row>
    <row r="191" ht="14.4" customHeight="1">
      <c r="A191" s="728" t="n"/>
      <c r="B191" s="736" t="n"/>
      <c r="C191" s="737" t="n"/>
      <c r="D191" s="725" t="n"/>
      <c r="E191" s="725" t="n"/>
      <c r="F191" s="725" t="n"/>
      <c r="G191" s="725" t="n"/>
      <c r="H191" s="725" t="n"/>
      <c r="I191" s="725" t="n"/>
      <c r="J191" s="738" t="n"/>
      <c r="K191" s="724" t="n"/>
      <c r="L191" s="724" t="n"/>
      <c r="M191" s="724" t="n"/>
      <c r="N191" s="739" t="n"/>
      <c r="O191" s="751" t="n"/>
      <c r="P191" s="752" t="n"/>
      <c r="Q191" s="753" t="n"/>
      <c r="R191" s="754" t="n"/>
      <c r="S191" s="755" t="n"/>
      <c r="T191" s="759" t="n"/>
      <c r="U191" s="763" t="n"/>
      <c r="V191" s="759" t="n"/>
      <c r="W191" s="741" t="n"/>
      <c r="X191" s="727" t="n"/>
      <c r="Y191" s="745" t="n"/>
      <c r="Z191" s="186" t="n"/>
      <c r="AA191" s="235" t="n"/>
    </row>
    <row r="192" ht="16.8" customHeight="1">
      <c r="A192" s="728" t="n"/>
      <c r="B192" s="736" t="n"/>
      <c r="C192" s="737" t="n"/>
      <c r="D192" s="725" t="n"/>
      <c r="E192" s="725" t="n"/>
      <c r="F192" s="725" t="n"/>
      <c r="G192" s="725" t="n"/>
      <c r="H192" s="725" t="n"/>
      <c r="I192" s="725" t="n"/>
      <c r="J192" s="738" t="n"/>
      <c r="K192" s="724" t="n"/>
      <c r="L192" s="724" t="n"/>
      <c r="M192" s="724" t="n"/>
      <c r="N192" s="739" t="n"/>
      <c r="O192" s="751" t="n"/>
      <c r="P192" s="752" t="n"/>
      <c r="Q192" s="753" t="n"/>
      <c r="R192" s="764" t="n"/>
      <c r="S192" s="755" t="n"/>
      <c r="T192" s="759" t="n"/>
      <c r="U192" s="763" t="n"/>
      <c r="V192" s="741" t="n"/>
      <c r="W192" s="741" t="n"/>
      <c r="X192" s="727" t="n"/>
      <c r="Y192" s="745" t="n"/>
      <c r="Z192" s="186" t="n"/>
      <c r="AA192" s="235" t="n"/>
    </row>
    <row r="193" ht="15.6" customHeight="1">
      <c r="A193" s="696" t="n"/>
      <c r="B193" s="765" t="n"/>
      <c r="C193" s="697" t="n"/>
      <c r="D193" s="697" t="n"/>
      <c r="E193" s="766" t="n"/>
      <c r="F193" s="697" t="n"/>
      <c r="G193" s="697" t="n"/>
      <c r="H193" s="697" t="n"/>
      <c r="I193" s="766" t="n"/>
      <c r="J193" s="767" t="n"/>
      <c r="K193" s="698" t="n"/>
      <c r="L193" s="698" t="n"/>
      <c r="M193" s="698" t="n"/>
      <c r="N193" s="699" t="n"/>
      <c r="O193" s="699" t="n"/>
      <c r="P193" s="245" t="n"/>
      <c r="Q193" s="191" t="n"/>
      <c r="R193" s="192" t="n"/>
      <c r="S193" s="188" t="n"/>
      <c r="T193" s="761" t="n"/>
      <c r="U193" s="762" t="n"/>
      <c r="V193" s="761" t="n"/>
      <c r="W193" s="761" t="n"/>
      <c r="X193" s="727" t="n"/>
      <c r="Y193" s="191" t="n"/>
      <c r="Z193" s="191" t="n"/>
      <c r="AA193" s="248" t="inlineStr">
        <is>
          <t>Miễn kiểm 无需检验</t>
        </is>
      </c>
    </row>
    <row r="194" ht="15.6" customHeight="1">
      <c r="A194" s="727" t="n"/>
      <c r="B194" s="765" t="n"/>
      <c r="C194" s="727" t="n"/>
      <c r="D194" s="727" t="n"/>
      <c r="E194" s="766" t="n"/>
      <c r="F194" s="727" t="n"/>
      <c r="G194" s="727" t="n"/>
      <c r="H194" s="727" t="n"/>
      <c r="I194" s="766" t="n"/>
      <c r="J194" s="767" t="n"/>
      <c r="K194" s="727" t="n"/>
      <c r="L194" s="727" t="n"/>
      <c r="M194" s="727" t="n"/>
      <c r="N194" s="727" t="n"/>
      <c r="O194" s="727" t="n"/>
      <c r="P194" s="245" t="n"/>
      <c r="Q194" s="191" t="n"/>
      <c r="R194" s="192" t="n"/>
      <c r="S194" s="188" t="n"/>
      <c r="T194" s="512" t="n"/>
      <c r="U194" s="762" t="n"/>
      <c r="V194" s="761" t="n"/>
      <c r="W194" s="761" t="n"/>
      <c r="X194" s="727" t="n"/>
      <c r="Y194" s="191" t="n"/>
      <c r="Z194" s="191" t="n"/>
      <c r="AA194" s="235" t="n"/>
    </row>
    <row r="195" ht="15.6" customHeight="1">
      <c r="A195" s="727" t="n"/>
      <c r="B195" s="765" t="n"/>
      <c r="C195" s="727" t="n"/>
      <c r="D195" s="727" t="n"/>
      <c r="E195" s="766" t="n"/>
      <c r="F195" s="727" t="n"/>
      <c r="G195" s="727" t="n"/>
      <c r="H195" s="727" t="n"/>
      <c r="I195" s="766" t="n"/>
      <c r="J195" s="767" t="n"/>
      <c r="K195" s="727" t="n"/>
      <c r="L195" s="727" t="n"/>
      <c r="M195" s="727" t="n"/>
      <c r="N195" s="727" t="n"/>
      <c r="O195" s="727" t="n"/>
      <c r="P195" s="248" t="n"/>
      <c r="Q195" s="191" t="n"/>
      <c r="R195" s="203" t="n"/>
      <c r="S195" s="204" t="n"/>
      <c r="T195" s="761" t="n"/>
      <c r="U195" s="205" t="n"/>
      <c r="V195" s="761" t="n"/>
      <c r="W195" s="761" t="n"/>
      <c r="X195" s="727" t="n"/>
      <c r="Y195" s="191" t="n"/>
      <c r="Z195" s="191" t="n"/>
      <c r="AA195" s="235" t="n"/>
    </row>
    <row r="196" ht="15.6" customHeight="1">
      <c r="A196" s="709" t="n"/>
      <c r="B196" s="798" t="n"/>
      <c r="C196" s="798" t="n"/>
      <c r="D196" s="798" t="n"/>
      <c r="E196" s="798" t="n"/>
      <c r="F196" s="798" t="n"/>
      <c r="G196" s="798" t="n"/>
      <c r="H196" s="798" t="n"/>
      <c r="I196" s="798" t="n"/>
      <c r="J196" s="799" t="n"/>
      <c r="K196" s="709" t="n"/>
      <c r="L196" s="709" t="n"/>
      <c r="M196" s="709" t="n"/>
      <c r="N196" s="709" t="n"/>
      <c r="O196" s="709" t="n"/>
      <c r="P196" s="752" t="n"/>
      <c r="Q196" s="753" t="n"/>
      <c r="R196" s="654" t="n"/>
      <c r="S196" s="655" t="n"/>
      <c r="T196" s="368" t="n"/>
      <c r="U196" s="656" t="n"/>
      <c r="V196" s="368" t="n"/>
      <c r="W196" s="368" t="n"/>
      <c r="X196" s="727" t="n"/>
      <c r="Y196" s="745" t="n"/>
      <c r="Z196" s="186" t="n"/>
      <c r="AA196" s="235" t="n"/>
    </row>
    <row r="197" ht="15.6" customHeight="1">
      <c r="A197" s="728" t="n"/>
      <c r="B197" s="736" t="n"/>
      <c r="C197" s="737" t="n"/>
      <c r="D197" s="725" t="n"/>
      <c r="E197" s="725" t="n"/>
      <c r="F197" s="725" t="n"/>
      <c r="G197" s="725" t="n"/>
      <c r="H197" s="725" t="n"/>
      <c r="I197" s="725" t="n"/>
      <c r="J197" s="738" t="n"/>
      <c r="K197" s="800" t="n"/>
      <c r="L197" s="798" t="n"/>
      <c r="M197" s="798" t="n"/>
      <c r="N197" s="798" t="n"/>
      <c r="O197" s="798" t="n"/>
      <c r="P197" s="798" t="n"/>
      <c r="Q197" s="798" t="n"/>
      <c r="R197" s="798" t="n"/>
      <c r="S197" s="799" t="n"/>
      <c r="T197" s="759" t="n"/>
      <c r="U197" s="706" t="n"/>
      <c r="V197" s="706" t="n"/>
      <c r="W197" s="706" t="n"/>
      <c r="X197" s="706" t="n"/>
      <c r="Y197" s="707" t="n"/>
      <c r="Z197" s="186" t="n"/>
      <c r="AA197" s="235" t="n"/>
    </row>
    <row r="198" ht="15.6" customHeight="1">
      <c r="A198" s="728" t="n"/>
      <c r="B198" s="736" t="n"/>
      <c r="C198" s="737" t="n"/>
      <c r="D198" s="725" t="n"/>
      <c r="E198" s="725" t="n"/>
      <c r="F198" s="725" t="n"/>
      <c r="G198" s="725" t="n"/>
      <c r="H198" s="725" t="n"/>
      <c r="I198" s="725" t="n"/>
      <c r="J198" s="738" t="n"/>
      <c r="K198" s="724" t="n"/>
      <c r="L198" s="724" t="n"/>
      <c r="M198" s="724" t="n"/>
      <c r="N198" s="739" t="n"/>
      <c r="O198" s="751" t="n"/>
      <c r="P198" s="752" t="n"/>
      <c r="Q198" s="753" t="n"/>
      <c r="R198" s="754" t="n"/>
      <c r="S198" s="755" t="n"/>
      <c r="T198" s="741" t="n"/>
      <c r="U198" s="742" t="n"/>
      <c r="V198" s="741" t="n"/>
      <c r="W198" s="741" t="n"/>
      <c r="X198" s="727" t="n"/>
      <c r="Y198" s="745" t="n"/>
      <c r="Z198" s="186" t="n"/>
      <c r="AA198" s="235" t="n"/>
    </row>
    <row r="199" ht="15.6" customHeight="1">
      <c r="A199" s="728" t="n"/>
      <c r="B199" s="736" t="n"/>
      <c r="C199" s="737" t="n"/>
      <c r="D199" s="725" t="n"/>
      <c r="E199" s="725" t="n"/>
      <c r="F199" s="725" t="n"/>
      <c r="G199" s="725" t="n"/>
      <c r="H199" s="725" t="n"/>
      <c r="I199" s="725" t="n"/>
      <c r="J199" s="738" t="n"/>
      <c r="N199" s="719" t="n"/>
      <c r="O199" s="751" t="n"/>
      <c r="P199" s="379" t="n"/>
      <c r="Q199" s="706" t="n"/>
      <c r="R199" s="706" t="n"/>
      <c r="S199" s="707" t="n"/>
      <c r="T199" s="741" t="n"/>
      <c r="U199" s="742" t="n"/>
      <c r="V199" s="741" t="n"/>
      <c r="W199" s="741" t="n"/>
      <c r="X199" s="727" t="n"/>
      <c r="Y199" s="745" t="n"/>
      <c r="Z199" s="186" t="n"/>
      <c r="AA199" s="235" t="n"/>
    </row>
    <row r="200" ht="15.6" customHeight="1">
      <c r="A200" s="728" t="n"/>
      <c r="B200" s="736" t="n"/>
      <c r="C200" s="737" t="n"/>
      <c r="D200" s="725" t="n"/>
      <c r="E200" s="725" t="n"/>
      <c r="F200" s="725" t="n"/>
      <c r="G200" s="725" t="n"/>
      <c r="H200" s="725" t="n"/>
      <c r="I200" s="725" t="n"/>
      <c r="J200" s="738" t="n"/>
      <c r="N200" s="719" t="n"/>
      <c r="O200" s="751" t="n"/>
      <c r="P200" s="379" t="n"/>
      <c r="Q200" s="706" t="n"/>
      <c r="R200" s="706" t="n"/>
      <c r="S200" s="707" t="n"/>
      <c r="T200" s="759" t="n"/>
      <c r="U200" s="763" t="n"/>
      <c r="V200" s="759" t="n"/>
      <c r="W200" s="741" t="n"/>
      <c r="X200" s="727" t="n"/>
      <c r="Y200" s="745" t="n"/>
      <c r="Z200" s="186" t="n"/>
      <c r="AA200" s="235" t="n"/>
    </row>
    <row r="201" ht="15.6" customHeight="1">
      <c r="A201" s="728" t="n"/>
      <c r="B201" s="736" t="n"/>
      <c r="C201" s="737" t="n"/>
      <c r="D201" s="725" t="n"/>
      <c r="E201" s="725" t="n"/>
      <c r="F201" s="725" t="n"/>
      <c r="G201" s="725" t="n"/>
      <c r="H201" s="725" t="n"/>
      <c r="I201" s="725" t="n"/>
      <c r="J201" s="738" t="n"/>
      <c r="N201" s="719" t="n"/>
      <c r="O201" s="751" t="n"/>
      <c r="P201" s="379" t="n"/>
      <c r="Q201" s="706" t="n"/>
      <c r="R201" s="706" t="n"/>
      <c r="S201" s="707" t="n"/>
      <c r="T201" s="759" t="n"/>
      <c r="U201" s="763" t="n"/>
      <c r="V201" s="759" t="n"/>
      <c r="W201" s="741" t="n"/>
      <c r="X201" s="727" t="n"/>
      <c r="Y201" s="745" t="n"/>
      <c r="Z201" s="186" t="n"/>
      <c r="AA201" s="235" t="n"/>
    </row>
    <row r="202" ht="15.6" customHeight="1">
      <c r="A202" s="728" t="n"/>
      <c r="B202" s="736" t="n"/>
      <c r="C202" s="737" t="n"/>
      <c r="D202" s="725" t="n"/>
      <c r="E202" s="725" t="n"/>
      <c r="F202" s="725" t="n"/>
      <c r="G202" s="725" t="n"/>
      <c r="H202" s="725" t="n"/>
      <c r="I202" s="725" t="n"/>
      <c r="J202" s="738" t="n"/>
      <c r="K202" s="724" t="n"/>
      <c r="L202" s="724" t="n"/>
      <c r="M202" s="724" t="n"/>
      <c r="N202" s="739" t="n"/>
      <c r="O202" s="751" t="n"/>
      <c r="P202" s="752" t="n"/>
      <c r="Q202" s="753" t="n"/>
      <c r="R202" s="764" t="n"/>
      <c r="S202" s="755" t="n"/>
      <c r="T202" s="706" t="n"/>
      <c r="U202" s="706" t="n"/>
      <c r="V202" s="706" t="n"/>
      <c r="W202" s="706" t="n"/>
      <c r="X202" s="706" t="n"/>
      <c r="Y202" s="707" t="n"/>
      <c r="Z202" s="186" t="n"/>
      <c r="AA202" s="235" t="n"/>
    </row>
    <row r="203" ht="15.6" customHeight="1">
      <c r="A203" s="679" t="n"/>
      <c r="B203" s="202" t="n"/>
      <c r="C203" s="237" t="n"/>
      <c r="D203" s="189" t="n"/>
      <c r="E203" s="189" t="n"/>
      <c r="F203" s="508" t="n"/>
      <c r="G203" s="508" t="n"/>
      <c r="H203" s="508" t="n"/>
      <c r="I203" s="766" t="n"/>
      <c r="J203" s="400" t="n"/>
      <c r="K203" s="190" t="n"/>
      <c r="L203" s="190" t="n"/>
      <c r="M203" s="190" t="n"/>
      <c r="N203" s="243" t="n"/>
      <c r="O203" s="506" t="n"/>
      <c r="P203" s="191" t="n"/>
      <c r="Q203" s="354" t="n"/>
      <c r="R203" s="192" t="n"/>
      <c r="S203" s="188" t="n"/>
      <c r="T203" s="247" t="n"/>
      <c r="U203" s="706" t="n"/>
      <c r="V203" s="706" t="n"/>
      <c r="W203" s="706" t="n"/>
      <c r="X203" s="707" t="n"/>
      <c r="Y203" s="191" t="n"/>
      <c r="Z203" s="248" t="n"/>
      <c r="AA203" s="248" t="inlineStr">
        <is>
          <t>Miễn kiểm 无需检验</t>
        </is>
      </c>
    </row>
    <row r="204" ht="15.6" customHeight="1">
      <c r="A204" s="728" t="n"/>
      <c r="B204" s="736" t="n"/>
      <c r="C204" s="737" t="n"/>
      <c r="D204" s="725" t="n"/>
      <c r="E204" s="725" t="n"/>
      <c r="F204" s="725" t="n"/>
      <c r="G204" s="725" t="n"/>
      <c r="H204" s="725" t="n"/>
      <c r="I204" s="725" t="n"/>
      <c r="J204" s="738" t="n"/>
      <c r="K204" s="724" t="n"/>
      <c r="L204" s="724" t="n"/>
      <c r="M204" s="724" t="n"/>
      <c r="N204" s="739" t="n"/>
      <c r="O204" s="739" t="n"/>
      <c r="P204" s="191" t="n"/>
      <c r="Q204" s="354" t="n"/>
      <c r="R204" s="192" t="n"/>
      <c r="S204" s="188" t="n"/>
      <c r="T204" s="512" t="n"/>
      <c r="U204" s="762" t="n"/>
      <c r="V204" s="761" t="n"/>
      <c r="W204" s="761" t="n"/>
      <c r="X204" s="727" t="n"/>
      <c r="Y204" s="191" t="n"/>
      <c r="Z204" s="248" t="n"/>
      <c r="AA204" s="235" t="n"/>
    </row>
    <row r="205">
      <c r="A205" s="728" t="n"/>
      <c r="B205" s="736" t="n"/>
      <c r="C205" s="737" t="n"/>
      <c r="D205" s="725" t="n"/>
      <c r="E205" s="725" t="n"/>
      <c r="F205" s="725" t="n"/>
      <c r="G205" s="725" t="n"/>
      <c r="H205" s="725" t="n"/>
      <c r="I205" s="725" t="n"/>
      <c r="J205" s="738" t="n"/>
      <c r="K205" s="724" t="n"/>
      <c r="L205" s="724" t="n"/>
      <c r="M205" s="724" t="n"/>
      <c r="N205" s="739" t="n"/>
      <c r="O205" s="739" t="n"/>
      <c r="P205" s="201" t="n"/>
      <c r="Q205" s="354" t="n"/>
      <c r="R205" s="203" t="n"/>
      <c r="S205" s="204" t="n"/>
      <c r="T205" s="761" t="n"/>
      <c r="U205" s="205" t="n"/>
      <c r="V205" s="761" t="n"/>
      <c r="W205" s="761" t="n"/>
      <c r="X205" s="727" t="n"/>
      <c r="Y205" s="191" t="n"/>
      <c r="Z205" s="191" t="n"/>
      <c r="AA205" s="235" t="n"/>
    </row>
    <row r="206">
      <c r="A206" s="728" t="n"/>
      <c r="B206" s="736" t="n"/>
      <c r="C206" s="737" t="n"/>
      <c r="D206" s="725" t="n"/>
      <c r="E206" s="725" t="n"/>
      <c r="F206" s="725" t="n"/>
      <c r="G206" s="725" t="n"/>
      <c r="H206" s="725" t="n"/>
      <c r="I206" s="725" t="n"/>
      <c r="J206" s="738" t="n"/>
      <c r="K206" s="724" t="n"/>
      <c r="L206" s="724" t="n"/>
      <c r="M206" s="724" t="n"/>
      <c r="N206" s="739" t="n"/>
      <c r="O206" s="739" t="n"/>
      <c r="P206" s="191" t="n"/>
      <c r="Q206" s="354" t="n"/>
      <c r="R206" s="249" t="n"/>
      <c r="S206" s="250" t="n"/>
      <c r="T206" s="247" t="n"/>
      <c r="U206" s="205" t="n"/>
      <c r="V206" s="761" t="n"/>
      <c r="W206" s="761" t="n"/>
      <c r="X206" s="727" t="n"/>
      <c r="Y206" s="302" t="n"/>
      <c r="Z206" s="186" t="n"/>
      <c r="AA206" s="235" t="n"/>
    </row>
    <row r="207" ht="16.8" customHeight="1">
      <c r="A207" s="728" t="n"/>
      <c r="B207" s="736" t="n"/>
      <c r="C207" s="737" t="n"/>
      <c r="D207" s="725" t="n"/>
      <c r="E207" s="725" t="n"/>
      <c r="F207" s="725" t="n"/>
      <c r="G207" s="725" t="n"/>
      <c r="H207" s="725" t="n"/>
      <c r="I207" s="725" t="n"/>
      <c r="J207" s="738" t="n"/>
      <c r="K207" s="724" t="n"/>
      <c r="L207" s="724" t="n"/>
      <c r="M207" s="724" t="n"/>
      <c r="N207" s="739" t="n"/>
      <c r="O207" s="751" t="n"/>
      <c r="P207" s="752" t="n"/>
      <c r="Q207" s="753" t="n"/>
      <c r="R207" s="764" t="n"/>
      <c r="S207" s="744" t="n"/>
      <c r="T207" s="759" t="n"/>
      <c r="U207" s="706" t="n"/>
      <c r="V207" s="706" t="n"/>
      <c r="W207" s="706" t="n"/>
      <c r="X207" s="707" t="n"/>
      <c r="Y207" s="745" t="n"/>
      <c r="Z207" s="186" t="n"/>
      <c r="AA207" s="235" t="n"/>
    </row>
    <row r="208" ht="62.4" customHeight="1">
      <c r="A208" s="728" t="n"/>
      <c r="B208" s="736" t="n"/>
      <c r="C208" s="737" t="n"/>
      <c r="J208" s="719" t="n"/>
      <c r="K208" s="724" t="n"/>
      <c r="L208" s="724" t="n"/>
      <c r="M208" s="724" t="n"/>
      <c r="N208" s="739" t="n"/>
      <c r="O208" s="751" t="n"/>
      <c r="P208" s="752" t="n"/>
      <c r="Q208" s="753" t="n"/>
      <c r="R208" s="764" t="n"/>
      <c r="S208" s="755" t="n"/>
      <c r="T208" s="706" t="n"/>
      <c r="U208" s="706" t="n"/>
      <c r="V208" s="706" t="n"/>
      <c r="W208" s="706" t="n"/>
      <c r="X208" s="706" t="n"/>
      <c r="Y208" s="707" t="n"/>
      <c r="Z208" s="186" t="n"/>
      <c r="AA208" s="235" t="n"/>
    </row>
    <row r="209" ht="15.6" customHeight="1">
      <c r="A209" s="728" t="n"/>
      <c r="B209" s="736" t="n"/>
      <c r="N209" s="719" t="n"/>
      <c r="O209" s="751" t="n"/>
      <c r="P209" s="752" t="n"/>
      <c r="Q209" s="753" t="n"/>
      <c r="R209" s="764" t="n"/>
      <c r="S209" s="744" t="n"/>
      <c r="T209" s="741" t="n"/>
      <c r="U209" s="742" t="n"/>
      <c r="V209" s="741" t="n"/>
      <c r="W209" s="741" t="n"/>
      <c r="X209" s="727" t="n"/>
      <c r="Y209" s="745" t="n"/>
      <c r="Z209" s="186" t="n"/>
      <c r="AA209" s="235" t="n"/>
    </row>
    <row r="210" ht="15.6" customHeight="1">
      <c r="A210" s="747" t="n"/>
      <c r="B210" s="746" t="n"/>
      <c r="C210" s="706" t="n"/>
      <c r="D210" s="706" t="n"/>
      <c r="E210" s="706" t="n"/>
      <c r="F210" s="706" t="n"/>
      <c r="G210" s="706" t="n"/>
      <c r="H210" s="706" t="n"/>
      <c r="I210" s="706" t="n"/>
      <c r="J210" s="706" t="n"/>
      <c r="K210" s="706" t="n"/>
      <c r="L210" s="706" t="n"/>
      <c r="M210" s="706" t="n"/>
      <c r="N210" s="707" t="n"/>
      <c r="O210" s="747" t="n"/>
      <c r="P210" s="406" t="n"/>
      <c r="Q210" s="360" t="n"/>
      <c r="R210" s="747" t="n"/>
      <c r="S210" s="747" t="n"/>
      <c r="T210" s="747" t="n"/>
      <c r="U210" s="747" t="n"/>
      <c r="V210" s="747" t="n"/>
      <c r="W210" s="747" t="n"/>
      <c r="X210" s="747" t="n"/>
      <c r="Y210" s="745" t="n"/>
      <c r="Z210" s="186" t="n"/>
      <c r="AA210" s="388" t="n"/>
    </row>
    <row r="211" ht="15.6" customHeight="1">
      <c r="A211" s="705" t="inlineStr">
        <is>
          <t>TOTAL</t>
        </is>
      </c>
      <c r="B211" s="706" t="n"/>
      <c r="C211" s="706" t="n"/>
      <c r="D211" s="706" t="n"/>
      <c r="E211" s="706" t="n"/>
      <c r="F211" s="706" t="n"/>
      <c r="G211" s="706" t="n"/>
      <c r="H211" s="706" t="n"/>
      <c r="I211" s="706" t="n"/>
      <c r="J211" s="707" t="n"/>
      <c r="K211" s="220">
        <f>SUM(K13:K180)</f>
        <v/>
      </c>
      <c r="L211" s="220">
        <f>SUM(L13:L180)</f>
        <v/>
      </c>
      <c r="M211" s="220">
        <f>SUM(M13:M180)</f>
        <v/>
      </c>
      <c r="N211" s="220" t="n"/>
      <c r="O211" s="220" t="n"/>
      <c r="P211" s="226" t="n"/>
      <c r="Q211" s="361" t="n"/>
      <c r="R211" s="221" t="n"/>
      <c r="S211" s="227" t="n"/>
      <c r="T211" s="220">
        <f>SUM(T13:T180)</f>
        <v/>
      </c>
      <c r="U211" s="224" t="n"/>
      <c r="V211" s="220">
        <f>SUM(V13:V180)</f>
        <v/>
      </c>
      <c r="W211" s="220">
        <f>SUM(W13:W180)</f>
        <v/>
      </c>
      <c r="X211" s="224">
        <f>SUM(X13:X180)</f>
        <v/>
      </c>
      <c r="Y211" s="745" t="n"/>
      <c r="Z211" s="208" t="n"/>
      <c r="AA211" s="389" t="n"/>
    </row>
    <row r="212" ht="15.6" customHeight="1">
      <c r="A212" s="15" t="n"/>
      <c r="B212" s="51" t="n"/>
      <c r="C212" s="116" t="n"/>
      <c r="D212" s="15" t="n"/>
      <c r="E212" s="15" t="n"/>
      <c r="F212" s="15" t="n"/>
      <c r="G212" s="15" t="n"/>
      <c r="H212" s="15" t="n"/>
      <c r="I212" s="15" t="n"/>
      <c r="J212" s="16" t="n"/>
      <c r="K212" s="712" t="n"/>
      <c r="T212" s="712" t="n"/>
      <c r="Z212" s="36" t="n"/>
    </row>
    <row r="213" ht="15.6" customHeight="1">
      <c r="A213" s="15" t="n"/>
      <c r="B213" s="51" t="n"/>
      <c r="C213" s="116" t="n"/>
      <c r="D213" s="15" t="n"/>
      <c r="E213" s="15" t="n"/>
      <c r="F213" s="15" t="n"/>
      <c r="G213" s="15" t="n"/>
      <c r="H213" s="15" t="n"/>
      <c r="I213" s="15" t="n"/>
      <c r="J213" s="16" t="n"/>
      <c r="K213" s="26" t="n"/>
      <c r="L213" s="712" t="n"/>
      <c r="M213" s="712" t="n"/>
      <c r="N213" s="51" t="n"/>
      <c r="O213" s="712" t="n"/>
      <c r="P213" s="712" t="n"/>
      <c r="Q213" s="362" t="n"/>
      <c r="R213" s="712" t="n"/>
      <c r="S213" s="712" t="n"/>
      <c r="T213" s="26" t="n"/>
      <c r="U213" s="712" t="n"/>
      <c r="V213" s="712" t="n"/>
      <c r="W213" s="712" t="n"/>
      <c r="X213" s="712" t="n"/>
      <c r="Y213" s="712" t="n"/>
      <c r="Z213" s="36" t="n"/>
    </row>
    <row r="214" ht="15.6" customHeight="1">
      <c r="A214" s="15" t="n"/>
      <c r="B214" s="51" t="n"/>
      <c r="D214" s="47" t="n"/>
      <c r="E214" s="53" t="n"/>
      <c r="F214" s="53" t="n"/>
      <c r="G214" s="53" t="n"/>
      <c r="H214" s="53" t="n"/>
      <c r="I214" s="53" t="n"/>
      <c r="J214" s="721" t="inlineStr">
        <is>
          <t>Tổng cộng phí dịch vụ logistics: 
物流服务费合计：</t>
        </is>
      </c>
      <c r="N214" s="719" t="n"/>
      <c r="O214" s="178" t="n"/>
      <c r="P214" s="716">
        <f>+P185+P186</f>
        <v/>
      </c>
      <c r="Q214" s="706" t="n"/>
      <c r="R214" s="706" t="n"/>
      <c r="S214" s="707" t="n"/>
      <c r="T214" s="68" t="n"/>
      <c r="U214" s="712" t="n"/>
      <c r="V214" s="712" t="n"/>
      <c r="W214" s="712" t="n"/>
      <c r="X214" s="712" t="n"/>
      <c r="Y214" s="712" t="n"/>
      <c r="Z214" s="36" t="n"/>
    </row>
    <row r="215" ht="15.6" customHeight="1">
      <c r="A215" s="15" t="n"/>
      <c r="B215" s="51" t="n"/>
      <c r="C215" s="117" t="n"/>
      <c r="D215" s="48" t="n"/>
      <c r="E215" s="48" t="n"/>
      <c r="F215" s="48" t="n"/>
      <c r="G215" s="48" t="n"/>
      <c r="H215" s="48" t="n"/>
      <c r="I215" s="48" t="n"/>
      <c r="J215" s="718" t="inlineStr">
        <is>
          <t>Phí dịch vụ logistics (đã VAT):
物流服务费（含增值税）：</t>
        </is>
      </c>
      <c r="N215" s="719" t="n"/>
      <c r="O215" s="177" t="n"/>
      <c r="P215" s="700">
        <f>SUMIF($Y:$Y,"Phí dịch vụ",$W:$W)</f>
        <v/>
      </c>
      <c r="Q215" s="706" t="n"/>
      <c r="R215" s="706" t="n"/>
      <c r="S215" s="707" t="n"/>
      <c r="T215" s="26" t="n"/>
      <c r="U215" s="712" t="n"/>
      <c r="V215" s="712" t="n"/>
      <c r="W215" s="712" t="n"/>
      <c r="X215" s="712" t="n"/>
      <c r="Y215" s="712" t="n"/>
      <c r="Z215" s="36" t="n"/>
    </row>
    <row r="216" ht="15.6" customHeight="1">
      <c r="A216" s="15" t="n"/>
      <c r="B216" s="51" t="n"/>
      <c r="C216" s="118" t="n"/>
      <c r="D216" s="37" t="n"/>
      <c r="E216" s="37" t="n"/>
      <c r="F216" s="37" t="n"/>
      <c r="G216" s="37" t="n"/>
      <c r="H216" s="37" t="n"/>
      <c r="I216" s="37" t="n"/>
      <c r="J216" s="718" t="inlineStr">
        <is>
          <t>Phí chi hộ:
代付费用</t>
        </is>
      </c>
      <c r="N216" s="719" t="n"/>
      <c r="O216" s="177" t="n"/>
      <c r="P216" s="716">
        <f>SUMIF($Y:$Y,"Phí chi hộ",$W:$W)</f>
        <v/>
      </c>
      <c r="Q216" s="706" t="n"/>
      <c r="R216" s="706" t="n"/>
      <c r="S216" s="707" t="n"/>
      <c r="T216" s="712" t="n"/>
      <c r="U216" s="712" t="n"/>
      <c r="V216" s="712" t="n"/>
      <c r="W216" s="712" t="n"/>
      <c r="X216" s="712" t="n"/>
      <c r="Y216" s="712" t="n"/>
      <c r="Z216" s="36" t="n"/>
    </row>
    <row r="217" ht="15.6" customHeight="1">
      <c r="A217" s="15" t="n"/>
      <c r="B217" s="17" t="n"/>
      <c r="C217" s="119" t="inlineStr">
        <is>
          <t>1. Đã bàn giao toàn bộ chứng từ gốc theo bảng kê trên</t>
        </is>
      </c>
      <c r="D217" s="18" t="n"/>
      <c r="E217" s="18" t="n"/>
      <c r="F217" s="18" t="n"/>
      <c r="G217" s="18" t="n"/>
      <c r="H217" s="18" t="n"/>
      <c r="I217" s="18" t="n"/>
      <c r="J217" s="62" t="n"/>
      <c r="K217" s="17" t="n"/>
      <c r="L217" s="17" t="n"/>
      <c r="M217" s="17" t="n"/>
      <c r="N217" s="17" t="n"/>
      <c r="O217" s="17" t="n"/>
      <c r="P217" s="16" t="n"/>
      <c r="Q217" s="363" t="n"/>
      <c r="R217" s="15" t="n"/>
      <c r="S217" s="710" t="inlineStr">
        <is>
          <t xml:space="preserve"> CÔNG TY TNHH MTV SOTRANS LOGISTICS </t>
        </is>
      </c>
      <c r="Z217" s="37" t="n"/>
    </row>
    <row r="218" ht="15.6" customHeight="1">
      <c r="A218" s="15" t="n"/>
      <c r="B218" s="17" t="n"/>
      <c r="C218" s="119" t="inlineStr">
        <is>
          <t>2. Thanh toán cho công ty chúng tôi số tiền trên bằng chuyển khoản theo thông tin sau :</t>
        </is>
      </c>
      <c r="D218" s="18" t="n"/>
      <c r="E218" s="18" t="n"/>
      <c r="F218" s="18" t="n"/>
      <c r="G218" s="18" t="n"/>
      <c r="H218" s="18" t="n"/>
      <c r="I218" s="18" t="n"/>
      <c r="J218" s="62" t="n"/>
      <c r="K218" s="17" t="n"/>
      <c r="L218" s="17" t="n"/>
      <c r="M218" s="17" t="n"/>
      <c r="N218" s="17" t="n"/>
      <c r="O218" s="17" t="n"/>
      <c r="P218" s="16" t="n"/>
      <c r="Q218" s="364" t="n"/>
      <c r="R218" s="15" t="n"/>
      <c r="S218" s="15" t="n"/>
      <c r="T218" s="702" t="inlineStr">
        <is>
          <t>Ngày…..….../…....…/ 2025</t>
        </is>
      </c>
      <c r="Y218" s="70" t="n"/>
      <c r="Z218" s="24" t="n"/>
      <c r="AA218" s="63" t="n"/>
    </row>
    <row r="219" ht="15.6" customHeight="1">
      <c r="A219" s="15" t="n"/>
      <c r="B219" s="17" t="n"/>
      <c r="C219" s="119" t="inlineStr">
        <is>
          <t>CTY thụ hưởng : Công Ty TNHH MTV Sotrans Logistics</t>
        </is>
      </c>
      <c r="D219" s="18" t="n"/>
      <c r="E219" s="18" t="n"/>
      <c r="F219" s="18" t="n"/>
      <c r="G219" s="18" t="n"/>
      <c r="H219" s="18" t="n"/>
      <c r="I219" s="18" t="n"/>
      <c r="J219" s="62" t="n"/>
      <c r="K219" s="17" t="n"/>
      <c r="L219" s="17" t="n"/>
      <c r="M219" s="17" t="n"/>
      <c r="N219" s="17" t="n"/>
      <c r="O219" s="17" t="n"/>
      <c r="P219" s="16" t="n"/>
      <c r="Q219" s="364" t="n"/>
      <c r="R219" s="15" t="n"/>
      <c r="S219" s="15" t="n"/>
      <c r="T219" s="15" t="n"/>
      <c r="U219" s="15" t="n"/>
      <c r="V219" s="15" t="n"/>
      <c r="W219" s="15" t="n"/>
      <c r="X219" s="15" t="n"/>
      <c r="Y219" s="71" t="n"/>
      <c r="Z219" s="38" t="n"/>
    </row>
    <row r="220">
      <c r="A220" s="15" t="n"/>
      <c r="B220" s="17" t="n"/>
      <c r="C220" s="119" t="inlineStr">
        <is>
          <t>Số tài khoản : 007.100.128.1934</t>
        </is>
      </c>
      <c r="D220" s="18" t="n"/>
      <c r="E220" s="18" t="n"/>
      <c r="F220" s="18" t="n"/>
      <c r="G220" s="18" t="n"/>
      <c r="H220" s="18" t="n"/>
      <c r="I220" s="18" t="n"/>
      <c r="J220" s="62" t="n"/>
      <c r="K220" s="17" t="n"/>
      <c r="L220" s="17" t="n"/>
      <c r="M220" s="17" t="n"/>
      <c r="N220" s="17" t="n"/>
      <c r="O220" s="17" t="n"/>
      <c r="P220" s="16" t="n"/>
      <c r="Q220" s="364" t="n"/>
      <c r="R220" s="15" t="n"/>
      <c r="S220" s="15" t="n"/>
      <c r="T220" s="15" t="n"/>
      <c r="U220" s="15" t="n"/>
      <c r="V220" s="15" t="n"/>
      <c r="W220" s="15" t="n"/>
      <c r="X220" s="15" t="n"/>
      <c r="Y220" s="71" t="n"/>
      <c r="Z220" s="38" t="n"/>
    </row>
    <row r="221">
      <c r="A221" s="15" t="n"/>
      <c r="B221" s="17" t="n"/>
      <c r="C221" s="119" t="inlineStr">
        <is>
          <t>Ngân hàng : VIETCOMBANK - CN. TPHCM</t>
        </is>
      </c>
      <c r="D221" s="18" t="n"/>
      <c r="E221" s="18" t="n"/>
      <c r="F221" s="18" t="n"/>
      <c r="G221" s="18" t="n"/>
      <c r="H221" s="18" t="n"/>
      <c r="I221" s="18" t="n"/>
      <c r="J221" s="62" t="n"/>
      <c r="K221" s="17" t="n"/>
      <c r="L221" s="17" t="n"/>
      <c r="M221" s="17" t="n"/>
      <c r="N221" s="17" t="n"/>
      <c r="O221" s="17" t="n"/>
      <c r="P221" s="16" t="n"/>
      <c r="Q221" s="364" t="n"/>
      <c r="R221" s="15" t="n"/>
      <c r="S221" s="15" t="n"/>
      <c r="T221" s="15" t="n"/>
      <c r="U221" s="15" t="n"/>
      <c r="V221" s="15" t="n"/>
      <c r="W221" s="15" t="n"/>
      <c r="X221" s="15" t="n"/>
      <c r="Y221" s="71" t="n"/>
      <c r="Z221" s="38" t="n"/>
    </row>
    <row r="222">
      <c r="A222" s="15" t="n"/>
      <c r="B222" s="17" t="n"/>
      <c r="C222" s="119" t="n"/>
      <c r="D222" s="18" t="n"/>
      <c r="E222" s="18" t="n"/>
      <c r="F222" s="18" t="n"/>
      <c r="G222" s="18" t="n"/>
      <c r="H222" s="18" t="n"/>
      <c r="I222" s="18" t="n"/>
      <c r="J222" s="62" t="n"/>
      <c r="K222" s="17" t="n"/>
      <c r="L222" s="17" t="n"/>
      <c r="M222" s="17" t="n"/>
      <c r="N222" s="17" t="n"/>
      <c r="O222" s="17" t="n"/>
      <c r="P222" s="16" t="n"/>
      <c r="Q222" s="364" t="n"/>
      <c r="R222" s="15" t="n"/>
      <c r="S222" s="15" t="n"/>
      <c r="T222" s="684" t="n"/>
      <c r="Y222" s="71" t="n"/>
      <c r="Z222" s="38" t="n"/>
    </row>
    <row r="223">
      <c r="A223" s="15" t="n"/>
      <c r="B223" s="17" t="n"/>
      <c r="C223" s="49" t="inlineStr">
        <is>
          <t>KHÁCH HÀNG XÁC NHẬN</t>
        </is>
      </c>
      <c r="K223" s="49" t="n"/>
      <c r="L223" s="49" t="n"/>
      <c r="M223" s="49" t="n"/>
      <c r="N223" s="49" t="n"/>
      <c r="O223" s="19" t="n"/>
      <c r="P223" s="16" t="n"/>
      <c r="Q223" s="364" t="n"/>
      <c r="R223" s="15" t="n"/>
      <c r="S223" s="710" t="inlineStr">
        <is>
          <t xml:space="preserve">Nguyễn Thị Hương Giang </t>
        </is>
      </c>
      <c r="Z223" s="37" t="n"/>
    </row>
    <row r="224">
      <c r="A224" s="15" t="n"/>
      <c r="B224" s="710" t="inlineStr">
        <is>
          <t>Your confirmation</t>
        </is>
      </c>
      <c r="O224" s="710" t="n"/>
      <c r="P224" s="16" t="n"/>
      <c r="Q224" s="364" t="n"/>
      <c r="R224" s="15" t="n"/>
      <c r="S224" s="15" t="n"/>
      <c r="T224" s="15" t="n"/>
      <c r="U224" s="15" t="n"/>
      <c r="V224" s="15" t="n"/>
      <c r="W224" s="15" t="n"/>
      <c r="X224" s="15" t="n"/>
      <c r="Y224" s="71" t="n"/>
      <c r="Z224" s="38" t="n"/>
    </row>
    <row r="225">
      <c r="A225" s="15" t="n"/>
      <c r="B225" s="702" t="inlineStr">
        <is>
          <t>Ngày…..….../…....…/ 2025</t>
        </is>
      </c>
      <c r="O225" s="702" t="n"/>
      <c r="P225" s="16" t="n"/>
      <c r="Q225" s="364" t="n"/>
      <c r="R225" s="15" t="n"/>
      <c r="S225" s="15" t="n"/>
      <c r="T225" s="15" t="n"/>
      <c r="U225" s="15" t="n"/>
      <c r="V225" s="15" t="n"/>
      <c r="W225" s="15" t="n"/>
      <c r="X225" s="15" t="n"/>
      <c r="Y225" s="71" t="n"/>
      <c r="Z225" s="38" t="n"/>
    </row>
    <row r="226">
      <c r="A226" s="15" t="n"/>
      <c r="B226" s="51" t="n"/>
      <c r="C226" s="116" t="n"/>
      <c r="D226" s="15" t="n"/>
      <c r="E226" s="15" t="n"/>
      <c r="F226" s="15" t="n"/>
      <c r="G226" s="15" t="n"/>
      <c r="H226" s="15" t="n"/>
      <c r="I226" s="15" t="n"/>
      <c r="J226" s="16" t="n"/>
      <c r="K226" s="15" t="n"/>
      <c r="L226" s="15" t="n"/>
      <c r="M226" s="15" t="n"/>
      <c r="N226" s="15" t="n"/>
      <c r="O226" s="15" t="n"/>
      <c r="P226" s="16" t="n"/>
      <c r="Q226" s="364" t="n"/>
      <c r="R226" s="15" t="n"/>
      <c r="S226" s="15" t="n"/>
      <c r="T226" s="15" t="n"/>
      <c r="U226" s="15" t="n"/>
      <c r="V226" s="15" t="n"/>
      <c r="W226" s="15" t="n"/>
      <c r="X226" s="15" t="n"/>
      <c r="Y226" s="71" t="n"/>
      <c r="Z226" s="38" t="n"/>
    </row>
    <row r="227">
      <c r="A227" s="15" t="n"/>
      <c r="B227" s="51" t="n"/>
      <c r="C227" s="116" t="n"/>
      <c r="D227" s="15" t="n"/>
      <c r="E227" s="15" t="n"/>
      <c r="F227" s="15" t="n"/>
      <c r="G227" s="15" t="n"/>
      <c r="H227" s="15" t="n"/>
      <c r="I227" s="15" t="n"/>
      <c r="J227" s="16" t="n"/>
      <c r="K227" s="15" t="n"/>
      <c r="L227" s="15" t="n"/>
      <c r="M227" s="15" t="n"/>
      <c r="N227" s="15" t="n"/>
      <c r="O227" s="15" t="n"/>
      <c r="P227" s="16" t="n"/>
      <c r="Q227" s="364" t="n"/>
      <c r="R227" s="15" t="n"/>
      <c r="S227" s="15" t="n"/>
      <c r="T227" s="15" t="n"/>
      <c r="U227" s="15" t="n"/>
      <c r="V227" s="15" t="n"/>
      <c r="W227" s="15" t="n"/>
      <c r="X227" s="15" t="n"/>
      <c r="Y227" s="71" t="n"/>
      <c r="Z227" s="38" t="n"/>
    </row>
    <row r="228">
      <c r="A228" s="2" t="n"/>
      <c r="B228" s="50" t="n"/>
      <c r="C228" s="111" t="n"/>
      <c r="D228" s="2" t="n"/>
      <c r="E228" s="2" t="n"/>
      <c r="F228" s="2" t="n"/>
      <c r="G228" s="2" t="n"/>
      <c r="H228" s="2" t="n"/>
      <c r="I228" s="2" t="n"/>
      <c r="J228" s="3" t="n"/>
      <c r="K228" s="2" t="n"/>
      <c r="L228" s="2" t="n"/>
      <c r="M228" s="2" t="n"/>
      <c r="N228" s="2" t="n"/>
      <c r="O228" s="2" t="n"/>
      <c r="P228" s="3" t="n"/>
      <c r="Q228" s="352" t="n"/>
      <c r="R228" s="2" t="n"/>
      <c r="S228" s="2" t="n"/>
      <c r="T228" s="2" t="n"/>
      <c r="U228" s="2" t="n"/>
      <c r="V228" s="2" t="n"/>
      <c r="W228" s="2" t="n"/>
      <c r="X228" s="2" t="n"/>
      <c r="Y228" s="69" t="n"/>
      <c r="Z228" s="8" t="n"/>
    </row>
    <row r="229">
      <c r="B229" s="55" t="n"/>
      <c r="O229" s="757" t="n"/>
      <c r="R229" s="757" t="n"/>
      <c r="S229" s="757" t="n"/>
      <c r="T229" s="757" t="n"/>
      <c r="U229" s="757" t="n"/>
      <c r="V229" s="757" t="n"/>
      <c r="W229" s="757" t="n"/>
      <c r="X229" s="757" t="n"/>
    </row>
    <row r="230">
      <c r="B230" s="55" t="n"/>
      <c r="O230" s="757" t="n"/>
      <c r="R230" s="757" t="n"/>
      <c r="S230" s="757" t="n"/>
      <c r="T230" s="757" t="n"/>
      <c r="U230" s="757" t="n"/>
      <c r="V230" s="757" t="n"/>
      <c r="W230" s="757" t="n"/>
      <c r="X230" s="757" t="n"/>
    </row>
    <row r="231">
      <c r="B231" s="55" t="n"/>
      <c r="O231" s="757" t="n"/>
      <c r="R231" s="757" t="n"/>
      <c r="S231" s="757" t="n"/>
      <c r="T231" s="757" t="n"/>
      <c r="U231" s="757" t="n"/>
      <c r="V231" s="757" t="n"/>
      <c r="W231" s="757" t="n"/>
      <c r="X231" s="757" t="n"/>
    </row>
    <row r="232">
      <c r="B232" s="55" t="n"/>
      <c r="O232" s="757" t="n"/>
      <c r="R232" s="757" t="n"/>
      <c r="S232" s="757" t="n"/>
      <c r="T232" s="757" t="n"/>
      <c r="U232" s="757" t="n"/>
      <c r="V232" s="757" t="n"/>
      <c r="W232" s="757" t="n"/>
      <c r="X232" s="757" t="n"/>
    </row>
    <row r="233">
      <c r="B233" s="55" t="n"/>
      <c r="O233" s="757" t="n"/>
      <c r="R233" s="757" t="n"/>
      <c r="S233" s="757" t="n"/>
      <c r="T233" s="757" t="n"/>
      <c r="U233" s="757" t="n"/>
      <c r="V233" s="757" t="n"/>
      <c r="W233" s="757" t="n"/>
      <c r="X233" s="757" t="n"/>
    </row>
    <row r="234">
      <c r="B234" s="55" t="n"/>
      <c r="O234" s="757" t="n"/>
      <c r="R234" s="757" t="n"/>
      <c r="S234" s="757" t="n"/>
      <c r="T234" s="757" t="n"/>
      <c r="U234" s="757" t="n"/>
      <c r="V234" s="757" t="n"/>
      <c r="W234" s="757" t="n"/>
      <c r="X234" s="757" t="n"/>
    </row>
  </sheetData>
  <mergeCells count="203">
    <mergeCell ref="O31:O33"/>
    <mergeCell ref="F17:F19"/>
    <mergeCell ref="H26:H27"/>
    <mergeCell ref="H17:H19"/>
    <mergeCell ref="P184:S184"/>
    <mergeCell ref="F133:F134"/>
    <mergeCell ref="H9:H10"/>
    <mergeCell ref="K26:K27"/>
    <mergeCell ref="A181:J181"/>
    <mergeCell ref="J9:J10"/>
    <mergeCell ref="B34:B36"/>
    <mergeCell ref="C153:C155"/>
    <mergeCell ref="A20:A22"/>
    <mergeCell ref="L34:L36"/>
    <mergeCell ref="X126:X132"/>
    <mergeCell ref="N34:N36"/>
    <mergeCell ref="A23:A25"/>
    <mergeCell ref="N143:N144"/>
    <mergeCell ref="C23:C25"/>
    <mergeCell ref="M23:M25"/>
    <mergeCell ref="L133:L134"/>
    <mergeCell ref="O23:O25"/>
    <mergeCell ref="G153:G155"/>
    <mergeCell ref="B20:B22"/>
    <mergeCell ref="X48:X57"/>
    <mergeCell ref="F26:F27"/>
    <mergeCell ref="D20:D22"/>
    <mergeCell ref="O143:O144"/>
    <mergeCell ref="N20:N22"/>
    <mergeCell ref="B28:B29"/>
    <mergeCell ref="M133:M134"/>
    <mergeCell ref="O133:O134"/>
    <mergeCell ref="B13:B16"/>
    <mergeCell ref="B31:B33"/>
    <mergeCell ref="M20:M22"/>
    <mergeCell ref="C163:C166"/>
    <mergeCell ref="D13:D16"/>
    <mergeCell ref="D31:D33"/>
    <mergeCell ref="N13:N16"/>
    <mergeCell ref="O163:O166"/>
    <mergeCell ref="F28:F29"/>
    <mergeCell ref="G143:G144"/>
    <mergeCell ref="H28:H29"/>
    <mergeCell ref="T188:X188"/>
    <mergeCell ref="A143:A144"/>
    <mergeCell ref="A163:A166"/>
    <mergeCell ref="H31:H33"/>
    <mergeCell ref="B23:B25"/>
    <mergeCell ref="E34:E36"/>
    <mergeCell ref="F153:F155"/>
    <mergeCell ref="G34:G36"/>
    <mergeCell ref="H153:H155"/>
    <mergeCell ref="B26:B27"/>
    <mergeCell ref="P9:X9"/>
    <mergeCell ref="P185:S185"/>
    <mergeCell ref="X163:X172"/>
    <mergeCell ref="F23:F25"/>
    <mergeCell ref="N26:N27"/>
    <mergeCell ref="A48:A49"/>
    <mergeCell ref="X31:X38"/>
    <mergeCell ref="L153:L155"/>
    <mergeCell ref="X143:X152"/>
    <mergeCell ref="P10:Q10"/>
    <mergeCell ref="G20:G22"/>
    <mergeCell ref="J184:N184"/>
    <mergeCell ref="H133:H134"/>
    <mergeCell ref="K163:K166"/>
    <mergeCell ref="K23:K25"/>
    <mergeCell ref="E13:E16"/>
    <mergeCell ref="G13:G16"/>
    <mergeCell ref="X23:X30"/>
    <mergeCell ref="O153:O155"/>
    <mergeCell ref="H163:H166"/>
    <mergeCell ref="J186:N186"/>
    <mergeCell ref="G31:G33"/>
    <mergeCell ref="E2:S2"/>
    <mergeCell ref="A26:A27"/>
    <mergeCell ref="P11:Q11"/>
    <mergeCell ref="L143:L144"/>
    <mergeCell ref="A31:A33"/>
    <mergeCell ref="M28:M29"/>
    <mergeCell ref="D143:D144"/>
    <mergeCell ref="D163:D166"/>
    <mergeCell ref="F163:F166"/>
    <mergeCell ref="M13:M16"/>
    <mergeCell ref="D9:D10"/>
    <mergeCell ref="X13:X22"/>
    <mergeCell ref="F9:F10"/>
    <mergeCell ref="H20:H22"/>
    <mergeCell ref="A153:A155"/>
    <mergeCell ref="H34:H36"/>
    <mergeCell ref="X173:X179"/>
    <mergeCell ref="N28:N29"/>
    <mergeCell ref="B195:N195"/>
    <mergeCell ref="L163:L166"/>
    <mergeCell ref="E26:E27"/>
    <mergeCell ref="G26:G27"/>
    <mergeCell ref="K28:K29"/>
    <mergeCell ref="W1:Y4"/>
    <mergeCell ref="G9:G10"/>
    <mergeCell ref="I9:I10"/>
    <mergeCell ref="A9:A10"/>
    <mergeCell ref="D26:D27"/>
    <mergeCell ref="K143:K144"/>
    <mergeCell ref="M143:M144"/>
    <mergeCell ref="U10:V10"/>
    <mergeCell ref="L23:L25"/>
    <mergeCell ref="K133:K134"/>
    <mergeCell ref="N163:N166"/>
    <mergeCell ref="K182:S182"/>
    <mergeCell ref="N23:N25"/>
    <mergeCell ref="Y9:Y10"/>
    <mergeCell ref="A17:A19"/>
    <mergeCell ref="L13:L16"/>
    <mergeCell ref="K17:K19"/>
    <mergeCell ref="C17:C19"/>
    <mergeCell ref="M17:M19"/>
    <mergeCell ref="T182:Y182"/>
    <mergeCell ref="O17:O19"/>
    <mergeCell ref="X67:X76"/>
    <mergeCell ref="A34:A36"/>
    <mergeCell ref="E28:E29"/>
    <mergeCell ref="C34:C36"/>
    <mergeCell ref="G28:G29"/>
    <mergeCell ref="D153:D155"/>
    <mergeCell ref="S187:Y187"/>
    <mergeCell ref="K9:N9"/>
    <mergeCell ref="B194:N194"/>
    <mergeCell ref="D28:D29"/>
    <mergeCell ref="B9:B10"/>
    <mergeCell ref="T192:X192"/>
    <mergeCell ref="L26:L27"/>
    <mergeCell ref="L17:L19"/>
    <mergeCell ref="D34:D36"/>
    <mergeCell ref="F34:F36"/>
    <mergeCell ref="C20:C22"/>
    <mergeCell ref="E20:E22"/>
    <mergeCell ref="E23:E25"/>
    <mergeCell ref="D133:D134"/>
    <mergeCell ref="G23:G25"/>
    <mergeCell ref="E3:S3"/>
    <mergeCell ref="N133:N134"/>
    <mergeCell ref="A13:A16"/>
    <mergeCell ref="M26:M27"/>
    <mergeCell ref="B17:B19"/>
    <mergeCell ref="C13:C16"/>
    <mergeCell ref="C31:C33"/>
    <mergeCell ref="K153:K155"/>
    <mergeCell ref="X86:X94"/>
    <mergeCell ref="M153:M155"/>
    <mergeCell ref="F20:F22"/>
    <mergeCell ref="O13:O16"/>
    <mergeCell ref="A58:A59"/>
    <mergeCell ref="F31:F33"/>
    <mergeCell ref="L20:L22"/>
    <mergeCell ref="X153:X162"/>
    <mergeCell ref="L28:L29"/>
    <mergeCell ref="C26:C27"/>
    <mergeCell ref="L31:L33"/>
    <mergeCell ref="X58:X66"/>
    <mergeCell ref="C9:C10"/>
    <mergeCell ref="A133:A134"/>
    <mergeCell ref="D23:D25"/>
    <mergeCell ref="E9:E10"/>
    <mergeCell ref="O26:O27"/>
    <mergeCell ref="N31:N33"/>
    <mergeCell ref="S193:Y193"/>
    <mergeCell ref="A77:A79"/>
    <mergeCell ref="K34:K36"/>
    <mergeCell ref="C193:J193"/>
    <mergeCell ref="H23:H25"/>
    <mergeCell ref="G133:G134"/>
    <mergeCell ref="A39:A41"/>
    <mergeCell ref="E17:E19"/>
    <mergeCell ref="F13:F16"/>
    <mergeCell ref="M34:M36"/>
    <mergeCell ref="N153:N155"/>
    <mergeCell ref="H13:H16"/>
    <mergeCell ref="G17:G19"/>
    <mergeCell ref="O34:O36"/>
    <mergeCell ref="K20:K22"/>
    <mergeCell ref="X77:X85"/>
    <mergeCell ref="D17:D19"/>
    <mergeCell ref="M163:M166"/>
    <mergeCell ref="X115:X125"/>
    <mergeCell ref="G163:G166"/>
    <mergeCell ref="K13:K16"/>
    <mergeCell ref="O20:O22"/>
    <mergeCell ref="A28:A29"/>
    <mergeCell ref="K31:K33"/>
    <mergeCell ref="M31:M33"/>
    <mergeCell ref="C28:C29"/>
    <mergeCell ref="A86:A88"/>
    <mergeCell ref="P186:S186"/>
    <mergeCell ref="X133:X142"/>
    <mergeCell ref="O28:O29"/>
    <mergeCell ref="J185:N185"/>
    <mergeCell ref="F143:F144"/>
    <mergeCell ref="E31:E33"/>
    <mergeCell ref="X97:X114"/>
    <mergeCell ref="H143:H144"/>
    <mergeCell ref="X39:X47"/>
    <mergeCell ref="N17:N19"/>
  </mergeCells>
  <conditionalFormatting sqref="C187:C192">
    <cfRule type="duplicateValues" priority="29" dxfId="3"/>
  </conditionalFormatting>
  <conditionalFormatting sqref="R1 R4:R8 R205:R1048576">
    <cfRule type="duplicateValues" priority="65" dxfId="0"/>
  </conditionalFormatting>
  <conditionalFormatting sqref="R9:R12 R18:R23 R25:R33 R36:R41 R43:R51 R53:R57 R97:R116 R125:R142 R181:R204">
    <cfRule type="duplicateValues" priority="28" dxfId="0"/>
  </conditionalFormatting>
  <conditionalFormatting sqref="R17">
    <cfRule type="duplicateValues" priority="26" dxfId="0"/>
  </conditionalFormatting>
  <conditionalFormatting sqref="R58">
    <cfRule type="duplicateValues" priority="25" dxfId="0"/>
  </conditionalFormatting>
  <conditionalFormatting sqref="R59:R66">
    <cfRule type="duplicateValues" priority="17" dxfId="0"/>
  </conditionalFormatting>
  <conditionalFormatting sqref="R67">
    <cfRule type="duplicateValues" priority="10" dxfId="0"/>
  </conditionalFormatting>
  <conditionalFormatting sqref="R68:R71 R73:R76">
    <cfRule type="duplicateValues" priority="9" dxfId="0"/>
  </conditionalFormatting>
  <conditionalFormatting sqref="R72">
    <cfRule type="duplicateValues" priority="6" dxfId="0"/>
  </conditionalFormatting>
  <conditionalFormatting sqref="R77:R79 R81:R85">
    <cfRule type="duplicateValues" priority="8" dxfId="0"/>
  </conditionalFormatting>
  <conditionalFormatting sqref="R90:R94">
    <cfRule type="duplicateValues" priority="5" dxfId="0"/>
  </conditionalFormatting>
  <conditionalFormatting sqref="R95:R96">
    <cfRule type="duplicateValues" priority="2" dxfId="0"/>
  </conditionalFormatting>
  <conditionalFormatting sqref="R119:R124">
    <cfRule type="duplicateValues" priority="15" dxfId="0"/>
  </conditionalFormatting>
  <conditionalFormatting sqref="R143:R152">
    <cfRule type="duplicateValues" priority="12" dxfId="0"/>
  </conditionalFormatting>
  <conditionalFormatting sqref="R153:R162">
    <cfRule type="duplicateValues" priority="11" dxfId="0"/>
  </conditionalFormatting>
  <conditionalFormatting sqref="R163:R172">
    <cfRule type="duplicateValues" priority="3" dxfId="0"/>
  </conditionalFormatting>
  <conditionalFormatting sqref="R173:R179">
    <cfRule type="duplicateValues" priority="1" dxfId="0"/>
  </conditionalFormatting>
  <conditionalFormatting sqref="R42:T42">
    <cfRule type="duplicateValues" priority="18" dxfId="0"/>
  </conditionalFormatting>
  <conditionalFormatting sqref="R80:T80">
    <cfRule type="duplicateValues" priority="7" dxfId="0"/>
  </conditionalFormatting>
  <conditionalFormatting sqref="R89:T89">
    <cfRule type="duplicateValues" priority="4" dxfId="0"/>
  </conditionalFormatting>
  <pageMargins left="0.25" right="0.25" top="0.75" bottom="0.75" header="0.3" footer="0.3"/>
  <pageSetup orientation="landscape" paperSize="9" scale="7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E12" sqref="E12"/>
    </sheetView>
  </sheetViews>
  <sheetFormatPr baseColWidth="8" defaultRowHeight="13.8"/>
  <cols>
    <col width="4.109375" customWidth="1" style="703" min="1" max="1"/>
    <col width="13.33203125" customWidth="1" style="703" min="2" max="2"/>
    <col width="11.44140625" customWidth="1" style="703" min="3" max="3"/>
    <col width="15.88671875" customWidth="1" style="704" min="4" max="4"/>
    <col width="13.44140625" customWidth="1" style="704" min="5" max="5"/>
    <col width="15.6640625" customWidth="1" style="704" min="6" max="6"/>
    <col width="5.109375" customWidth="1" style="703" min="7" max="7"/>
    <col width="7.44140625" customWidth="1" style="703" min="8" max="8"/>
    <col width="7.109375" customWidth="1" style="703" min="9" max="9"/>
    <col width="9.5546875" customWidth="1" style="704" min="10" max="10"/>
    <col width="21.5546875" customWidth="1" style="713" min="11" max="11"/>
    <col hidden="1" width="18.44140625" customWidth="1" style="713" min="12" max="12"/>
    <col width="10.33203125" customWidth="1" style="711" min="13" max="13"/>
    <col width="9.88671875" customWidth="1" style="711" min="14" max="14"/>
    <col width="12.33203125" customWidth="1" style="711" min="15" max="15"/>
    <col width="7.6640625" customWidth="1" style="711" min="16" max="16"/>
    <col width="9.5546875" customWidth="1" style="711" min="17" max="17"/>
    <col width="13" customWidth="1" style="711" min="18" max="18"/>
    <col width="13.33203125" customWidth="1" style="704" min="19" max="19"/>
    <col width="11.5546875" customWidth="1" style="704" min="20" max="20"/>
    <col width="6.88671875" bestFit="1" customWidth="1" style="704" min="21" max="21"/>
    <col width="17.88671875" customWidth="1" style="704" min="22" max="22"/>
    <col width="9.109375" customWidth="1" style="704" min="23" max="258"/>
    <col width="4.109375" customWidth="1" style="704" min="259" max="259"/>
    <col width="13.33203125" customWidth="1" style="704" min="260" max="260"/>
    <col width="9.5546875" customWidth="1" style="704" min="261" max="261"/>
    <col width="15" customWidth="1" style="704" min="262" max="262"/>
    <col width="13" customWidth="1" style="704" min="263" max="264"/>
    <col width="4.33203125" customWidth="1" style="704" min="265" max="265"/>
    <col width="4.88671875" customWidth="1" style="704" min="266" max="266"/>
    <col width="9.5546875" customWidth="1" style="704" min="267" max="267"/>
    <col width="36" customWidth="1" style="704" min="268" max="268"/>
    <col width="11.109375" customWidth="1" style="704" min="269" max="269"/>
    <col width="12.44140625" customWidth="1" style="704" min="270" max="270"/>
    <col width="13.88671875" customWidth="1" style="704" min="271" max="271"/>
    <col width="7.6640625" customWidth="1" style="704" min="272" max="272"/>
    <col width="13" customWidth="1" style="704" min="273" max="273"/>
    <col width="11.5546875" customWidth="1" style="704" min="274" max="274"/>
    <col width="13.33203125" customWidth="1" style="704" min="275" max="275"/>
    <col width="19.44140625" customWidth="1" style="704" min="276" max="276"/>
    <col width="18.88671875" customWidth="1" style="704" min="277" max="277"/>
    <col width="9.109375" customWidth="1" style="704" min="278" max="514"/>
    <col width="4.109375" customWidth="1" style="704" min="515" max="515"/>
    <col width="13.33203125" customWidth="1" style="704" min="516" max="516"/>
    <col width="9.5546875" customWidth="1" style="704" min="517" max="517"/>
    <col width="15" customWidth="1" style="704" min="518" max="518"/>
    <col width="13" customWidth="1" style="704" min="519" max="520"/>
    <col width="4.33203125" customWidth="1" style="704" min="521" max="521"/>
    <col width="4.88671875" customWidth="1" style="704" min="522" max="522"/>
    <col width="9.5546875" customWidth="1" style="704" min="523" max="523"/>
    <col width="36" customWidth="1" style="704" min="524" max="524"/>
    <col width="11.109375" customWidth="1" style="704" min="525" max="525"/>
    <col width="12.44140625" customWidth="1" style="704" min="526" max="526"/>
    <col width="13.88671875" customWidth="1" style="704" min="527" max="527"/>
    <col width="7.6640625" customWidth="1" style="704" min="528" max="528"/>
    <col width="13" customWidth="1" style="704" min="529" max="529"/>
    <col width="11.5546875" customWidth="1" style="704" min="530" max="530"/>
    <col width="13.33203125" customWidth="1" style="704" min="531" max="531"/>
    <col width="19.44140625" customWidth="1" style="704" min="532" max="532"/>
    <col width="18.88671875" customWidth="1" style="704" min="533" max="533"/>
    <col width="9.109375" customWidth="1" style="704" min="534" max="770"/>
    <col width="4.109375" customWidth="1" style="704" min="771" max="771"/>
    <col width="13.33203125" customWidth="1" style="704" min="772" max="772"/>
    <col width="9.5546875" customWidth="1" style="704" min="773" max="773"/>
    <col width="15" customWidth="1" style="704" min="774" max="774"/>
    <col width="13" customWidth="1" style="704" min="775" max="776"/>
    <col width="4.33203125" customWidth="1" style="704" min="777" max="777"/>
    <col width="4.88671875" customWidth="1" style="704" min="778" max="778"/>
    <col width="9.5546875" customWidth="1" style="704" min="779" max="779"/>
    <col width="36" customWidth="1" style="704" min="780" max="780"/>
    <col width="11.109375" customWidth="1" style="704" min="781" max="781"/>
    <col width="12.44140625" customWidth="1" style="704" min="782" max="782"/>
    <col width="13.88671875" customWidth="1" style="704" min="783" max="783"/>
    <col width="7.6640625" customWidth="1" style="704" min="784" max="784"/>
    <col width="13" customWidth="1" style="704" min="785" max="785"/>
    <col width="11.5546875" customWidth="1" style="704" min="786" max="786"/>
    <col width="13.33203125" customWidth="1" style="704" min="787" max="787"/>
    <col width="19.44140625" customWidth="1" style="704" min="788" max="788"/>
    <col width="18.88671875" customWidth="1" style="704" min="789" max="789"/>
    <col width="9.109375" customWidth="1" style="704" min="790" max="1026"/>
    <col width="4.109375" customWidth="1" style="704" min="1027" max="1027"/>
    <col width="13.33203125" customWidth="1" style="704" min="1028" max="1028"/>
    <col width="9.5546875" customWidth="1" style="704" min="1029" max="1029"/>
    <col width="15" customWidth="1" style="704" min="1030" max="1030"/>
    <col width="13" customWidth="1" style="704" min="1031" max="1032"/>
    <col width="4.33203125" customWidth="1" style="704" min="1033" max="1033"/>
    <col width="4.88671875" customWidth="1" style="704" min="1034" max="1034"/>
    <col width="9.5546875" customWidth="1" style="704" min="1035" max="1035"/>
    <col width="36" customWidth="1" style="704" min="1036" max="1036"/>
    <col width="11.109375" customWidth="1" style="704" min="1037" max="1037"/>
    <col width="12.44140625" customWidth="1" style="704" min="1038" max="1038"/>
    <col width="13.88671875" customWidth="1" style="704" min="1039" max="1039"/>
    <col width="7.6640625" customWidth="1" style="704" min="1040" max="1040"/>
    <col width="13" customWidth="1" style="704" min="1041" max="1041"/>
    <col width="11.5546875" customWidth="1" style="704" min="1042" max="1042"/>
    <col width="13.33203125" customWidth="1" style="704" min="1043" max="1043"/>
    <col width="19.44140625" customWidth="1" style="704" min="1044" max="1044"/>
    <col width="18.88671875" customWidth="1" style="704" min="1045" max="1045"/>
    <col width="9.109375" customWidth="1" style="704" min="1046" max="1282"/>
    <col width="4.109375" customWidth="1" style="704" min="1283" max="1283"/>
    <col width="13.33203125" customWidth="1" style="704" min="1284" max="1284"/>
    <col width="9.5546875" customWidth="1" style="704" min="1285" max="1285"/>
    <col width="15" customWidth="1" style="704" min="1286" max="1286"/>
    <col width="13" customWidth="1" style="704" min="1287" max="1288"/>
    <col width="4.33203125" customWidth="1" style="704" min="1289" max="1289"/>
    <col width="4.88671875" customWidth="1" style="704" min="1290" max="1290"/>
    <col width="9.5546875" customWidth="1" style="704" min="1291" max="1291"/>
    <col width="36" customWidth="1" style="704" min="1292" max="1292"/>
    <col width="11.109375" customWidth="1" style="704" min="1293" max="1293"/>
    <col width="12.44140625" customWidth="1" style="704" min="1294" max="1294"/>
    <col width="13.88671875" customWidth="1" style="704" min="1295" max="1295"/>
    <col width="7.6640625" customWidth="1" style="704" min="1296" max="1296"/>
    <col width="13" customWidth="1" style="704" min="1297" max="1297"/>
    <col width="11.5546875" customWidth="1" style="704" min="1298" max="1298"/>
    <col width="13.33203125" customWidth="1" style="704" min="1299" max="1299"/>
    <col width="19.44140625" customWidth="1" style="704" min="1300" max="1300"/>
    <col width="18.88671875" customWidth="1" style="704" min="1301" max="1301"/>
    <col width="9.109375" customWidth="1" style="704" min="1302" max="1538"/>
    <col width="4.109375" customWidth="1" style="704" min="1539" max="1539"/>
    <col width="13.33203125" customWidth="1" style="704" min="1540" max="1540"/>
    <col width="9.5546875" customWidth="1" style="704" min="1541" max="1541"/>
    <col width="15" customWidth="1" style="704" min="1542" max="1542"/>
    <col width="13" customWidth="1" style="704" min="1543" max="1544"/>
    <col width="4.33203125" customWidth="1" style="704" min="1545" max="1545"/>
    <col width="4.88671875" customWidth="1" style="704" min="1546" max="1546"/>
    <col width="9.5546875" customWidth="1" style="704" min="1547" max="1547"/>
    <col width="36" customWidth="1" style="704" min="1548" max="1548"/>
    <col width="11.109375" customWidth="1" style="704" min="1549" max="1549"/>
    <col width="12.44140625" customWidth="1" style="704" min="1550" max="1550"/>
    <col width="13.88671875" customWidth="1" style="704" min="1551" max="1551"/>
    <col width="7.6640625" customWidth="1" style="704" min="1552" max="1552"/>
    <col width="13" customWidth="1" style="704" min="1553" max="1553"/>
    <col width="11.5546875" customWidth="1" style="704" min="1554" max="1554"/>
    <col width="13.33203125" customWidth="1" style="704" min="1555" max="1555"/>
    <col width="19.44140625" customWidth="1" style="704" min="1556" max="1556"/>
    <col width="18.88671875" customWidth="1" style="704" min="1557" max="1557"/>
    <col width="9.109375" customWidth="1" style="704" min="1558" max="1794"/>
    <col width="4.109375" customWidth="1" style="704" min="1795" max="1795"/>
    <col width="13.33203125" customWidth="1" style="704" min="1796" max="1796"/>
    <col width="9.5546875" customWidth="1" style="704" min="1797" max="1797"/>
    <col width="15" customWidth="1" style="704" min="1798" max="1798"/>
    <col width="13" customWidth="1" style="704" min="1799" max="1800"/>
    <col width="4.33203125" customWidth="1" style="704" min="1801" max="1801"/>
    <col width="4.88671875" customWidth="1" style="704" min="1802" max="1802"/>
    <col width="9.5546875" customWidth="1" style="704" min="1803" max="1803"/>
    <col width="36" customWidth="1" style="704" min="1804" max="1804"/>
    <col width="11.109375" customWidth="1" style="704" min="1805" max="1805"/>
    <col width="12.44140625" customWidth="1" style="704" min="1806" max="1806"/>
    <col width="13.88671875" customWidth="1" style="704" min="1807" max="1807"/>
    <col width="7.6640625" customWidth="1" style="704" min="1808" max="1808"/>
    <col width="13" customWidth="1" style="704" min="1809" max="1809"/>
    <col width="11.5546875" customWidth="1" style="704" min="1810" max="1810"/>
    <col width="13.33203125" customWidth="1" style="704" min="1811" max="1811"/>
    <col width="19.44140625" customWidth="1" style="704" min="1812" max="1812"/>
    <col width="18.88671875" customWidth="1" style="704" min="1813" max="1813"/>
    <col width="9.109375" customWidth="1" style="704" min="1814" max="2050"/>
    <col width="4.109375" customWidth="1" style="704" min="2051" max="2051"/>
    <col width="13.33203125" customWidth="1" style="704" min="2052" max="2052"/>
    <col width="9.5546875" customWidth="1" style="704" min="2053" max="2053"/>
    <col width="15" customWidth="1" style="704" min="2054" max="2054"/>
    <col width="13" customWidth="1" style="704" min="2055" max="2056"/>
    <col width="4.33203125" customWidth="1" style="704" min="2057" max="2057"/>
    <col width="4.88671875" customWidth="1" style="704" min="2058" max="2058"/>
    <col width="9.5546875" customWidth="1" style="704" min="2059" max="2059"/>
    <col width="36" customWidth="1" style="704" min="2060" max="2060"/>
    <col width="11.109375" customWidth="1" style="704" min="2061" max="2061"/>
    <col width="12.44140625" customWidth="1" style="704" min="2062" max="2062"/>
    <col width="13.88671875" customWidth="1" style="704" min="2063" max="2063"/>
    <col width="7.6640625" customWidth="1" style="704" min="2064" max="2064"/>
    <col width="13" customWidth="1" style="704" min="2065" max="2065"/>
    <col width="11.5546875" customWidth="1" style="704" min="2066" max="2066"/>
    <col width="13.33203125" customWidth="1" style="704" min="2067" max="2067"/>
    <col width="19.44140625" customWidth="1" style="704" min="2068" max="2068"/>
    <col width="18.88671875" customWidth="1" style="704" min="2069" max="2069"/>
    <col width="9.109375" customWidth="1" style="704" min="2070" max="2306"/>
    <col width="4.109375" customWidth="1" style="704" min="2307" max="2307"/>
    <col width="13.33203125" customWidth="1" style="704" min="2308" max="2308"/>
    <col width="9.5546875" customWidth="1" style="704" min="2309" max="2309"/>
    <col width="15" customWidth="1" style="704" min="2310" max="2310"/>
    <col width="13" customWidth="1" style="704" min="2311" max="2312"/>
    <col width="4.33203125" customWidth="1" style="704" min="2313" max="2313"/>
    <col width="4.88671875" customWidth="1" style="704" min="2314" max="2314"/>
    <col width="9.5546875" customWidth="1" style="704" min="2315" max="2315"/>
    <col width="36" customWidth="1" style="704" min="2316" max="2316"/>
    <col width="11.109375" customWidth="1" style="704" min="2317" max="2317"/>
    <col width="12.44140625" customWidth="1" style="704" min="2318" max="2318"/>
    <col width="13.88671875" customWidth="1" style="704" min="2319" max="2319"/>
    <col width="7.6640625" customWidth="1" style="704" min="2320" max="2320"/>
    <col width="13" customWidth="1" style="704" min="2321" max="2321"/>
    <col width="11.5546875" customWidth="1" style="704" min="2322" max="2322"/>
    <col width="13.33203125" customWidth="1" style="704" min="2323" max="2323"/>
    <col width="19.44140625" customWidth="1" style="704" min="2324" max="2324"/>
    <col width="18.88671875" customWidth="1" style="704" min="2325" max="2325"/>
    <col width="9.109375" customWidth="1" style="704" min="2326" max="2562"/>
    <col width="4.109375" customWidth="1" style="704" min="2563" max="2563"/>
    <col width="13.33203125" customWidth="1" style="704" min="2564" max="2564"/>
    <col width="9.5546875" customWidth="1" style="704" min="2565" max="2565"/>
    <col width="15" customWidth="1" style="704" min="2566" max="2566"/>
    <col width="13" customWidth="1" style="704" min="2567" max="2568"/>
    <col width="4.33203125" customWidth="1" style="704" min="2569" max="2569"/>
    <col width="4.88671875" customWidth="1" style="704" min="2570" max="2570"/>
    <col width="9.5546875" customWidth="1" style="704" min="2571" max="2571"/>
    <col width="36" customWidth="1" style="704" min="2572" max="2572"/>
    <col width="11.109375" customWidth="1" style="704" min="2573" max="2573"/>
    <col width="12.44140625" customWidth="1" style="704" min="2574" max="2574"/>
    <col width="13.88671875" customWidth="1" style="704" min="2575" max="2575"/>
    <col width="7.6640625" customWidth="1" style="704" min="2576" max="2576"/>
    <col width="13" customWidth="1" style="704" min="2577" max="2577"/>
    <col width="11.5546875" customWidth="1" style="704" min="2578" max="2578"/>
    <col width="13.33203125" customWidth="1" style="704" min="2579" max="2579"/>
    <col width="19.44140625" customWidth="1" style="704" min="2580" max="2580"/>
    <col width="18.88671875" customWidth="1" style="704" min="2581" max="2581"/>
    <col width="9.109375" customWidth="1" style="704" min="2582" max="2818"/>
    <col width="4.109375" customWidth="1" style="704" min="2819" max="2819"/>
    <col width="13.33203125" customWidth="1" style="704" min="2820" max="2820"/>
    <col width="9.5546875" customWidth="1" style="704" min="2821" max="2821"/>
    <col width="15" customWidth="1" style="704" min="2822" max="2822"/>
    <col width="13" customWidth="1" style="704" min="2823" max="2824"/>
    <col width="4.33203125" customWidth="1" style="704" min="2825" max="2825"/>
    <col width="4.88671875" customWidth="1" style="704" min="2826" max="2826"/>
    <col width="9.5546875" customWidth="1" style="704" min="2827" max="2827"/>
    <col width="36" customWidth="1" style="704" min="2828" max="2828"/>
    <col width="11.109375" customWidth="1" style="704" min="2829" max="2829"/>
    <col width="12.44140625" customWidth="1" style="704" min="2830" max="2830"/>
    <col width="13.88671875" customWidth="1" style="704" min="2831" max="2831"/>
    <col width="7.6640625" customWidth="1" style="704" min="2832" max="2832"/>
    <col width="13" customWidth="1" style="704" min="2833" max="2833"/>
    <col width="11.5546875" customWidth="1" style="704" min="2834" max="2834"/>
    <col width="13.33203125" customWidth="1" style="704" min="2835" max="2835"/>
    <col width="19.44140625" customWidth="1" style="704" min="2836" max="2836"/>
    <col width="18.88671875" customWidth="1" style="704" min="2837" max="2837"/>
    <col width="9.109375" customWidth="1" style="704" min="2838" max="3074"/>
    <col width="4.109375" customWidth="1" style="704" min="3075" max="3075"/>
    <col width="13.33203125" customWidth="1" style="704" min="3076" max="3076"/>
    <col width="9.5546875" customWidth="1" style="704" min="3077" max="3077"/>
    <col width="15" customWidth="1" style="704" min="3078" max="3078"/>
    <col width="13" customWidth="1" style="704" min="3079" max="3080"/>
    <col width="4.33203125" customWidth="1" style="704" min="3081" max="3081"/>
    <col width="4.88671875" customWidth="1" style="704" min="3082" max="3082"/>
    <col width="9.5546875" customWidth="1" style="704" min="3083" max="3083"/>
    <col width="36" customWidth="1" style="704" min="3084" max="3084"/>
    <col width="11.109375" customWidth="1" style="704" min="3085" max="3085"/>
    <col width="12.44140625" customWidth="1" style="704" min="3086" max="3086"/>
    <col width="13.88671875" customWidth="1" style="704" min="3087" max="3087"/>
    <col width="7.6640625" customWidth="1" style="704" min="3088" max="3088"/>
    <col width="13" customWidth="1" style="704" min="3089" max="3089"/>
    <col width="11.5546875" customWidth="1" style="704" min="3090" max="3090"/>
    <col width="13.33203125" customWidth="1" style="704" min="3091" max="3091"/>
    <col width="19.44140625" customWidth="1" style="704" min="3092" max="3092"/>
    <col width="18.88671875" customWidth="1" style="704" min="3093" max="3093"/>
    <col width="9.109375" customWidth="1" style="704" min="3094" max="3330"/>
    <col width="4.109375" customWidth="1" style="704" min="3331" max="3331"/>
    <col width="13.33203125" customWidth="1" style="704" min="3332" max="3332"/>
    <col width="9.5546875" customWidth="1" style="704" min="3333" max="3333"/>
    <col width="15" customWidth="1" style="704" min="3334" max="3334"/>
    <col width="13" customWidth="1" style="704" min="3335" max="3336"/>
    <col width="4.33203125" customWidth="1" style="704" min="3337" max="3337"/>
    <col width="4.88671875" customWidth="1" style="704" min="3338" max="3338"/>
    <col width="9.5546875" customWidth="1" style="704" min="3339" max="3339"/>
    <col width="36" customWidth="1" style="704" min="3340" max="3340"/>
    <col width="11.109375" customWidth="1" style="704" min="3341" max="3341"/>
    <col width="12.44140625" customWidth="1" style="704" min="3342" max="3342"/>
    <col width="13.88671875" customWidth="1" style="704" min="3343" max="3343"/>
    <col width="7.6640625" customWidth="1" style="704" min="3344" max="3344"/>
    <col width="13" customWidth="1" style="704" min="3345" max="3345"/>
    <col width="11.5546875" customWidth="1" style="704" min="3346" max="3346"/>
    <col width="13.33203125" customWidth="1" style="704" min="3347" max="3347"/>
    <col width="19.44140625" customWidth="1" style="704" min="3348" max="3348"/>
    <col width="18.88671875" customWidth="1" style="704" min="3349" max="3349"/>
    <col width="9.109375" customWidth="1" style="704" min="3350" max="3586"/>
    <col width="4.109375" customWidth="1" style="704" min="3587" max="3587"/>
    <col width="13.33203125" customWidth="1" style="704" min="3588" max="3588"/>
    <col width="9.5546875" customWidth="1" style="704" min="3589" max="3589"/>
    <col width="15" customWidth="1" style="704" min="3590" max="3590"/>
    <col width="13" customWidth="1" style="704" min="3591" max="3592"/>
    <col width="4.33203125" customWidth="1" style="704" min="3593" max="3593"/>
    <col width="4.88671875" customWidth="1" style="704" min="3594" max="3594"/>
    <col width="9.5546875" customWidth="1" style="704" min="3595" max="3595"/>
    <col width="36" customWidth="1" style="704" min="3596" max="3596"/>
    <col width="11.109375" customWidth="1" style="704" min="3597" max="3597"/>
    <col width="12.44140625" customWidth="1" style="704" min="3598" max="3598"/>
    <col width="13.88671875" customWidth="1" style="704" min="3599" max="3599"/>
    <col width="7.6640625" customWidth="1" style="704" min="3600" max="3600"/>
    <col width="13" customWidth="1" style="704" min="3601" max="3601"/>
    <col width="11.5546875" customWidth="1" style="704" min="3602" max="3602"/>
    <col width="13.33203125" customWidth="1" style="704" min="3603" max="3603"/>
    <col width="19.44140625" customWidth="1" style="704" min="3604" max="3604"/>
    <col width="18.88671875" customWidth="1" style="704" min="3605" max="3605"/>
    <col width="9.109375" customWidth="1" style="704" min="3606" max="3842"/>
    <col width="4.109375" customWidth="1" style="704" min="3843" max="3843"/>
    <col width="13.33203125" customWidth="1" style="704" min="3844" max="3844"/>
    <col width="9.5546875" customWidth="1" style="704" min="3845" max="3845"/>
    <col width="15" customWidth="1" style="704" min="3846" max="3846"/>
    <col width="13" customWidth="1" style="704" min="3847" max="3848"/>
    <col width="4.33203125" customWidth="1" style="704" min="3849" max="3849"/>
    <col width="4.88671875" customWidth="1" style="704" min="3850" max="3850"/>
    <col width="9.5546875" customWidth="1" style="704" min="3851" max="3851"/>
    <col width="36" customWidth="1" style="704" min="3852" max="3852"/>
    <col width="11.109375" customWidth="1" style="704" min="3853" max="3853"/>
    <col width="12.44140625" customWidth="1" style="704" min="3854" max="3854"/>
    <col width="13.88671875" customWidth="1" style="704" min="3855" max="3855"/>
    <col width="7.6640625" customWidth="1" style="704" min="3856" max="3856"/>
    <col width="13" customWidth="1" style="704" min="3857" max="3857"/>
    <col width="11.5546875" customWidth="1" style="704" min="3858" max="3858"/>
    <col width="13.33203125" customWidth="1" style="704" min="3859" max="3859"/>
    <col width="19.44140625" customWidth="1" style="704" min="3860" max="3860"/>
    <col width="18.88671875" customWidth="1" style="704" min="3861" max="3861"/>
    <col width="9.109375" customWidth="1" style="704" min="3862" max="4098"/>
    <col width="4.109375" customWidth="1" style="704" min="4099" max="4099"/>
    <col width="13.33203125" customWidth="1" style="704" min="4100" max="4100"/>
    <col width="9.5546875" customWidth="1" style="704" min="4101" max="4101"/>
    <col width="15" customWidth="1" style="704" min="4102" max="4102"/>
    <col width="13" customWidth="1" style="704" min="4103" max="4104"/>
    <col width="4.33203125" customWidth="1" style="704" min="4105" max="4105"/>
    <col width="4.88671875" customWidth="1" style="704" min="4106" max="4106"/>
    <col width="9.5546875" customWidth="1" style="704" min="4107" max="4107"/>
    <col width="36" customWidth="1" style="704" min="4108" max="4108"/>
    <col width="11.109375" customWidth="1" style="704" min="4109" max="4109"/>
    <col width="12.44140625" customWidth="1" style="704" min="4110" max="4110"/>
    <col width="13.88671875" customWidth="1" style="704" min="4111" max="4111"/>
    <col width="7.6640625" customWidth="1" style="704" min="4112" max="4112"/>
    <col width="13" customWidth="1" style="704" min="4113" max="4113"/>
    <col width="11.5546875" customWidth="1" style="704" min="4114" max="4114"/>
    <col width="13.33203125" customWidth="1" style="704" min="4115" max="4115"/>
    <col width="19.44140625" customWidth="1" style="704" min="4116" max="4116"/>
    <col width="18.88671875" customWidth="1" style="704" min="4117" max="4117"/>
    <col width="9.109375" customWidth="1" style="704" min="4118" max="4354"/>
    <col width="4.109375" customWidth="1" style="704" min="4355" max="4355"/>
    <col width="13.33203125" customWidth="1" style="704" min="4356" max="4356"/>
    <col width="9.5546875" customWidth="1" style="704" min="4357" max="4357"/>
    <col width="15" customWidth="1" style="704" min="4358" max="4358"/>
    <col width="13" customWidth="1" style="704" min="4359" max="4360"/>
    <col width="4.33203125" customWidth="1" style="704" min="4361" max="4361"/>
    <col width="4.88671875" customWidth="1" style="704" min="4362" max="4362"/>
    <col width="9.5546875" customWidth="1" style="704" min="4363" max="4363"/>
    <col width="36" customWidth="1" style="704" min="4364" max="4364"/>
    <col width="11.109375" customWidth="1" style="704" min="4365" max="4365"/>
    <col width="12.44140625" customWidth="1" style="704" min="4366" max="4366"/>
    <col width="13.88671875" customWidth="1" style="704" min="4367" max="4367"/>
    <col width="7.6640625" customWidth="1" style="704" min="4368" max="4368"/>
    <col width="13" customWidth="1" style="704" min="4369" max="4369"/>
    <col width="11.5546875" customWidth="1" style="704" min="4370" max="4370"/>
    <col width="13.33203125" customWidth="1" style="704" min="4371" max="4371"/>
    <col width="19.44140625" customWidth="1" style="704" min="4372" max="4372"/>
    <col width="18.88671875" customWidth="1" style="704" min="4373" max="4373"/>
    <col width="9.109375" customWidth="1" style="704" min="4374" max="4610"/>
    <col width="4.109375" customWidth="1" style="704" min="4611" max="4611"/>
    <col width="13.33203125" customWidth="1" style="704" min="4612" max="4612"/>
    <col width="9.5546875" customWidth="1" style="704" min="4613" max="4613"/>
    <col width="15" customWidth="1" style="704" min="4614" max="4614"/>
    <col width="13" customWidth="1" style="704" min="4615" max="4616"/>
    <col width="4.33203125" customWidth="1" style="704" min="4617" max="4617"/>
    <col width="4.88671875" customWidth="1" style="704" min="4618" max="4618"/>
    <col width="9.5546875" customWidth="1" style="704" min="4619" max="4619"/>
    <col width="36" customWidth="1" style="704" min="4620" max="4620"/>
    <col width="11.109375" customWidth="1" style="704" min="4621" max="4621"/>
    <col width="12.44140625" customWidth="1" style="704" min="4622" max="4622"/>
    <col width="13.88671875" customWidth="1" style="704" min="4623" max="4623"/>
    <col width="7.6640625" customWidth="1" style="704" min="4624" max="4624"/>
    <col width="13" customWidth="1" style="704" min="4625" max="4625"/>
    <col width="11.5546875" customWidth="1" style="704" min="4626" max="4626"/>
    <col width="13.33203125" customWidth="1" style="704" min="4627" max="4627"/>
    <col width="19.44140625" customWidth="1" style="704" min="4628" max="4628"/>
    <col width="18.88671875" customWidth="1" style="704" min="4629" max="4629"/>
    <col width="9.109375" customWidth="1" style="704" min="4630" max="4866"/>
    <col width="4.109375" customWidth="1" style="704" min="4867" max="4867"/>
    <col width="13.33203125" customWidth="1" style="704" min="4868" max="4868"/>
    <col width="9.5546875" customWidth="1" style="704" min="4869" max="4869"/>
    <col width="15" customWidth="1" style="704" min="4870" max="4870"/>
    <col width="13" customWidth="1" style="704" min="4871" max="4872"/>
    <col width="4.33203125" customWidth="1" style="704" min="4873" max="4873"/>
    <col width="4.88671875" customWidth="1" style="704" min="4874" max="4874"/>
    <col width="9.5546875" customWidth="1" style="704" min="4875" max="4875"/>
    <col width="36" customWidth="1" style="704" min="4876" max="4876"/>
    <col width="11.109375" customWidth="1" style="704" min="4877" max="4877"/>
    <col width="12.44140625" customWidth="1" style="704" min="4878" max="4878"/>
    <col width="13.88671875" customWidth="1" style="704" min="4879" max="4879"/>
    <col width="7.6640625" customWidth="1" style="704" min="4880" max="4880"/>
    <col width="13" customWidth="1" style="704" min="4881" max="4881"/>
    <col width="11.5546875" customWidth="1" style="704" min="4882" max="4882"/>
    <col width="13.33203125" customWidth="1" style="704" min="4883" max="4883"/>
    <col width="19.44140625" customWidth="1" style="704" min="4884" max="4884"/>
    <col width="18.88671875" customWidth="1" style="704" min="4885" max="4885"/>
    <col width="9.109375" customWidth="1" style="704" min="4886" max="5122"/>
    <col width="4.109375" customWidth="1" style="704" min="5123" max="5123"/>
    <col width="13.33203125" customWidth="1" style="704" min="5124" max="5124"/>
    <col width="9.5546875" customWidth="1" style="704" min="5125" max="5125"/>
    <col width="15" customWidth="1" style="704" min="5126" max="5126"/>
    <col width="13" customWidth="1" style="704" min="5127" max="5128"/>
    <col width="4.33203125" customWidth="1" style="704" min="5129" max="5129"/>
    <col width="4.88671875" customWidth="1" style="704" min="5130" max="5130"/>
    <col width="9.5546875" customWidth="1" style="704" min="5131" max="5131"/>
    <col width="36" customWidth="1" style="704" min="5132" max="5132"/>
    <col width="11.109375" customWidth="1" style="704" min="5133" max="5133"/>
    <col width="12.44140625" customWidth="1" style="704" min="5134" max="5134"/>
    <col width="13.88671875" customWidth="1" style="704" min="5135" max="5135"/>
    <col width="7.6640625" customWidth="1" style="704" min="5136" max="5136"/>
    <col width="13" customWidth="1" style="704" min="5137" max="5137"/>
    <col width="11.5546875" customWidth="1" style="704" min="5138" max="5138"/>
    <col width="13.33203125" customWidth="1" style="704" min="5139" max="5139"/>
    <col width="19.44140625" customWidth="1" style="704" min="5140" max="5140"/>
    <col width="18.88671875" customWidth="1" style="704" min="5141" max="5141"/>
    <col width="9.109375" customWidth="1" style="704" min="5142" max="5378"/>
    <col width="4.109375" customWidth="1" style="704" min="5379" max="5379"/>
    <col width="13.33203125" customWidth="1" style="704" min="5380" max="5380"/>
    <col width="9.5546875" customWidth="1" style="704" min="5381" max="5381"/>
    <col width="15" customWidth="1" style="704" min="5382" max="5382"/>
    <col width="13" customWidth="1" style="704" min="5383" max="5384"/>
    <col width="4.33203125" customWidth="1" style="704" min="5385" max="5385"/>
    <col width="4.88671875" customWidth="1" style="704" min="5386" max="5386"/>
    <col width="9.5546875" customWidth="1" style="704" min="5387" max="5387"/>
    <col width="36" customWidth="1" style="704" min="5388" max="5388"/>
    <col width="11.109375" customWidth="1" style="704" min="5389" max="5389"/>
    <col width="12.44140625" customWidth="1" style="704" min="5390" max="5390"/>
    <col width="13.88671875" customWidth="1" style="704" min="5391" max="5391"/>
    <col width="7.6640625" customWidth="1" style="704" min="5392" max="5392"/>
    <col width="13" customWidth="1" style="704" min="5393" max="5393"/>
    <col width="11.5546875" customWidth="1" style="704" min="5394" max="5394"/>
    <col width="13.33203125" customWidth="1" style="704" min="5395" max="5395"/>
    <col width="19.44140625" customWidth="1" style="704" min="5396" max="5396"/>
    <col width="18.88671875" customWidth="1" style="704" min="5397" max="5397"/>
    <col width="9.109375" customWidth="1" style="704" min="5398" max="5634"/>
    <col width="4.109375" customWidth="1" style="704" min="5635" max="5635"/>
    <col width="13.33203125" customWidth="1" style="704" min="5636" max="5636"/>
    <col width="9.5546875" customWidth="1" style="704" min="5637" max="5637"/>
    <col width="15" customWidth="1" style="704" min="5638" max="5638"/>
    <col width="13" customWidth="1" style="704" min="5639" max="5640"/>
    <col width="4.33203125" customWidth="1" style="704" min="5641" max="5641"/>
    <col width="4.88671875" customWidth="1" style="704" min="5642" max="5642"/>
    <col width="9.5546875" customWidth="1" style="704" min="5643" max="5643"/>
    <col width="36" customWidth="1" style="704" min="5644" max="5644"/>
    <col width="11.109375" customWidth="1" style="704" min="5645" max="5645"/>
    <col width="12.44140625" customWidth="1" style="704" min="5646" max="5646"/>
    <col width="13.88671875" customWidth="1" style="704" min="5647" max="5647"/>
    <col width="7.6640625" customWidth="1" style="704" min="5648" max="5648"/>
    <col width="13" customWidth="1" style="704" min="5649" max="5649"/>
    <col width="11.5546875" customWidth="1" style="704" min="5650" max="5650"/>
    <col width="13.33203125" customWidth="1" style="704" min="5651" max="5651"/>
    <col width="19.44140625" customWidth="1" style="704" min="5652" max="5652"/>
    <col width="18.88671875" customWidth="1" style="704" min="5653" max="5653"/>
    <col width="9.109375" customWidth="1" style="704" min="5654" max="5890"/>
    <col width="4.109375" customWidth="1" style="704" min="5891" max="5891"/>
    <col width="13.33203125" customWidth="1" style="704" min="5892" max="5892"/>
    <col width="9.5546875" customWidth="1" style="704" min="5893" max="5893"/>
    <col width="15" customWidth="1" style="704" min="5894" max="5894"/>
    <col width="13" customWidth="1" style="704" min="5895" max="5896"/>
    <col width="4.33203125" customWidth="1" style="704" min="5897" max="5897"/>
    <col width="4.88671875" customWidth="1" style="704" min="5898" max="5898"/>
    <col width="9.5546875" customWidth="1" style="704" min="5899" max="5899"/>
    <col width="36" customWidth="1" style="704" min="5900" max="5900"/>
    <col width="11.109375" customWidth="1" style="704" min="5901" max="5901"/>
    <col width="12.44140625" customWidth="1" style="704" min="5902" max="5902"/>
    <col width="13.88671875" customWidth="1" style="704" min="5903" max="5903"/>
    <col width="7.6640625" customWidth="1" style="704" min="5904" max="5904"/>
    <col width="13" customWidth="1" style="704" min="5905" max="5905"/>
    <col width="11.5546875" customWidth="1" style="704" min="5906" max="5906"/>
    <col width="13.33203125" customWidth="1" style="704" min="5907" max="5907"/>
    <col width="19.44140625" customWidth="1" style="704" min="5908" max="5908"/>
    <col width="18.88671875" customWidth="1" style="704" min="5909" max="5909"/>
    <col width="9.109375" customWidth="1" style="704" min="5910" max="6146"/>
    <col width="4.109375" customWidth="1" style="704" min="6147" max="6147"/>
    <col width="13.33203125" customWidth="1" style="704" min="6148" max="6148"/>
    <col width="9.5546875" customWidth="1" style="704" min="6149" max="6149"/>
    <col width="15" customWidth="1" style="704" min="6150" max="6150"/>
    <col width="13" customWidth="1" style="704" min="6151" max="6152"/>
    <col width="4.33203125" customWidth="1" style="704" min="6153" max="6153"/>
    <col width="4.88671875" customWidth="1" style="704" min="6154" max="6154"/>
    <col width="9.5546875" customWidth="1" style="704" min="6155" max="6155"/>
    <col width="36" customWidth="1" style="704" min="6156" max="6156"/>
    <col width="11.109375" customWidth="1" style="704" min="6157" max="6157"/>
    <col width="12.44140625" customWidth="1" style="704" min="6158" max="6158"/>
    <col width="13.88671875" customWidth="1" style="704" min="6159" max="6159"/>
    <col width="7.6640625" customWidth="1" style="704" min="6160" max="6160"/>
    <col width="13" customWidth="1" style="704" min="6161" max="6161"/>
    <col width="11.5546875" customWidth="1" style="704" min="6162" max="6162"/>
    <col width="13.33203125" customWidth="1" style="704" min="6163" max="6163"/>
    <col width="19.44140625" customWidth="1" style="704" min="6164" max="6164"/>
    <col width="18.88671875" customWidth="1" style="704" min="6165" max="6165"/>
    <col width="9.109375" customWidth="1" style="704" min="6166" max="6402"/>
    <col width="4.109375" customWidth="1" style="704" min="6403" max="6403"/>
    <col width="13.33203125" customWidth="1" style="704" min="6404" max="6404"/>
    <col width="9.5546875" customWidth="1" style="704" min="6405" max="6405"/>
    <col width="15" customWidth="1" style="704" min="6406" max="6406"/>
    <col width="13" customWidth="1" style="704" min="6407" max="6408"/>
    <col width="4.33203125" customWidth="1" style="704" min="6409" max="6409"/>
    <col width="4.88671875" customWidth="1" style="704" min="6410" max="6410"/>
    <col width="9.5546875" customWidth="1" style="704" min="6411" max="6411"/>
    <col width="36" customWidth="1" style="704" min="6412" max="6412"/>
    <col width="11.109375" customWidth="1" style="704" min="6413" max="6413"/>
    <col width="12.44140625" customWidth="1" style="704" min="6414" max="6414"/>
    <col width="13.88671875" customWidth="1" style="704" min="6415" max="6415"/>
    <col width="7.6640625" customWidth="1" style="704" min="6416" max="6416"/>
    <col width="13" customWidth="1" style="704" min="6417" max="6417"/>
    <col width="11.5546875" customWidth="1" style="704" min="6418" max="6418"/>
    <col width="13.33203125" customWidth="1" style="704" min="6419" max="6419"/>
    <col width="19.44140625" customWidth="1" style="704" min="6420" max="6420"/>
    <col width="18.88671875" customWidth="1" style="704" min="6421" max="6421"/>
    <col width="9.109375" customWidth="1" style="704" min="6422" max="6658"/>
    <col width="4.109375" customWidth="1" style="704" min="6659" max="6659"/>
    <col width="13.33203125" customWidth="1" style="704" min="6660" max="6660"/>
    <col width="9.5546875" customWidth="1" style="704" min="6661" max="6661"/>
    <col width="15" customWidth="1" style="704" min="6662" max="6662"/>
    <col width="13" customWidth="1" style="704" min="6663" max="6664"/>
    <col width="4.33203125" customWidth="1" style="704" min="6665" max="6665"/>
    <col width="4.88671875" customWidth="1" style="704" min="6666" max="6666"/>
    <col width="9.5546875" customWidth="1" style="704" min="6667" max="6667"/>
    <col width="36" customWidth="1" style="704" min="6668" max="6668"/>
    <col width="11.109375" customWidth="1" style="704" min="6669" max="6669"/>
    <col width="12.44140625" customWidth="1" style="704" min="6670" max="6670"/>
    <col width="13.88671875" customWidth="1" style="704" min="6671" max="6671"/>
    <col width="7.6640625" customWidth="1" style="704" min="6672" max="6672"/>
    <col width="13" customWidth="1" style="704" min="6673" max="6673"/>
    <col width="11.5546875" customWidth="1" style="704" min="6674" max="6674"/>
    <col width="13.33203125" customWidth="1" style="704" min="6675" max="6675"/>
    <col width="19.44140625" customWidth="1" style="704" min="6676" max="6676"/>
    <col width="18.88671875" customWidth="1" style="704" min="6677" max="6677"/>
    <col width="9.109375" customWidth="1" style="704" min="6678" max="6914"/>
    <col width="4.109375" customWidth="1" style="704" min="6915" max="6915"/>
    <col width="13.33203125" customWidth="1" style="704" min="6916" max="6916"/>
    <col width="9.5546875" customWidth="1" style="704" min="6917" max="6917"/>
    <col width="15" customWidth="1" style="704" min="6918" max="6918"/>
    <col width="13" customWidth="1" style="704" min="6919" max="6920"/>
    <col width="4.33203125" customWidth="1" style="704" min="6921" max="6921"/>
    <col width="4.88671875" customWidth="1" style="704" min="6922" max="6922"/>
    <col width="9.5546875" customWidth="1" style="704" min="6923" max="6923"/>
    <col width="36" customWidth="1" style="704" min="6924" max="6924"/>
    <col width="11.109375" customWidth="1" style="704" min="6925" max="6925"/>
    <col width="12.44140625" customWidth="1" style="704" min="6926" max="6926"/>
    <col width="13.88671875" customWidth="1" style="704" min="6927" max="6927"/>
    <col width="7.6640625" customWidth="1" style="704" min="6928" max="6928"/>
    <col width="13" customWidth="1" style="704" min="6929" max="6929"/>
    <col width="11.5546875" customWidth="1" style="704" min="6930" max="6930"/>
    <col width="13.33203125" customWidth="1" style="704" min="6931" max="6931"/>
    <col width="19.44140625" customWidth="1" style="704" min="6932" max="6932"/>
    <col width="18.88671875" customWidth="1" style="704" min="6933" max="6933"/>
    <col width="9.109375" customWidth="1" style="704" min="6934" max="7170"/>
    <col width="4.109375" customWidth="1" style="704" min="7171" max="7171"/>
    <col width="13.33203125" customWidth="1" style="704" min="7172" max="7172"/>
    <col width="9.5546875" customWidth="1" style="704" min="7173" max="7173"/>
    <col width="15" customWidth="1" style="704" min="7174" max="7174"/>
    <col width="13" customWidth="1" style="704" min="7175" max="7176"/>
    <col width="4.33203125" customWidth="1" style="704" min="7177" max="7177"/>
    <col width="4.88671875" customWidth="1" style="704" min="7178" max="7178"/>
    <col width="9.5546875" customWidth="1" style="704" min="7179" max="7179"/>
    <col width="36" customWidth="1" style="704" min="7180" max="7180"/>
    <col width="11.109375" customWidth="1" style="704" min="7181" max="7181"/>
    <col width="12.44140625" customWidth="1" style="704" min="7182" max="7182"/>
    <col width="13.88671875" customWidth="1" style="704" min="7183" max="7183"/>
    <col width="7.6640625" customWidth="1" style="704" min="7184" max="7184"/>
    <col width="13" customWidth="1" style="704" min="7185" max="7185"/>
    <col width="11.5546875" customWidth="1" style="704" min="7186" max="7186"/>
    <col width="13.33203125" customWidth="1" style="704" min="7187" max="7187"/>
    <col width="19.44140625" customWidth="1" style="704" min="7188" max="7188"/>
    <col width="18.88671875" customWidth="1" style="704" min="7189" max="7189"/>
    <col width="9.109375" customWidth="1" style="704" min="7190" max="7426"/>
    <col width="4.109375" customWidth="1" style="704" min="7427" max="7427"/>
    <col width="13.33203125" customWidth="1" style="704" min="7428" max="7428"/>
    <col width="9.5546875" customWidth="1" style="704" min="7429" max="7429"/>
    <col width="15" customWidth="1" style="704" min="7430" max="7430"/>
    <col width="13" customWidth="1" style="704" min="7431" max="7432"/>
    <col width="4.33203125" customWidth="1" style="704" min="7433" max="7433"/>
    <col width="4.88671875" customWidth="1" style="704" min="7434" max="7434"/>
    <col width="9.5546875" customWidth="1" style="704" min="7435" max="7435"/>
    <col width="36" customWidth="1" style="704" min="7436" max="7436"/>
    <col width="11.109375" customWidth="1" style="704" min="7437" max="7437"/>
    <col width="12.44140625" customWidth="1" style="704" min="7438" max="7438"/>
    <col width="13.88671875" customWidth="1" style="704" min="7439" max="7439"/>
    <col width="7.6640625" customWidth="1" style="704" min="7440" max="7440"/>
    <col width="13" customWidth="1" style="704" min="7441" max="7441"/>
    <col width="11.5546875" customWidth="1" style="704" min="7442" max="7442"/>
    <col width="13.33203125" customWidth="1" style="704" min="7443" max="7443"/>
    <col width="19.44140625" customWidth="1" style="704" min="7444" max="7444"/>
    <col width="18.88671875" customWidth="1" style="704" min="7445" max="7445"/>
    <col width="9.109375" customWidth="1" style="704" min="7446" max="7682"/>
    <col width="4.109375" customWidth="1" style="704" min="7683" max="7683"/>
    <col width="13.33203125" customWidth="1" style="704" min="7684" max="7684"/>
    <col width="9.5546875" customWidth="1" style="704" min="7685" max="7685"/>
    <col width="15" customWidth="1" style="704" min="7686" max="7686"/>
    <col width="13" customWidth="1" style="704" min="7687" max="7688"/>
    <col width="4.33203125" customWidth="1" style="704" min="7689" max="7689"/>
    <col width="4.88671875" customWidth="1" style="704" min="7690" max="7690"/>
    <col width="9.5546875" customWidth="1" style="704" min="7691" max="7691"/>
    <col width="36" customWidth="1" style="704" min="7692" max="7692"/>
    <col width="11.109375" customWidth="1" style="704" min="7693" max="7693"/>
    <col width="12.44140625" customWidth="1" style="704" min="7694" max="7694"/>
    <col width="13.88671875" customWidth="1" style="704" min="7695" max="7695"/>
    <col width="7.6640625" customWidth="1" style="704" min="7696" max="7696"/>
    <col width="13" customWidth="1" style="704" min="7697" max="7697"/>
    <col width="11.5546875" customWidth="1" style="704" min="7698" max="7698"/>
    <col width="13.33203125" customWidth="1" style="704" min="7699" max="7699"/>
    <col width="19.44140625" customWidth="1" style="704" min="7700" max="7700"/>
    <col width="18.88671875" customWidth="1" style="704" min="7701" max="7701"/>
    <col width="9.109375" customWidth="1" style="704" min="7702" max="7938"/>
    <col width="4.109375" customWidth="1" style="704" min="7939" max="7939"/>
    <col width="13.33203125" customWidth="1" style="704" min="7940" max="7940"/>
    <col width="9.5546875" customWidth="1" style="704" min="7941" max="7941"/>
    <col width="15" customWidth="1" style="704" min="7942" max="7942"/>
    <col width="13" customWidth="1" style="704" min="7943" max="7944"/>
    <col width="4.33203125" customWidth="1" style="704" min="7945" max="7945"/>
    <col width="4.88671875" customWidth="1" style="704" min="7946" max="7946"/>
    <col width="9.5546875" customWidth="1" style="704" min="7947" max="7947"/>
    <col width="36" customWidth="1" style="704" min="7948" max="7948"/>
    <col width="11.109375" customWidth="1" style="704" min="7949" max="7949"/>
    <col width="12.44140625" customWidth="1" style="704" min="7950" max="7950"/>
    <col width="13.88671875" customWidth="1" style="704" min="7951" max="7951"/>
    <col width="7.6640625" customWidth="1" style="704" min="7952" max="7952"/>
    <col width="13" customWidth="1" style="704" min="7953" max="7953"/>
    <col width="11.5546875" customWidth="1" style="704" min="7954" max="7954"/>
    <col width="13.33203125" customWidth="1" style="704" min="7955" max="7955"/>
    <col width="19.44140625" customWidth="1" style="704" min="7956" max="7956"/>
    <col width="18.88671875" customWidth="1" style="704" min="7957" max="7957"/>
    <col width="9.109375" customWidth="1" style="704" min="7958" max="8194"/>
    <col width="4.109375" customWidth="1" style="704" min="8195" max="8195"/>
    <col width="13.33203125" customWidth="1" style="704" min="8196" max="8196"/>
    <col width="9.5546875" customWidth="1" style="704" min="8197" max="8197"/>
    <col width="15" customWidth="1" style="704" min="8198" max="8198"/>
    <col width="13" customWidth="1" style="704" min="8199" max="8200"/>
    <col width="4.33203125" customWidth="1" style="704" min="8201" max="8201"/>
    <col width="4.88671875" customWidth="1" style="704" min="8202" max="8202"/>
    <col width="9.5546875" customWidth="1" style="704" min="8203" max="8203"/>
    <col width="36" customWidth="1" style="704" min="8204" max="8204"/>
    <col width="11.109375" customWidth="1" style="704" min="8205" max="8205"/>
    <col width="12.44140625" customWidth="1" style="704" min="8206" max="8206"/>
    <col width="13.88671875" customWidth="1" style="704" min="8207" max="8207"/>
    <col width="7.6640625" customWidth="1" style="704" min="8208" max="8208"/>
    <col width="13" customWidth="1" style="704" min="8209" max="8209"/>
    <col width="11.5546875" customWidth="1" style="704" min="8210" max="8210"/>
    <col width="13.33203125" customWidth="1" style="704" min="8211" max="8211"/>
    <col width="19.44140625" customWidth="1" style="704" min="8212" max="8212"/>
    <col width="18.88671875" customWidth="1" style="704" min="8213" max="8213"/>
    <col width="9.109375" customWidth="1" style="704" min="8214" max="8450"/>
    <col width="4.109375" customWidth="1" style="704" min="8451" max="8451"/>
    <col width="13.33203125" customWidth="1" style="704" min="8452" max="8452"/>
    <col width="9.5546875" customWidth="1" style="704" min="8453" max="8453"/>
    <col width="15" customWidth="1" style="704" min="8454" max="8454"/>
    <col width="13" customWidth="1" style="704" min="8455" max="8456"/>
    <col width="4.33203125" customWidth="1" style="704" min="8457" max="8457"/>
    <col width="4.88671875" customWidth="1" style="704" min="8458" max="8458"/>
    <col width="9.5546875" customWidth="1" style="704" min="8459" max="8459"/>
    <col width="36" customWidth="1" style="704" min="8460" max="8460"/>
    <col width="11.109375" customWidth="1" style="704" min="8461" max="8461"/>
    <col width="12.44140625" customWidth="1" style="704" min="8462" max="8462"/>
    <col width="13.88671875" customWidth="1" style="704" min="8463" max="8463"/>
    <col width="7.6640625" customWidth="1" style="704" min="8464" max="8464"/>
    <col width="13" customWidth="1" style="704" min="8465" max="8465"/>
    <col width="11.5546875" customWidth="1" style="704" min="8466" max="8466"/>
    <col width="13.33203125" customWidth="1" style="704" min="8467" max="8467"/>
    <col width="19.44140625" customWidth="1" style="704" min="8468" max="8468"/>
    <col width="18.88671875" customWidth="1" style="704" min="8469" max="8469"/>
    <col width="9.109375" customWidth="1" style="704" min="8470" max="8706"/>
    <col width="4.109375" customWidth="1" style="704" min="8707" max="8707"/>
    <col width="13.33203125" customWidth="1" style="704" min="8708" max="8708"/>
    <col width="9.5546875" customWidth="1" style="704" min="8709" max="8709"/>
    <col width="15" customWidth="1" style="704" min="8710" max="8710"/>
    <col width="13" customWidth="1" style="704" min="8711" max="8712"/>
    <col width="4.33203125" customWidth="1" style="704" min="8713" max="8713"/>
    <col width="4.88671875" customWidth="1" style="704" min="8714" max="8714"/>
    <col width="9.5546875" customWidth="1" style="704" min="8715" max="8715"/>
    <col width="36" customWidth="1" style="704" min="8716" max="8716"/>
    <col width="11.109375" customWidth="1" style="704" min="8717" max="8717"/>
    <col width="12.44140625" customWidth="1" style="704" min="8718" max="8718"/>
    <col width="13.88671875" customWidth="1" style="704" min="8719" max="8719"/>
    <col width="7.6640625" customWidth="1" style="704" min="8720" max="8720"/>
    <col width="13" customWidth="1" style="704" min="8721" max="8721"/>
    <col width="11.5546875" customWidth="1" style="704" min="8722" max="8722"/>
    <col width="13.33203125" customWidth="1" style="704" min="8723" max="8723"/>
    <col width="19.44140625" customWidth="1" style="704" min="8724" max="8724"/>
    <col width="18.88671875" customWidth="1" style="704" min="8725" max="8725"/>
    <col width="9.109375" customWidth="1" style="704" min="8726" max="8962"/>
    <col width="4.109375" customWidth="1" style="704" min="8963" max="8963"/>
    <col width="13.33203125" customWidth="1" style="704" min="8964" max="8964"/>
    <col width="9.5546875" customWidth="1" style="704" min="8965" max="8965"/>
    <col width="15" customWidth="1" style="704" min="8966" max="8966"/>
    <col width="13" customWidth="1" style="704" min="8967" max="8968"/>
    <col width="4.33203125" customWidth="1" style="704" min="8969" max="8969"/>
    <col width="4.88671875" customWidth="1" style="704" min="8970" max="8970"/>
    <col width="9.5546875" customWidth="1" style="704" min="8971" max="8971"/>
    <col width="36" customWidth="1" style="704" min="8972" max="8972"/>
    <col width="11.109375" customWidth="1" style="704" min="8973" max="8973"/>
    <col width="12.44140625" customWidth="1" style="704" min="8974" max="8974"/>
    <col width="13.88671875" customWidth="1" style="704" min="8975" max="8975"/>
    <col width="7.6640625" customWidth="1" style="704" min="8976" max="8976"/>
    <col width="13" customWidth="1" style="704" min="8977" max="8977"/>
    <col width="11.5546875" customWidth="1" style="704" min="8978" max="8978"/>
    <col width="13.33203125" customWidth="1" style="704" min="8979" max="8979"/>
    <col width="19.44140625" customWidth="1" style="704" min="8980" max="8980"/>
    <col width="18.88671875" customWidth="1" style="704" min="8981" max="8981"/>
    <col width="9.109375" customWidth="1" style="704" min="8982" max="9218"/>
    <col width="4.109375" customWidth="1" style="704" min="9219" max="9219"/>
    <col width="13.33203125" customWidth="1" style="704" min="9220" max="9220"/>
    <col width="9.5546875" customWidth="1" style="704" min="9221" max="9221"/>
    <col width="15" customWidth="1" style="704" min="9222" max="9222"/>
    <col width="13" customWidth="1" style="704" min="9223" max="9224"/>
    <col width="4.33203125" customWidth="1" style="704" min="9225" max="9225"/>
    <col width="4.88671875" customWidth="1" style="704" min="9226" max="9226"/>
    <col width="9.5546875" customWidth="1" style="704" min="9227" max="9227"/>
    <col width="36" customWidth="1" style="704" min="9228" max="9228"/>
    <col width="11.109375" customWidth="1" style="704" min="9229" max="9229"/>
    <col width="12.44140625" customWidth="1" style="704" min="9230" max="9230"/>
    <col width="13.88671875" customWidth="1" style="704" min="9231" max="9231"/>
    <col width="7.6640625" customWidth="1" style="704" min="9232" max="9232"/>
    <col width="13" customWidth="1" style="704" min="9233" max="9233"/>
    <col width="11.5546875" customWidth="1" style="704" min="9234" max="9234"/>
    <col width="13.33203125" customWidth="1" style="704" min="9235" max="9235"/>
    <col width="19.44140625" customWidth="1" style="704" min="9236" max="9236"/>
    <col width="18.88671875" customWidth="1" style="704" min="9237" max="9237"/>
    <col width="9.109375" customWidth="1" style="704" min="9238" max="9474"/>
    <col width="4.109375" customWidth="1" style="704" min="9475" max="9475"/>
    <col width="13.33203125" customWidth="1" style="704" min="9476" max="9476"/>
    <col width="9.5546875" customWidth="1" style="704" min="9477" max="9477"/>
    <col width="15" customWidth="1" style="704" min="9478" max="9478"/>
    <col width="13" customWidth="1" style="704" min="9479" max="9480"/>
    <col width="4.33203125" customWidth="1" style="704" min="9481" max="9481"/>
    <col width="4.88671875" customWidth="1" style="704" min="9482" max="9482"/>
    <col width="9.5546875" customWidth="1" style="704" min="9483" max="9483"/>
    <col width="36" customWidth="1" style="704" min="9484" max="9484"/>
    <col width="11.109375" customWidth="1" style="704" min="9485" max="9485"/>
    <col width="12.44140625" customWidth="1" style="704" min="9486" max="9486"/>
    <col width="13.88671875" customWidth="1" style="704" min="9487" max="9487"/>
    <col width="7.6640625" customWidth="1" style="704" min="9488" max="9488"/>
    <col width="13" customWidth="1" style="704" min="9489" max="9489"/>
    <col width="11.5546875" customWidth="1" style="704" min="9490" max="9490"/>
    <col width="13.33203125" customWidth="1" style="704" min="9491" max="9491"/>
    <col width="19.44140625" customWidth="1" style="704" min="9492" max="9492"/>
    <col width="18.88671875" customWidth="1" style="704" min="9493" max="9493"/>
    <col width="9.109375" customWidth="1" style="704" min="9494" max="9730"/>
    <col width="4.109375" customWidth="1" style="704" min="9731" max="9731"/>
    <col width="13.33203125" customWidth="1" style="704" min="9732" max="9732"/>
    <col width="9.5546875" customWidth="1" style="704" min="9733" max="9733"/>
    <col width="15" customWidth="1" style="704" min="9734" max="9734"/>
    <col width="13" customWidth="1" style="704" min="9735" max="9736"/>
    <col width="4.33203125" customWidth="1" style="704" min="9737" max="9737"/>
    <col width="4.88671875" customWidth="1" style="704" min="9738" max="9738"/>
    <col width="9.5546875" customWidth="1" style="704" min="9739" max="9739"/>
    <col width="36" customWidth="1" style="704" min="9740" max="9740"/>
    <col width="11.109375" customWidth="1" style="704" min="9741" max="9741"/>
    <col width="12.44140625" customWidth="1" style="704" min="9742" max="9742"/>
    <col width="13.88671875" customWidth="1" style="704" min="9743" max="9743"/>
    <col width="7.6640625" customWidth="1" style="704" min="9744" max="9744"/>
    <col width="13" customWidth="1" style="704" min="9745" max="9745"/>
    <col width="11.5546875" customWidth="1" style="704" min="9746" max="9746"/>
    <col width="13.33203125" customWidth="1" style="704" min="9747" max="9747"/>
    <col width="19.44140625" customWidth="1" style="704" min="9748" max="9748"/>
    <col width="18.88671875" customWidth="1" style="704" min="9749" max="9749"/>
    <col width="9.109375" customWidth="1" style="704" min="9750" max="9986"/>
    <col width="4.109375" customWidth="1" style="704" min="9987" max="9987"/>
    <col width="13.33203125" customWidth="1" style="704" min="9988" max="9988"/>
    <col width="9.5546875" customWidth="1" style="704" min="9989" max="9989"/>
    <col width="15" customWidth="1" style="704" min="9990" max="9990"/>
    <col width="13" customWidth="1" style="704" min="9991" max="9992"/>
    <col width="4.33203125" customWidth="1" style="704" min="9993" max="9993"/>
    <col width="4.88671875" customWidth="1" style="704" min="9994" max="9994"/>
    <col width="9.5546875" customWidth="1" style="704" min="9995" max="9995"/>
    <col width="36" customWidth="1" style="704" min="9996" max="9996"/>
    <col width="11.109375" customWidth="1" style="704" min="9997" max="9997"/>
    <col width="12.44140625" customWidth="1" style="704" min="9998" max="9998"/>
    <col width="13.88671875" customWidth="1" style="704" min="9999" max="9999"/>
    <col width="7.6640625" customWidth="1" style="704" min="10000" max="10000"/>
    <col width="13" customWidth="1" style="704" min="10001" max="10001"/>
    <col width="11.5546875" customWidth="1" style="704" min="10002" max="10002"/>
    <col width="13.33203125" customWidth="1" style="704" min="10003" max="10003"/>
    <col width="19.44140625" customWidth="1" style="704" min="10004" max="10004"/>
    <col width="18.88671875" customWidth="1" style="704" min="10005" max="10005"/>
    <col width="9.109375" customWidth="1" style="704" min="10006" max="10242"/>
    <col width="4.109375" customWidth="1" style="704" min="10243" max="10243"/>
    <col width="13.33203125" customWidth="1" style="704" min="10244" max="10244"/>
    <col width="9.5546875" customWidth="1" style="704" min="10245" max="10245"/>
    <col width="15" customWidth="1" style="704" min="10246" max="10246"/>
    <col width="13" customWidth="1" style="704" min="10247" max="10248"/>
    <col width="4.33203125" customWidth="1" style="704" min="10249" max="10249"/>
    <col width="4.88671875" customWidth="1" style="704" min="10250" max="10250"/>
    <col width="9.5546875" customWidth="1" style="704" min="10251" max="10251"/>
    <col width="36" customWidth="1" style="704" min="10252" max="10252"/>
    <col width="11.109375" customWidth="1" style="704" min="10253" max="10253"/>
    <col width="12.44140625" customWidth="1" style="704" min="10254" max="10254"/>
    <col width="13.88671875" customWidth="1" style="704" min="10255" max="10255"/>
    <col width="7.6640625" customWidth="1" style="704" min="10256" max="10256"/>
    <col width="13" customWidth="1" style="704" min="10257" max="10257"/>
    <col width="11.5546875" customWidth="1" style="704" min="10258" max="10258"/>
    <col width="13.33203125" customWidth="1" style="704" min="10259" max="10259"/>
    <col width="19.44140625" customWidth="1" style="704" min="10260" max="10260"/>
    <col width="18.88671875" customWidth="1" style="704" min="10261" max="10261"/>
    <col width="9.109375" customWidth="1" style="704" min="10262" max="10498"/>
    <col width="4.109375" customWidth="1" style="704" min="10499" max="10499"/>
    <col width="13.33203125" customWidth="1" style="704" min="10500" max="10500"/>
    <col width="9.5546875" customWidth="1" style="704" min="10501" max="10501"/>
    <col width="15" customWidth="1" style="704" min="10502" max="10502"/>
    <col width="13" customWidth="1" style="704" min="10503" max="10504"/>
    <col width="4.33203125" customWidth="1" style="704" min="10505" max="10505"/>
    <col width="4.88671875" customWidth="1" style="704" min="10506" max="10506"/>
    <col width="9.5546875" customWidth="1" style="704" min="10507" max="10507"/>
    <col width="36" customWidth="1" style="704" min="10508" max="10508"/>
    <col width="11.109375" customWidth="1" style="704" min="10509" max="10509"/>
    <col width="12.44140625" customWidth="1" style="704" min="10510" max="10510"/>
    <col width="13.88671875" customWidth="1" style="704" min="10511" max="10511"/>
    <col width="7.6640625" customWidth="1" style="704" min="10512" max="10512"/>
    <col width="13" customWidth="1" style="704" min="10513" max="10513"/>
    <col width="11.5546875" customWidth="1" style="704" min="10514" max="10514"/>
    <col width="13.33203125" customWidth="1" style="704" min="10515" max="10515"/>
    <col width="19.44140625" customWidth="1" style="704" min="10516" max="10516"/>
    <col width="18.88671875" customWidth="1" style="704" min="10517" max="10517"/>
    <col width="9.109375" customWidth="1" style="704" min="10518" max="10754"/>
    <col width="4.109375" customWidth="1" style="704" min="10755" max="10755"/>
    <col width="13.33203125" customWidth="1" style="704" min="10756" max="10756"/>
    <col width="9.5546875" customWidth="1" style="704" min="10757" max="10757"/>
    <col width="15" customWidth="1" style="704" min="10758" max="10758"/>
    <col width="13" customWidth="1" style="704" min="10759" max="10760"/>
    <col width="4.33203125" customWidth="1" style="704" min="10761" max="10761"/>
    <col width="4.88671875" customWidth="1" style="704" min="10762" max="10762"/>
    <col width="9.5546875" customWidth="1" style="704" min="10763" max="10763"/>
    <col width="36" customWidth="1" style="704" min="10764" max="10764"/>
    <col width="11.109375" customWidth="1" style="704" min="10765" max="10765"/>
    <col width="12.44140625" customWidth="1" style="704" min="10766" max="10766"/>
    <col width="13.88671875" customWidth="1" style="704" min="10767" max="10767"/>
    <col width="7.6640625" customWidth="1" style="704" min="10768" max="10768"/>
    <col width="13" customWidth="1" style="704" min="10769" max="10769"/>
    <col width="11.5546875" customWidth="1" style="704" min="10770" max="10770"/>
    <col width="13.33203125" customWidth="1" style="704" min="10771" max="10771"/>
    <col width="19.44140625" customWidth="1" style="704" min="10772" max="10772"/>
    <col width="18.88671875" customWidth="1" style="704" min="10773" max="10773"/>
    <col width="9.109375" customWidth="1" style="704" min="10774" max="11010"/>
    <col width="4.109375" customWidth="1" style="704" min="11011" max="11011"/>
    <col width="13.33203125" customWidth="1" style="704" min="11012" max="11012"/>
    <col width="9.5546875" customWidth="1" style="704" min="11013" max="11013"/>
    <col width="15" customWidth="1" style="704" min="11014" max="11014"/>
    <col width="13" customWidth="1" style="704" min="11015" max="11016"/>
    <col width="4.33203125" customWidth="1" style="704" min="11017" max="11017"/>
    <col width="4.88671875" customWidth="1" style="704" min="11018" max="11018"/>
    <col width="9.5546875" customWidth="1" style="704" min="11019" max="11019"/>
    <col width="36" customWidth="1" style="704" min="11020" max="11020"/>
    <col width="11.109375" customWidth="1" style="704" min="11021" max="11021"/>
    <col width="12.44140625" customWidth="1" style="704" min="11022" max="11022"/>
    <col width="13.88671875" customWidth="1" style="704" min="11023" max="11023"/>
    <col width="7.6640625" customWidth="1" style="704" min="11024" max="11024"/>
    <col width="13" customWidth="1" style="704" min="11025" max="11025"/>
    <col width="11.5546875" customWidth="1" style="704" min="11026" max="11026"/>
    <col width="13.33203125" customWidth="1" style="704" min="11027" max="11027"/>
    <col width="19.44140625" customWidth="1" style="704" min="11028" max="11028"/>
    <col width="18.88671875" customWidth="1" style="704" min="11029" max="11029"/>
    <col width="9.109375" customWidth="1" style="704" min="11030" max="11266"/>
    <col width="4.109375" customWidth="1" style="704" min="11267" max="11267"/>
    <col width="13.33203125" customWidth="1" style="704" min="11268" max="11268"/>
    <col width="9.5546875" customWidth="1" style="704" min="11269" max="11269"/>
    <col width="15" customWidth="1" style="704" min="11270" max="11270"/>
    <col width="13" customWidth="1" style="704" min="11271" max="11272"/>
    <col width="4.33203125" customWidth="1" style="704" min="11273" max="11273"/>
    <col width="4.88671875" customWidth="1" style="704" min="11274" max="11274"/>
    <col width="9.5546875" customWidth="1" style="704" min="11275" max="11275"/>
    <col width="36" customWidth="1" style="704" min="11276" max="11276"/>
    <col width="11.109375" customWidth="1" style="704" min="11277" max="11277"/>
    <col width="12.44140625" customWidth="1" style="704" min="11278" max="11278"/>
    <col width="13.88671875" customWidth="1" style="704" min="11279" max="11279"/>
    <col width="7.6640625" customWidth="1" style="704" min="11280" max="11280"/>
    <col width="13" customWidth="1" style="704" min="11281" max="11281"/>
    <col width="11.5546875" customWidth="1" style="704" min="11282" max="11282"/>
    <col width="13.33203125" customWidth="1" style="704" min="11283" max="11283"/>
    <col width="19.44140625" customWidth="1" style="704" min="11284" max="11284"/>
    <col width="18.88671875" customWidth="1" style="704" min="11285" max="11285"/>
    <col width="9.109375" customWidth="1" style="704" min="11286" max="11522"/>
    <col width="4.109375" customWidth="1" style="704" min="11523" max="11523"/>
    <col width="13.33203125" customWidth="1" style="704" min="11524" max="11524"/>
    <col width="9.5546875" customWidth="1" style="704" min="11525" max="11525"/>
    <col width="15" customWidth="1" style="704" min="11526" max="11526"/>
    <col width="13" customWidth="1" style="704" min="11527" max="11528"/>
    <col width="4.33203125" customWidth="1" style="704" min="11529" max="11529"/>
    <col width="4.88671875" customWidth="1" style="704" min="11530" max="11530"/>
    <col width="9.5546875" customWidth="1" style="704" min="11531" max="11531"/>
    <col width="36" customWidth="1" style="704" min="11532" max="11532"/>
    <col width="11.109375" customWidth="1" style="704" min="11533" max="11533"/>
    <col width="12.44140625" customWidth="1" style="704" min="11534" max="11534"/>
    <col width="13.88671875" customWidth="1" style="704" min="11535" max="11535"/>
    <col width="7.6640625" customWidth="1" style="704" min="11536" max="11536"/>
    <col width="13" customWidth="1" style="704" min="11537" max="11537"/>
    <col width="11.5546875" customWidth="1" style="704" min="11538" max="11538"/>
    <col width="13.33203125" customWidth="1" style="704" min="11539" max="11539"/>
    <col width="19.44140625" customWidth="1" style="704" min="11540" max="11540"/>
    <col width="18.88671875" customWidth="1" style="704" min="11541" max="11541"/>
    <col width="9.109375" customWidth="1" style="704" min="11542" max="11778"/>
    <col width="4.109375" customWidth="1" style="704" min="11779" max="11779"/>
    <col width="13.33203125" customWidth="1" style="704" min="11780" max="11780"/>
    <col width="9.5546875" customWidth="1" style="704" min="11781" max="11781"/>
    <col width="15" customWidth="1" style="704" min="11782" max="11782"/>
    <col width="13" customWidth="1" style="704" min="11783" max="11784"/>
    <col width="4.33203125" customWidth="1" style="704" min="11785" max="11785"/>
    <col width="4.88671875" customWidth="1" style="704" min="11786" max="11786"/>
    <col width="9.5546875" customWidth="1" style="704" min="11787" max="11787"/>
    <col width="36" customWidth="1" style="704" min="11788" max="11788"/>
    <col width="11.109375" customWidth="1" style="704" min="11789" max="11789"/>
    <col width="12.44140625" customWidth="1" style="704" min="11790" max="11790"/>
    <col width="13.88671875" customWidth="1" style="704" min="11791" max="11791"/>
    <col width="7.6640625" customWidth="1" style="704" min="11792" max="11792"/>
    <col width="13" customWidth="1" style="704" min="11793" max="11793"/>
    <col width="11.5546875" customWidth="1" style="704" min="11794" max="11794"/>
    <col width="13.33203125" customWidth="1" style="704" min="11795" max="11795"/>
    <col width="19.44140625" customWidth="1" style="704" min="11796" max="11796"/>
    <col width="18.88671875" customWidth="1" style="704" min="11797" max="11797"/>
    <col width="9.109375" customWidth="1" style="704" min="11798" max="12034"/>
    <col width="4.109375" customWidth="1" style="704" min="12035" max="12035"/>
    <col width="13.33203125" customWidth="1" style="704" min="12036" max="12036"/>
    <col width="9.5546875" customWidth="1" style="704" min="12037" max="12037"/>
    <col width="15" customWidth="1" style="704" min="12038" max="12038"/>
    <col width="13" customWidth="1" style="704" min="12039" max="12040"/>
    <col width="4.33203125" customWidth="1" style="704" min="12041" max="12041"/>
    <col width="4.88671875" customWidth="1" style="704" min="12042" max="12042"/>
    <col width="9.5546875" customWidth="1" style="704" min="12043" max="12043"/>
    <col width="36" customWidth="1" style="704" min="12044" max="12044"/>
    <col width="11.109375" customWidth="1" style="704" min="12045" max="12045"/>
    <col width="12.44140625" customWidth="1" style="704" min="12046" max="12046"/>
    <col width="13.88671875" customWidth="1" style="704" min="12047" max="12047"/>
    <col width="7.6640625" customWidth="1" style="704" min="12048" max="12048"/>
    <col width="13" customWidth="1" style="704" min="12049" max="12049"/>
    <col width="11.5546875" customWidth="1" style="704" min="12050" max="12050"/>
    <col width="13.33203125" customWidth="1" style="704" min="12051" max="12051"/>
    <col width="19.44140625" customWidth="1" style="704" min="12052" max="12052"/>
    <col width="18.88671875" customWidth="1" style="704" min="12053" max="12053"/>
    <col width="9.109375" customWidth="1" style="704" min="12054" max="12290"/>
    <col width="4.109375" customWidth="1" style="704" min="12291" max="12291"/>
    <col width="13.33203125" customWidth="1" style="704" min="12292" max="12292"/>
    <col width="9.5546875" customWidth="1" style="704" min="12293" max="12293"/>
    <col width="15" customWidth="1" style="704" min="12294" max="12294"/>
    <col width="13" customWidth="1" style="704" min="12295" max="12296"/>
    <col width="4.33203125" customWidth="1" style="704" min="12297" max="12297"/>
    <col width="4.88671875" customWidth="1" style="704" min="12298" max="12298"/>
    <col width="9.5546875" customWidth="1" style="704" min="12299" max="12299"/>
    <col width="36" customWidth="1" style="704" min="12300" max="12300"/>
    <col width="11.109375" customWidth="1" style="704" min="12301" max="12301"/>
    <col width="12.44140625" customWidth="1" style="704" min="12302" max="12302"/>
    <col width="13.88671875" customWidth="1" style="704" min="12303" max="12303"/>
    <col width="7.6640625" customWidth="1" style="704" min="12304" max="12304"/>
    <col width="13" customWidth="1" style="704" min="12305" max="12305"/>
    <col width="11.5546875" customWidth="1" style="704" min="12306" max="12306"/>
    <col width="13.33203125" customWidth="1" style="704" min="12307" max="12307"/>
    <col width="19.44140625" customWidth="1" style="704" min="12308" max="12308"/>
    <col width="18.88671875" customWidth="1" style="704" min="12309" max="12309"/>
    <col width="9.109375" customWidth="1" style="704" min="12310" max="12546"/>
    <col width="4.109375" customWidth="1" style="704" min="12547" max="12547"/>
    <col width="13.33203125" customWidth="1" style="704" min="12548" max="12548"/>
    <col width="9.5546875" customWidth="1" style="704" min="12549" max="12549"/>
    <col width="15" customWidth="1" style="704" min="12550" max="12550"/>
    <col width="13" customWidth="1" style="704" min="12551" max="12552"/>
    <col width="4.33203125" customWidth="1" style="704" min="12553" max="12553"/>
    <col width="4.88671875" customWidth="1" style="704" min="12554" max="12554"/>
    <col width="9.5546875" customWidth="1" style="704" min="12555" max="12555"/>
    <col width="36" customWidth="1" style="704" min="12556" max="12556"/>
    <col width="11.109375" customWidth="1" style="704" min="12557" max="12557"/>
    <col width="12.44140625" customWidth="1" style="704" min="12558" max="12558"/>
    <col width="13.88671875" customWidth="1" style="704" min="12559" max="12559"/>
    <col width="7.6640625" customWidth="1" style="704" min="12560" max="12560"/>
    <col width="13" customWidth="1" style="704" min="12561" max="12561"/>
    <col width="11.5546875" customWidth="1" style="704" min="12562" max="12562"/>
    <col width="13.33203125" customWidth="1" style="704" min="12563" max="12563"/>
    <col width="19.44140625" customWidth="1" style="704" min="12564" max="12564"/>
    <col width="18.88671875" customWidth="1" style="704" min="12565" max="12565"/>
    <col width="9.109375" customWidth="1" style="704" min="12566" max="12802"/>
    <col width="4.109375" customWidth="1" style="704" min="12803" max="12803"/>
    <col width="13.33203125" customWidth="1" style="704" min="12804" max="12804"/>
    <col width="9.5546875" customWidth="1" style="704" min="12805" max="12805"/>
    <col width="15" customWidth="1" style="704" min="12806" max="12806"/>
    <col width="13" customWidth="1" style="704" min="12807" max="12808"/>
    <col width="4.33203125" customWidth="1" style="704" min="12809" max="12809"/>
    <col width="4.88671875" customWidth="1" style="704" min="12810" max="12810"/>
    <col width="9.5546875" customWidth="1" style="704" min="12811" max="12811"/>
    <col width="36" customWidth="1" style="704" min="12812" max="12812"/>
    <col width="11.109375" customWidth="1" style="704" min="12813" max="12813"/>
    <col width="12.44140625" customWidth="1" style="704" min="12814" max="12814"/>
    <col width="13.88671875" customWidth="1" style="704" min="12815" max="12815"/>
    <col width="7.6640625" customWidth="1" style="704" min="12816" max="12816"/>
    <col width="13" customWidth="1" style="704" min="12817" max="12817"/>
    <col width="11.5546875" customWidth="1" style="704" min="12818" max="12818"/>
    <col width="13.33203125" customWidth="1" style="704" min="12819" max="12819"/>
    <col width="19.44140625" customWidth="1" style="704" min="12820" max="12820"/>
    <col width="18.88671875" customWidth="1" style="704" min="12821" max="12821"/>
    <col width="9.109375" customWidth="1" style="704" min="12822" max="13058"/>
    <col width="4.109375" customWidth="1" style="704" min="13059" max="13059"/>
    <col width="13.33203125" customWidth="1" style="704" min="13060" max="13060"/>
    <col width="9.5546875" customWidth="1" style="704" min="13061" max="13061"/>
    <col width="15" customWidth="1" style="704" min="13062" max="13062"/>
    <col width="13" customWidth="1" style="704" min="13063" max="13064"/>
    <col width="4.33203125" customWidth="1" style="704" min="13065" max="13065"/>
    <col width="4.88671875" customWidth="1" style="704" min="13066" max="13066"/>
    <col width="9.5546875" customWidth="1" style="704" min="13067" max="13067"/>
    <col width="36" customWidth="1" style="704" min="13068" max="13068"/>
    <col width="11.109375" customWidth="1" style="704" min="13069" max="13069"/>
    <col width="12.44140625" customWidth="1" style="704" min="13070" max="13070"/>
    <col width="13.88671875" customWidth="1" style="704" min="13071" max="13071"/>
    <col width="7.6640625" customWidth="1" style="704" min="13072" max="13072"/>
    <col width="13" customWidth="1" style="704" min="13073" max="13073"/>
    <col width="11.5546875" customWidth="1" style="704" min="13074" max="13074"/>
    <col width="13.33203125" customWidth="1" style="704" min="13075" max="13075"/>
    <col width="19.44140625" customWidth="1" style="704" min="13076" max="13076"/>
    <col width="18.88671875" customWidth="1" style="704" min="13077" max="13077"/>
    <col width="9.109375" customWidth="1" style="704" min="13078" max="13314"/>
    <col width="4.109375" customWidth="1" style="704" min="13315" max="13315"/>
    <col width="13.33203125" customWidth="1" style="704" min="13316" max="13316"/>
    <col width="9.5546875" customWidth="1" style="704" min="13317" max="13317"/>
    <col width="15" customWidth="1" style="704" min="13318" max="13318"/>
    <col width="13" customWidth="1" style="704" min="13319" max="13320"/>
    <col width="4.33203125" customWidth="1" style="704" min="13321" max="13321"/>
    <col width="4.88671875" customWidth="1" style="704" min="13322" max="13322"/>
    <col width="9.5546875" customWidth="1" style="704" min="13323" max="13323"/>
    <col width="36" customWidth="1" style="704" min="13324" max="13324"/>
    <col width="11.109375" customWidth="1" style="704" min="13325" max="13325"/>
    <col width="12.44140625" customWidth="1" style="704" min="13326" max="13326"/>
    <col width="13.88671875" customWidth="1" style="704" min="13327" max="13327"/>
    <col width="7.6640625" customWidth="1" style="704" min="13328" max="13328"/>
    <col width="13" customWidth="1" style="704" min="13329" max="13329"/>
    <col width="11.5546875" customWidth="1" style="704" min="13330" max="13330"/>
    <col width="13.33203125" customWidth="1" style="704" min="13331" max="13331"/>
    <col width="19.44140625" customWidth="1" style="704" min="13332" max="13332"/>
    <col width="18.88671875" customWidth="1" style="704" min="13333" max="13333"/>
    <col width="9.109375" customWidth="1" style="704" min="13334" max="13570"/>
    <col width="4.109375" customWidth="1" style="704" min="13571" max="13571"/>
    <col width="13.33203125" customWidth="1" style="704" min="13572" max="13572"/>
    <col width="9.5546875" customWidth="1" style="704" min="13573" max="13573"/>
    <col width="15" customWidth="1" style="704" min="13574" max="13574"/>
    <col width="13" customWidth="1" style="704" min="13575" max="13576"/>
    <col width="4.33203125" customWidth="1" style="704" min="13577" max="13577"/>
    <col width="4.88671875" customWidth="1" style="704" min="13578" max="13578"/>
    <col width="9.5546875" customWidth="1" style="704" min="13579" max="13579"/>
    <col width="36" customWidth="1" style="704" min="13580" max="13580"/>
    <col width="11.109375" customWidth="1" style="704" min="13581" max="13581"/>
    <col width="12.44140625" customWidth="1" style="704" min="13582" max="13582"/>
    <col width="13.88671875" customWidth="1" style="704" min="13583" max="13583"/>
    <col width="7.6640625" customWidth="1" style="704" min="13584" max="13584"/>
    <col width="13" customWidth="1" style="704" min="13585" max="13585"/>
    <col width="11.5546875" customWidth="1" style="704" min="13586" max="13586"/>
    <col width="13.33203125" customWidth="1" style="704" min="13587" max="13587"/>
    <col width="19.44140625" customWidth="1" style="704" min="13588" max="13588"/>
    <col width="18.88671875" customWidth="1" style="704" min="13589" max="13589"/>
    <col width="9.109375" customWidth="1" style="704" min="13590" max="13826"/>
    <col width="4.109375" customWidth="1" style="704" min="13827" max="13827"/>
    <col width="13.33203125" customWidth="1" style="704" min="13828" max="13828"/>
    <col width="9.5546875" customWidth="1" style="704" min="13829" max="13829"/>
    <col width="15" customWidth="1" style="704" min="13830" max="13830"/>
    <col width="13" customWidth="1" style="704" min="13831" max="13832"/>
    <col width="4.33203125" customWidth="1" style="704" min="13833" max="13833"/>
    <col width="4.88671875" customWidth="1" style="704" min="13834" max="13834"/>
    <col width="9.5546875" customWidth="1" style="704" min="13835" max="13835"/>
    <col width="36" customWidth="1" style="704" min="13836" max="13836"/>
    <col width="11.109375" customWidth="1" style="704" min="13837" max="13837"/>
    <col width="12.44140625" customWidth="1" style="704" min="13838" max="13838"/>
    <col width="13.88671875" customWidth="1" style="704" min="13839" max="13839"/>
    <col width="7.6640625" customWidth="1" style="704" min="13840" max="13840"/>
    <col width="13" customWidth="1" style="704" min="13841" max="13841"/>
    <col width="11.5546875" customWidth="1" style="704" min="13842" max="13842"/>
    <col width="13.33203125" customWidth="1" style="704" min="13843" max="13843"/>
    <col width="19.44140625" customWidth="1" style="704" min="13844" max="13844"/>
    <col width="18.88671875" customWidth="1" style="704" min="13845" max="13845"/>
    <col width="9.109375" customWidth="1" style="704" min="13846" max="14082"/>
    <col width="4.109375" customWidth="1" style="704" min="14083" max="14083"/>
    <col width="13.33203125" customWidth="1" style="704" min="14084" max="14084"/>
    <col width="9.5546875" customWidth="1" style="704" min="14085" max="14085"/>
    <col width="15" customWidth="1" style="704" min="14086" max="14086"/>
    <col width="13" customWidth="1" style="704" min="14087" max="14088"/>
    <col width="4.33203125" customWidth="1" style="704" min="14089" max="14089"/>
    <col width="4.88671875" customWidth="1" style="704" min="14090" max="14090"/>
    <col width="9.5546875" customWidth="1" style="704" min="14091" max="14091"/>
    <col width="36" customWidth="1" style="704" min="14092" max="14092"/>
    <col width="11.109375" customWidth="1" style="704" min="14093" max="14093"/>
    <col width="12.44140625" customWidth="1" style="704" min="14094" max="14094"/>
    <col width="13.88671875" customWidth="1" style="704" min="14095" max="14095"/>
    <col width="7.6640625" customWidth="1" style="704" min="14096" max="14096"/>
    <col width="13" customWidth="1" style="704" min="14097" max="14097"/>
    <col width="11.5546875" customWidth="1" style="704" min="14098" max="14098"/>
    <col width="13.33203125" customWidth="1" style="704" min="14099" max="14099"/>
    <col width="19.44140625" customWidth="1" style="704" min="14100" max="14100"/>
    <col width="18.88671875" customWidth="1" style="704" min="14101" max="14101"/>
    <col width="9.109375" customWidth="1" style="704" min="14102" max="14338"/>
    <col width="4.109375" customWidth="1" style="704" min="14339" max="14339"/>
    <col width="13.33203125" customWidth="1" style="704" min="14340" max="14340"/>
    <col width="9.5546875" customWidth="1" style="704" min="14341" max="14341"/>
    <col width="15" customWidth="1" style="704" min="14342" max="14342"/>
    <col width="13" customWidth="1" style="704" min="14343" max="14344"/>
    <col width="4.33203125" customWidth="1" style="704" min="14345" max="14345"/>
    <col width="4.88671875" customWidth="1" style="704" min="14346" max="14346"/>
    <col width="9.5546875" customWidth="1" style="704" min="14347" max="14347"/>
    <col width="36" customWidth="1" style="704" min="14348" max="14348"/>
    <col width="11.109375" customWidth="1" style="704" min="14349" max="14349"/>
    <col width="12.44140625" customWidth="1" style="704" min="14350" max="14350"/>
    <col width="13.88671875" customWidth="1" style="704" min="14351" max="14351"/>
    <col width="7.6640625" customWidth="1" style="704" min="14352" max="14352"/>
    <col width="13" customWidth="1" style="704" min="14353" max="14353"/>
    <col width="11.5546875" customWidth="1" style="704" min="14354" max="14354"/>
    <col width="13.33203125" customWidth="1" style="704" min="14355" max="14355"/>
    <col width="19.44140625" customWidth="1" style="704" min="14356" max="14356"/>
    <col width="18.88671875" customWidth="1" style="704" min="14357" max="14357"/>
    <col width="9.109375" customWidth="1" style="704" min="14358" max="14594"/>
    <col width="4.109375" customWidth="1" style="704" min="14595" max="14595"/>
    <col width="13.33203125" customWidth="1" style="704" min="14596" max="14596"/>
    <col width="9.5546875" customWidth="1" style="704" min="14597" max="14597"/>
    <col width="15" customWidth="1" style="704" min="14598" max="14598"/>
    <col width="13" customWidth="1" style="704" min="14599" max="14600"/>
    <col width="4.33203125" customWidth="1" style="704" min="14601" max="14601"/>
    <col width="4.88671875" customWidth="1" style="704" min="14602" max="14602"/>
    <col width="9.5546875" customWidth="1" style="704" min="14603" max="14603"/>
    <col width="36" customWidth="1" style="704" min="14604" max="14604"/>
    <col width="11.109375" customWidth="1" style="704" min="14605" max="14605"/>
    <col width="12.44140625" customWidth="1" style="704" min="14606" max="14606"/>
    <col width="13.88671875" customWidth="1" style="704" min="14607" max="14607"/>
    <col width="7.6640625" customWidth="1" style="704" min="14608" max="14608"/>
    <col width="13" customWidth="1" style="704" min="14609" max="14609"/>
    <col width="11.5546875" customWidth="1" style="704" min="14610" max="14610"/>
    <col width="13.33203125" customWidth="1" style="704" min="14611" max="14611"/>
    <col width="19.44140625" customWidth="1" style="704" min="14612" max="14612"/>
    <col width="18.88671875" customWidth="1" style="704" min="14613" max="14613"/>
    <col width="9.109375" customWidth="1" style="704" min="14614" max="14850"/>
    <col width="4.109375" customWidth="1" style="704" min="14851" max="14851"/>
    <col width="13.33203125" customWidth="1" style="704" min="14852" max="14852"/>
    <col width="9.5546875" customWidth="1" style="704" min="14853" max="14853"/>
    <col width="15" customWidth="1" style="704" min="14854" max="14854"/>
    <col width="13" customWidth="1" style="704" min="14855" max="14856"/>
    <col width="4.33203125" customWidth="1" style="704" min="14857" max="14857"/>
    <col width="4.88671875" customWidth="1" style="704" min="14858" max="14858"/>
    <col width="9.5546875" customWidth="1" style="704" min="14859" max="14859"/>
    <col width="36" customWidth="1" style="704" min="14860" max="14860"/>
    <col width="11.109375" customWidth="1" style="704" min="14861" max="14861"/>
    <col width="12.44140625" customWidth="1" style="704" min="14862" max="14862"/>
    <col width="13.88671875" customWidth="1" style="704" min="14863" max="14863"/>
    <col width="7.6640625" customWidth="1" style="704" min="14864" max="14864"/>
    <col width="13" customWidth="1" style="704" min="14865" max="14865"/>
    <col width="11.5546875" customWidth="1" style="704" min="14866" max="14866"/>
    <col width="13.33203125" customWidth="1" style="704" min="14867" max="14867"/>
    <col width="19.44140625" customWidth="1" style="704" min="14868" max="14868"/>
    <col width="18.88671875" customWidth="1" style="704" min="14869" max="14869"/>
    <col width="9.109375" customWidth="1" style="704" min="14870" max="15106"/>
    <col width="4.109375" customWidth="1" style="704" min="15107" max="15107"/>
    <col width="13.33203125" customWidth="1" style="704" min="15108" max="15108"/>
    <col width="9.5546875" customWidth="1" style="704" min="15109" max="15109"/>
    <col width="15" customWidth="1" style="704" min="15110" max="15110"/>
    <col width="13" customWidth="1" style="704" min="15111" max="15112"/>
    <col width="4.33203125" customWidth="1" style="704" min="15113" max="15113"/>
    <col width="4.88671875" customWidth="1" style="704" min="15114" max="15114"/>
    <col width="9.5546875" customWidth="1" style="704" min="15115" max="15115"/>
    <col width="36" customWidth="1" style="704" min="15116" max="15116"/>
    <col width="11.109375" customWidth="1" style="704" min="15117" max="15117"/>
    <col width="12.44140625" customWidth="1" style="704" min="15118" max="15118"/>
    <col width="13.88671875" customWidth="1" style="704" min="15119" max="15119"/>
    <col width="7.6640625" customWidth="1" style="704" min="15120" max="15120"/>
    <col width="13" customWidth="1" style="704" min="15121" max="15121"/>
    <col width="11.5546875" customWidth="1" style="704" min="15122" max="15122"/>
    <col width="13.33203125" customWidth="1" style="704" min="15123" max="15123"/>
    <col width="19.44140625" customWidth="1" style="704" min="15124" max="15124"/>
    <col width="18.88671875" customWidth="1" style="704" min="15125" max="15125"/>
    <col width="9.109375" customWidth="1" style="704" min="15126" max="15362"/>
    <col width="4.109375" customWidth="1" style="704" min="15363" max="15363"/>
    <col width="13.33203125" customWidth="1" style="704" min="15364" max="15364"/>
    <col width="9.5546875" customWidth="1" style="704" min="15365" max="15365"/>
    <col width="15" customWidth="1" style="704" min="15366" max="15366"/>
    <col width="13" customWidth="1" style="704" min="15367" max="15368"/>
    <col width="4.33203125" customWidth="1" style="704" min="15369" max="15369"/>
    <col width="4.88671875" customWidth="1" style="704" min="15370" max="15370"/>
    <col width="9.5546875" customWidth="1" style="704" min="15371" max="15371"/>
    <col width="36" customWidth="1" style="704" min="15372" max="15372"/>
    <col width="11.109375" customWidth="1" style="704" min="15373" max="15373"/>
    <col width="12.44140625" customWidth="1" style="704" min="15374" max="15374"/>
    <col width="13.88671875" customWidth="1" style="704" min="15375" max="15375"/>
    <col width="7.6640625" customWidth="1" style="704" min="15376" max="15376"/>
    <col width="13" customWidth="1" style="704" min="15377" max="15377"/>
    <col width="11.5546875" customWidth="1" style="704" min="15378" max="15378"/>
    <col width="13.33203125" customWidth="1" style="704" min="15379" max="15379"/>
    <col width="19.44140625" customWidth="1" style="704" min="15380" max="15380"/>
    <col width="18.88671875" customWidth="1" style="704" min="15381" max="15381"/>
    <col width="9.109375" customWidth="1" style="704" min="15382" max="15618"/>
    <col width="4.109375" customWidth="1" style="704" min="15619" max="15619"/>
    <col width="13.33203125" customWidth="1" style="704" min="15620" max="15620"/>
    <col width="9.5546875" customWidth="1" style="704" min="15621" max="15621"/>
    <col width="15" customWidth="1" style="704" min="15622" max="15622"/>
    <col width="13" customWidth="1" style="704" min="15623" max="15624"/>
    <col width="4.33203125" customWidth="1" style="704" min="15625" max="15625"/>
    <col width="4.88671875" customWidth="1" style="704" min="15626" max="15626"/>
    <col width="9.5546875" customWidth="1" style="704" min="15627" max="15627"/>
    <col width="36" customWidth="1" style="704" min="15628" max="15628"/>
    <col width="11.109375" customWidth="1" style="704" min="15629" max="15629"/>
    <col width="12.44140625" customWidth="1" style="704" min="15630" max="15630"/>
    <col width="13.88671875" customWidth="1" style="704" min="15631" max="15631"/>
    <col width="7.6640625" customWidth="1" style="704" min="15632" max="15632"/>
    <col width="13" customWidth="1" style="704" min="15633" max="15633"/>
    <col width="11.5546875" customWidth="1" style="704" min="15634" max="15634"/>
    <col width="13.33203125" customWidth="1" style="704" min="15635" max="15635"/>
    <col width="19.44140625" customWidth="1" style="704" min="15636" max="15636"/>
    <col width="18.88671875" customWidth="1" style="704" min="15637" max="15637"/>
    <col width="9.109375" customWidth="1" style="704" min="15638" max="15874"/>
    <col width="4.109375" customWidth="1" style="704" min="15875" max="15875"/>
    <col width="13.33203125" customWidth="1" style="704" min="15876" max="15876"/>
    <col width="9.5546875" customWidth="1" style="704" min="15877" max="15877"/>
    <col width="15" customWidth="1" style="704" min="15878" max="15878"/>
    <col width="13" customWidth="1" style="704" min="15879" max="15880"/>
    <col width="4.33203125" customWidth="1" style="704" min="15881" max="15881"/>
    <col width="4.88671875" customWidth="1" style="704" min="15882" max="15882"/>
    <col width="9.5546875" customWidth="1" style="704" min="15883" max="15883"/>
    <col width="36" customWidth="1" style="704" min="15884" max="15884"/>
    <col width="11.109375" customWidth="1" style="704" min="15885" max="15885"/>
    <col width="12.44140625" customWidth="1" style="704" min="15886" max="15886"/>
    <col width="13.88671875" customWidth="1" style="704" min="15887" max="15887"/>
    <col width="7.6640625" customWidth="1" style="704" min="15888" max="15888"/>
    <col width="13" customWidth="1" style="704" min="15889" max="15889"/>
    <col width="11.5546875" customWidth="1" style="704" min="15890" max="15890"/>
    <col width="13.33203125" customWidth="1" style="704" min="15891" max="15891"/>
    <col width="19.44140625" customWidth="1" style="704" min="15892" max="15892"/>
    <col width="18.88671875" customWidth="1" style="704" min="15893" max="15893"/>
    <col width="9.109375" customWidth="1" style="704" min="15894" max="16130"/>
    <col width="4.109375" customWidth="1" style="704" min="16131" max="16131"/>
    <col width="13.33203125" customWidth="1" style="704" min="16132" max="16132"/>
    <col width="9.5546875" customWidth="1" style="704" min="16133" max="16133"/>
    <col width="15" customWidth="1" style="704" min="16134" max="16134"/>
    <col width="13" customWidth="1" style="704" min="16135" max="16136"/>
    <col width="4.33203125" customWidth="1" style="704" min="16137" max="16137"/>
    <col width="4.88671875" customWidth="1" style="704" min="16138" max="16138"/>
    <col width="9.5546875" customWidth="1" style="704" min="16139" max="16139"/>
    <col width="36" customWidth="1" style="704" min="16140" max="16140"/>
    <col width="11.109375" customWidth="1" style="704" min="16141" max="16141"/>
    <col width="12.44140625" customWidth="1" style="704" min="16142" max="16142"/>
    <col width="13.88671875" customWidth="1" style="704" min="16143" max="16143"/>
    <col width="7.6640625" customWidth="1" style="704" min="16144" max="16144"/>
    <col width="13" customWidth="1" style="704" min="16145" max="16145"/>
    <col width="11.5546875" customWidth="1" style="704" min="16146" max="16146"/>
    <col width="13.33203125" customWidth="1" style="704" min="16147" max="16147"/>
    <col width="19.44140625" customWidth="1" style="704" min="16148" max="16148"/>
    <col width="18.88671875" customWidth="1" style="704" min="16149" max="16149"/>
    <col width="9.109375" customWidth="1" style="704" min="16150" max="16384"/>
  </cols>
  <sheetData>
    <row r="1">
      <c r="R1" s="722" t="inlineStr">
        <is>
          <t xml:space="preserve">
Add: 1B Hoang Dieu St., Dist. 4
HoChiMinh City, Vietnam
Tel: (84.8) 3826 9727
 Fax: (84.8) 3940 2566
Website: www.sotrans.com.vn
</t>
        </is>
      </c>
      <c r="U1" s="722" t="n"/>
    </row>
    <row r="2" ht="20.4" customHeight="1">
      <c r="B2" s="44" t="n"/>
      <c r="C2" s="44" t="n"/>
      <c r="D2" s="77" t="n"/>
      <c r="E2" s="720" t="inlineStr">
        <is>
          <t>BẢNG KÊ CHI PHÍ GIAO NHẬN HẢI QUAN HÀNG XUẤT NHẬP KHẨU
THÁNG 12/ 2024</t>
        </is>
      </c>
      <c r="U2" s="722" t="n"/>
    </row>
    <row r="3" ht="20.4" customHeight="1">
      <c r="B3" s="45" t="n"/>
      <c r="C3" s="45" t="n"/>
      <c r="D3" s="78" t="n"/>
      <c r="E3" s="723" t="inlineStr">
        <is>
          <t>2025年01月进出口货物报关费用清单</t>
        </is>
      </c>
      <c r="Q3" s="78" t="n"/>
      <c r="U3" s="722" t="n"/>
    </row>
    <row r="4" ht="15.6" customHeight="1">
      <c r="A4" s="2" t="n"/>
      <c r="B4" s="50" t="n"/>
      <c r="C4" s="2" t="n"/>
      <c r="D4" s="3" t="n"/>
      <c r="E4" s="3" t="n"/>
      <c r="F4" s="3" t="n"/>
      <c r="G4" s="2" t="n"/>
      <c r="H4" s="2" t="n"/>
      <c r="I4" s="2" t="n"/>
      <c r="J4" s="2" t="n"/>
      <c r="K4" s="79" t="n"/>
      <c r="L4" s="79" t="n"/>
      <c r="M4" s="80" t="n"/>
      <c r="N4" s="80" t="n"/>
      <c r="O4" s="80" t="n"/>
      <c r="P4" s="80" t="n"/>
      <c r="Q4" s="80" t="n"/>
      <c r="U4" s="722" t="n"/>
    </row>
    <row r="5" ht="15.6" customFormat="1" customHeight="1" s="81">
      <c r="A5" s="4" t="n"/>
      <c r="B5" s="50" t="inlineStr">
        <is>
          <t>To :</t>
        </is>
      </c>
      <c r="C5" s="64" t="inlineStr">
        <is>
          <t xml:space="preserve">CÔNG TY TNHH JW STONE VIỆT NAM </t>
        </is>
      </c>
      <c r="G5" s="56" t="n"/>
      <c r="H5" s="4" t="n"/>
      <c r="I5" s="4" t="n"/>
      <c r="J5" s="5" t="n"/>
      <c r="K5" s="82" t="n"/>
      <c r="L5" s="82" t="n"/>
      <c r="M5" s="83" t="n"/>
      <c r="N5" s="83" t="n"/>
      <c r="O5" s="83" t="n"/>
      <c r="P5" s="83" t="n"/>
      <c r="Q5" s="83" t="n"/>
      <c r="R5" s="711" t="n"/>
      <c r="S5" s="711" t="n"/>
      <c r="T5" s="711" t="n"/>
      <c r="U5" s="711" t="n"/>
    </row>
    <row r="6" ht="15.6" customFormat="1" customHeight="1" s="81">
      <c r="A6" s="4" t="n"/>
      <c r="B6" s="50" t="inlineStr">
        <is>
          <t>Address:</t>
        </is>
      </c>
      <c r="C6" s="25" t="inlineStr">
        <is>
          <t>Lô E5-1 (Khu B4), Đường D9, Khu công nghiệp Rạch Bắp, Phường An Tây, Thành Phố Bến Cát, Tỉnh Bình Dương, Việt Nam</t>
        </is>
      </c>
      <c r="G6" s="84" t="n"/>
      <c r="H6" s="4" t="n"/>
      <c r="I6" s="4" t="n"/>
      <c r="J6" s="5" t="n"/>
      <c r="K6" s="82" t="n"/>
      <c r="L6" s="82" t="n"/>
      <c r="M6" s="83" t="n"/>
      <c r="N6" s="83" t="n"/>
      <c r="O6" s="83" t="n"/>
      <c r="P6" s="83" t="n"/>
      <c r="Q6" s="83" t="n"/>
      <c r="R6" s="711" t="n"/>
      <c r="S6" s="711" t="n"/>
      <c r="T6" s="711" t="n"/>
      <c r="U6" s="711" t="n"/>
    </row>
    <row r="7" ht="15.6" customFormat="1" customHeight="1" s="81">
      <c r="A7" s="4" t="n"/>
      <c r="B7" s="50" t="inlineStr">
        <is>
          <t>Tax code:</t>
        </is>
      </c>
      <c r="C7" s="25" t="inlineStr">
        <is>
          <t>3702792496</t>
        </is>
      </c>
      <c r="G7" s="58" t="n"/>
      <c r="H7" s="4" t="n"/>
      <c r="I7" s="4" t="n"/>
      <c r="J7" s="5" t="n"/>
      <c r="K7" s="82" t="n"/>
      <c r="L7" s="82" t="n"/>
      <c r="M7" s="83" t="n"/>
      <c r="N7" s="83" t="n"/>
      <c r="O7" s="83" t="n"/>
      <c r="P7" s="83" t="n"/>
      <c r="Q7" s="83" t="n"/>
      <c r="R7" s="83" t="n"/>
      <c r="S7" s="5" t="n"/>
      <c r="T7" s="7" t="n"/>
      <c r="U7" s="7" t="n"/>
    </row>
    <row r="8" ht="15.6" customHeight="1">
      <c r="A8" s="2" t="n"/>
      <c r="B8" s="50" t="n"/>
      <c r="C8" s="2" t="n"/>
      <c r="D8" s="3" t="n"/>
      <c r="E8" s="3" t="n"/>
      <c r="F8" s="3" t="n"/>
      <c r="G8" s="2" t="n"/>
      <c r="H8" s="2" t="n"/>
      <c r="I8" s="2" t="n"/>
      <c r="J8" s="2" t="n"/>
      <c r="K8" s="79" t="n"/>
      <c r="L8" s="79" t="n"/>
      <c r="M8" s="80" t="n"/>
      <c r="N8" s="80" t="n"/>
      <c r="O8" s="80" t="n"/>
      <c r="P8" s="80" t="n"/>
      <c r="Q8" s="80" t="n"/>
      <c r="R8" s="80" t="n"/>
      <c r="S8" s="2" t="n"/>
      <c r="T8" s="8" t="n"/>
      <c r="U8" s="8" t="n"/>
    </row>
    <row r="9" ht="14.4" customHeight="1">
      <c r="A9" s="740" t="inlineStr">
        <is>
          <t>No.</t>
        </is>
      </c>
      <c r="B9" s="740" t="inlineStr">
        <is>
          <t>Customs delcaration</t>
        </is>
      </c>
      <c r="C9" s="740" t="inlineStr">
        <is>
          <t>Date</t>
        </is>
      </c>
      <c r="D9" s="740" t="inlineStr">
        <is>
          <t xml:space="preserve">Bill of Lading
/ Booking </t>
        </is>
      </c>
      <c r="E9" s="740" t="inlineStr">
        <is>
          <t>Invoice No.</t>
        </is>
      </c>
      <c r="F9" s="740" t="inlineStr">
        <is>
          <t>Commodity</t>
        </is>
      </c>
      <c r="G9" s="717" t="inlineStr">
        <is>
          <t>Quantity</t>
        </is>
      </c>
      <c r="H9" s="706" t="n"/>
      <c r="I9" s="706" t="n"/>
      <c r="J9" s="707" t="n"/>
      <c r="K9" s="714" t="n"/>
      <c r="L9" s="706" t="n"/>
      <c r="M9" s="706" t="n"/>
      <c r="N9" s="706" t="n"/>
      <c r="O9" s="706" t="n"/>
      <c r="P9" s="706" t="n"/>
      <c r="Q9" s="706" t="n"/>
      <c r="R9" s="706" t="n"/>
      <c r="S9" s="707" t="n"/>
      <c r="T9" s="769" t="inlineStr">
        <is>
          <t>Remarks</t>
        </is>
      </c>
      <c r="U9" s="85" t="n"/>
    </row>
    <row r="10" ht="39.6" customHeight="1">
      <c r="A10" s="709" t="n"/>
      <c r="B10" s="709" t="n"/>
      <c r="C10" s="709" t="n"/>
      <c r="D10" s="709" t="n"/>
      <c r="E10" s="709" t="n"/>
      <c r="F10" s="709" t="n"/>
      <c r="G10" s="181" t="inlineStr">
        <is>
          <t>20'</t>
        </is>
      </c>
      <c r="H10" s="181" t="inlineStr">
        <is>
          <t>40'/45''</t>
        </is>
      </c>
      <c r="I10" s="181" t="inlineStr">
        <is>
          <t>LCL
(CBM)</t>
        </is>
      </c>
      <c r="J10" s="181" t="inlineStr">
        <is>
          <t>Gross weight
/cont (kg)</t>
        </is>
      </c>
      <c r="K10" s="714" t="inlineStr">
        <is>
          <t>Description</t>
        </is>
      </c>
      <c r="L10" s="707" t="n"/>
      <c r="M10" s="23" t="inlineStr">
        <is>
          <t>Invoice No.</t>
        </is>
      </c>
      <c r="N10" s="23" t="inlineStr">
        <is>
          <t>Invoice Date</t>
        </is>
      </c>
      <c r="O10" s="23" t="inlineStr">
        <is>
          <t xml:space="preserve">Before VAT Amount </t>
        </is>
      </c>
      <c r="P10" s="714" t="inlineStr">
        <is>
          <t>VAT 
Amount</t>
        </is>
      </c>
      <c r="Q10" s="707" t="n"/>
      <c r="R10" s="23" t="inlineStr">
        <is>
          <t xml:space="preserve">After VAT Amount </t>
        </is>
      </c>
      <c r="S10" s="23" t="inlineStr">
        <is>
          <t>TOTAL</t>
        </is>
      </c>
      <c r="T10" s="709" t="n"/>
      <c r="U10" s="85" t="n"/>
    </row>
    <row r="11" hidden="1" ht="41.4" customHeight="1">
      <c r="A11" s="182" t="n"/>
      <c r="B11" s="182" t="inlineStr">
        <is>
          <t>海关申报</t>
        </is>
      </c>
      <c r="C11" s="182" t="inlineStr">
        <is>
          <t>日</t>
        </is>
      </c>
      <c r="D11" s="182" t="inlineStr">
        <is>
          <t>提单</t>
        </is>
      </c>
      <c r="E11" s="182" t="inlineStr">
        <is>
          <t>发票号码。</t>
        </is>
      </c>
      <c r="F11" s="182" t="inlineStr">
        <is>
          <t>商品</t>
        </is>
      </c>
      <c r="G11" s="182" t="inlineStr">
        <is>
          <t>小柜</t>
        </is>
      </c>
      <c r="H11" s="182" t="inlineStr">
        <is>
          <t>大柜</t>
        </is>
      </c>
      <c r="I11" s="182" t="inlineStr">
        <is>
          <t>拼箱
（煤层气）</t>
        </is>
      </c>
      <c r="J11" s="182" t="inlineStr">
        <is>
          <t>总重量
/柜（kg)</t>
        </is>
      </c>
      <c r="K11" s="708" t="inlineStr">
        <is>
          <t>描述内容</t>
        </is>
      </c>
      <c r="L11" s="707" t="n"/>
      <c r="M11" s="182" t="inlineStr">
        <is>
          <t>发票号码</t>
        </is>
      </c>
      <c r="N11" s="182" t="inlineStr">
        <is>
          <t>发票日期</t>
        </is>
      </c>
      <c r="O11" s="182" t="inlineStr">
        <is>
          <t>税前金额</t>
        </is>
      </c>
      <c r="P11" s="182" t="inlineStr">
        <is>
          <t>增值税金额</t>
        </is>
      </c>
      <c r="Q11" s="182" t="inlineStr">
        <is>
          <t>增值税金额</t>
        </is>
      </c>
      <c r="R11" s="182" t="inlineStr">
        <is>
          <t>税后金额</t>
        </is>
      </c>
      <c r="S11" s="182" t="inlineStr">
        <is>
          <t>总金额</t>
        </is>
      </c>
      <c r="T11" s="182" t="inlineStr">
        <is>
          <t>备注</t>
        </is>
      </c>
      <c r="U11" s="85" t="n"/>
    </row>
    <row r="12" ht="27.6" customFormat="1" customHeight="1" s="124">
      <c r="A12" s="209" t="n">
        <v>1</v>
      </c>
      <c r="B12" s="210" t="n"/>
      <c r="C12" s="132" t="n"/>
      <c r="D12" s="126" t="n"/>
      <c r="E12" s="126" t="n"/>
      <c r="F12" s="127" t="inlineStr">
        <is>
          <t>Mặt đá nhân tạo</t>
        </is>
      </c>
      <c r="G12" s="128" t="n">
        <v>3</v>
      </c>
      <c r="H12" s="128" t="n"/>
      <c r="I12" s="128" t="n"/>
      <c r="J12" s="129" t="n"/>
      <c r="K12" s="211" t="inlineStr">
        <is>
          <t>Phí xin giấy chứng nhận xuất xứ hàng xuất khẩu</t>
        </is>
      </c>
      <c r="L12" s="207" t="inlineStr">
        <is>
          <t>出口货物原产地证C/O申请费用</t>
        </is>
      </c>
      <c r="M12" s="212" t="n"/>
      <c r="N12" s="213" t="n"/>
      <c r="O12" s="214">
        <f>600000*1</f>
        <v/>
      </c>
      <c r="P12" s="215" t="n">
        <v>0.08</v>
      </c>
      <c r="Q12" s="216">
        <f>+O12*0.08</f>
        <v/>
      </c>
      <c r="R12" s="216">
        <f>+O12+Q12</f>
        <v/>
      </c>
      <c r="S12" s="217">
        <f>+SUM(R12:R12)</f>
        <v/>
      </c>
      <c r="T12" s="218" t="inlineStr">
        <is>
          <t>Phí dịch vụ</t>
        </is>
      </c>
      <c r="U12" s="219" t="inlineStr">
        <is>
          <t>服务费</t>
        </is>
      </c>
      <c r="V12" s="704" t="n"/>
    </row>
    <row r="13" ht="15.6" customHeight="1">
      <c r="A13" s="705" t="inlineStr">
        <is>
          <t>TOTAL</t>
        </is>
      </c>
      <c r="B13" s="706" t="n"/>
      <c r="C13" s="706" t="n"/>
      <c r="D13" s="706" t="n"/>
      <c r="E13" s="706" t="n"/>
      <c r="F13" s="707" t="n"/>
      <c r="G13" s="220">
        <f>+SUM(G12:G12)</f>
        <v/>
      </c>
      <c r="H13" s="220">
        <f>+SUM(H12:H12)</f>
        <v/>
      </c>
      <c r="I13" s="220" t="n"/>
      <c r="J13" s="221" t="n"/>
      <c r="K13" s="222" t="n"/>
      <c r="L13" s="223" t="n"/>
      <c r="M13" s="224" t="n"/>
      <c r="N13" s="225" t="n"/>
      <c r="O13" s="105">
        <f>+SUM(O12:O12)</f>
        <v/>
      </c>
      <c r="P13" s="222" t="n"/>
      <c r="Q13" s="105">
        <f>+SUM(Q12:Q12)</f>
        <v/>
      </c>
      <c r="R13" s="105">
        <f>+SUM(R12:R12)</f>
        <v/>
      </c>
      <c r="S13" s="222">
        <f>SUM(S8:S12)</f>
        <v/>
      </c>
      <c r="T13" s="208" t="n"/>
      <c r="U13" s="208" t="n"/>
    </row>
    <row r="14" ht="15.6" customHeight="1">
      <c r="A14" s="15" t="n"/>
      <c r="B14" s="51" t="n"/>
      <c r="C14" s="52" t="n"/>
      <c r="D14" s="16" t="n"/>
      <c r="E14" s="16" t="n"/>
      <c r="F14" s="16" t="n"/>
      <c r="G14" s="15" t="n"/>
      <c r="H14" s="15" t="n"/>
      <c r="I14" s="15" t="n"/>
      <c r="J14" s="15" t="n"/>
      <c r="K14" s="92" t="n"/>
      <c r="L14" s="92" t="n"/>
      <c r="M14" s="93" t="n"/>
      <c r="N14" s="93" t="n"/>
      <c r="O14" s="93" t="n"/>
      <c r="P14" s="93" t="n"/>
      <c r="Q14" s="93" t="n"/>
      <c r="R14" s="93" t="n"/>
      <c r="S14" s="15" t="n"/>
      <c r="T14" s="94" t="n"/>
      <c r="U14" s="94" t="n"/>
    </row>
    <row r="15" ht="15.6" customHeight="1">
      <c r="A15" s="15" t="n"/>
      <c r="B15" s="51" t="n"/>
      <c r="C15" s="52" t="n"/>
      <c r="D15" s="16" t="n"/>
      <c r="E15" s="16" t="n"/>
      <c r="F15" s="16" t="n"/>
      <c r="G15" s="712" t="n"/>
      <c r="O15" s="712" t="n"/>
      <c r="U15" s="712" t="n"/>
    </row>
    <row r="16" ht="16.2" customHeight="1">
      <c r="A16" s="15" t="n"/>
      <c r="B16" s="51" t="n"/>
      <c r="C16" s="95" t="n"/>
      <c r="D16" s="96" t="n"/>
      <c r="E16" s="97" t="n"/>
      <c r="F16" s="721" t="inlineStr">
        <is>
          <t>Tổng cộng phí dịch vụ logistics: 
物流服务费合计：</t>
        </is>
      </c>
      <c r="J16" s="719" t="n"/>
      <c r="K16" s="716">
        <f>+K17+K18</f>
        <v/>
      </c>
      <c r="L16" s="706" t="n"/>
      <c r="M16" s="706" t="n"/>
      <c r="N16" s="707" t="n"/>
      <c r="O16" s="98" t="n"/>
      <c r="P16" s="98" t="n"/>
      <c r="Q16" s="98" t="n"/>
      <c r="R16" s="99">
        <f>+S13-K16</f>
        <v/>
      </c>
      <c r="S16" s="26" t="n"/>
      <c r="T16" s="712" t="n"/>
      <c r="U16" s="712" t="n"/>
    </row>
    <row r="17" ht="15.6" customHeight="1">
      <c r="A17" s="15" t="n"/>
      <c r="B17" s="51" t="n"/>
      <c r="C17" s="48" t="n"/>
      <c r="D17" s="100" t="n"/>
      <c r="E17" s="100" t="n"/>
      <c r="F17" s="718" t="inlineStr">
        <is>
          <t>Phí dịch vụ logistics (đã VAT):
物流服务费（含增值税）：</t>
        </is>
      </c>
      <c r="J17" s="719" t="n"/>
      <c r="K17" s="716">
        <f>SUMIF($T:$T,"Phí dịch vụ",$R:$R)</f>
        <v/>
      </c>
      <c r="L17" s="706" t="n"/>
      <c r="M17" s="706" t="n"/>
      <c r="N17" s="707" t="n"/>
      <c r="O17" s="98" t="n"/>
      <c r="P17" s="98" t="n"/>
      <c r="Q17" s="98" t="n"/>
      <c r="R17" s="98" t="n"/>
      <c r="S17" s="712" t="n"/>
      <c r="T17" s="712" t="n"/>
      <c r="U17" s="712" t="n"/>
    </row>
    <row r="18" ht="15.6" customHeight="1">
      <c r="A18" s="15" t="n"/>
      <c r="B18" s="51" t="n"/>
      <c r="C18" s="37" t="n"/>
      <c r="D18" s="101" t="n"/>
      <c r="E18" s="101" t="n"/>
      <c r="F18" s="718" t="inlineStr">
        <is>
          <t>Phí chi hộ:
代付费用</t>
        </is>
      </c>
      <c r="J18" s="719" t="n"/>
      <c r="K18" s="716">
        <f>SUMIF($T:$T,"Phí chi hộ",$R:$R)</f>
        <v/>
      </c>
      <c r="L18" s="706" t="n"/>
      <c r="M18" s="706" t="n"/>
      <c r="N18" s="707" t="n"/>
      <c r="O18" s="98" t="n"/>
      <c r="P18" s="98" t="n"/>
      <c r="Q18" s="98" t="n"/>
      <c r="R18" s="98" t="n"/>
      <c r="S18" s="712" t="n"/>
      <c r="T18" s="712" t="n"/>
      <c r="U18" s="712" t="n"/>
    </row>
    <row r="19" ht="15.6" customHeight="1">
      <c r="A19" s="15" t="n"/>
      <c r="B19" s="17" t="n"/>
      <c r="C19" s="54" t="inlineStr">
        <is>
          <t>1. Đã bàn giao toàn bộ chứng từ gốc theo bảng kê trên</t>
        </is>
      </c>
      <c r="D19" s="18" t="n"/>
      <c r="E19" s="18" t="n"/>
      <c r="F19" s="18" t="n"/>
      <c r="G19" s="17" t="n"/>
      <c r="H19" s="17" t="n"/>
      <c r="I19" s="17" t="n"/>
      <c r="J19" s="17" t="n"/>
      <c r="K19" s="92" t="n"/>
      <c r="L19" s="92" t="n"/>
      <c r="M19" s="93" t="n"/>
      <c r="N19" s="710" t="inlineStr">
        <is>
          <t xml:space="preserve"> CÔNG TY TNHH MTV SOTRANS LOGISTICS </t>
        </is>
      </c>
      <c r="U19" s="710" t="n"/>
    </row>
    <row r="20" ht="15.6" customHeight="1">
      <c r="A20" s="15" t="n"/>
      <c r="B20" s="17" t="n"/>
      <c r="C20" s="54" t="inlineStr">
        <is>
          <t>2. Thanh toán cho công ty chúng tôi số tiền trên bằng chuyển khoản theo thông tin sau :</t>
        </is>
      </c>
      <c r="D20" s="18" t="n"/>
      <c r="E20" s="18" t="n"/>
      <c r="F20" s="18" t="n"/>
      <c r="G20" s="17" t="n"/>
      <c r="H20" s="17" t="n"/>
      <c r="I20" s="17" t="n"/>
      <c r="J20" s="17" t="n"/>
      <c r="K20" s="92" t="n"/>
      <c r="L20" s="92" t="n"/>
      <c r="M20" s="93" t="n"/>
      <c r="N20" s="93" t="n"/>
      <c r="O20" s="702" t="inlineStr">
        <is>
          <t>Ngày…..….../…....…/ 2025</t>
        </is>
      </c>
      <c r="T20" s="24" t="n"/>
      <c r="U20" s="24" t="n"/>
    </row>
    <row r="21">
      <c r="A21" s="15" t="n"/>
      <c r="B21" s="17" t="n"/>
      <c r="C21" s="54" t="inlineStr">
        <is>
          <t>CTY thụ hưởng : Công Ty TNHH MTV Sotrans Logistics</t>
        </is>
      </c>
      <c r="D21" s="18" t="n"/>
      <c r="E21" s="18" t="n"/>
      <c r="F21" s="18" t="n"/>
      <c r="G21" s="17" t="n"/>
      <c r="H21" s="17" t="n"/>
      <c r="I21" s="17" t="n"/>
      <c r="J21" s="17" t="n"/>
      <c r="K21" s="92" t="n"/>
      <c r="L21" s="92" t="n"/>
      <c r="M21" s="93" t="n"/>
      <c r="N21" s="93" t="n"/>
      <c r="O21" s="15" t="n"/>
      <c r="P21" s="15" t="n"/>
      <c r="Q21" s="15" t="n"/>
      <c r="R21" s="15" t="n"/>
      <c r="S21" s="15" t="n"/>
      <c r="T21" s="15" t="n"/>
      <c r="U21" s="15" t="n"/>
    </row>
    <row r="22">
      <c r="A22" s="15" t="n"/>
      <c r="B22" s="17" t="n"/>
      <c r="C22" s="54" t="inlineStr">
        <is>
          <t>Số tài khoản : 007.100.128.1934</t>
        </is>
      </c>
      <c r="D22" s="18" t="n"/>
      <c r="E22" s="18" t="n"/>
      <c r="F22" s="18" t="n"/>
      <c r="G22" s="17" t="n"/>
      <c r="H22" s="17" t="n"/>
      <c r="I22" s="17" t="n"/>
      <c r="J22" s="17" t="n"/>
      <c r="K22" s="92" t="n"/>
      <c r="L22" s="92" t="n"/>
      <c r="M22" s="93" t="n"/>
      <c r="N22" s="93" t="n"/>
      <c r="O22" s="15" t="n"/>
      <c r="P22" s="15" t="n"/>
      <c r="Q22" s="15" t="n"/>
      <c r="R22" s="15" t="n"/>
      <c r="S22" s="15" t="n"/>
      <c r="T22" s="15" t="n"/>
      <c r="U22" s="15" t="n"/>
    </row>
    <row r="23">
      <c r="A23" s="15" t="n"/>
      <c r="B23" s="17" t="n"/>
      <c r="C23" s="54" t="inlineStr">
        <is>
          <t>Ngân hàng : VIETCOMBANK - CN. TPHCM</t>
        </is>
      </c>
      <c r="D23" s="18" t="n"/>
      <c r="E23" s="18" t="n"/>
      <c r="F23" s="18" t="n"/>
      <c r="G23" s="17" t="n"/>
      <c r="H23" s="17" t="n"/>
      <c r="I23" s="17" t="n"/>
      <c r="J23" s="17" t="n"/>
      <c r="K23" s="92" t="n"/>
      <c r="L23" s="92" t="n"/>
      <c r="M23" s="93" t="n"/>
      <c r="N23" s="93" t="n"/>
      <c r="O23" s="15" t="n"/>
      <c r="P23" s="15" t="n"/>
      <c r="Q23" s="15" t="n"/>
      <c r="R23" s="15" t="n"/>
      <c r="S23" s="15" t="n"/>
      <c r="T23" s="15" t="n"/>
      <c r="U23" s="15" t="n"/>
    </row>
    <row r="24" ht="15.75" customHeight="1">
      <c r="A24" s="15" t="n"/>
      <c r="B24" s="17" t="n"/>
      <c r="C24" s="18" t="n"/>
      <c r="D24" s="18" t="n"/>
      <c r="E24" s="18" t="n"/>
      <c r="F24" s="18" t="n"/>
      <c r="G24" s="17" t="n"/>
      <c r="H24" s="17" t="n"/>
      <c r="I24" s="17" t="n"/>
      <c r="J24" s="17" t="n"/>
      <c r="K24" s="92" t="n"/>
      <c r="L24" s="92" t="n"/>
      <c r="M24" s="93" t="n"/>
      <c r="N24" s="93" t="n"/>
      <c r="O24" s="93" t="n"/>
      <c r="P24" s="93" t="n"/>
      <c r="Q24" s="93" t="n"/>
      <c r="R24" s="93" t="n"/>
      <c r="S24" s="15" t="n"/>
      <c r="T24" s="94" t="n"/>
      <c r="U24" s="94" t="n"/>
    </row>
    <row r="25" ht="15.6" customHeight="1">
      <c r="A25" s="15" t="n"/>
      <c r="B25" s="17" t="n"/>
      <c r="C25" s="18" t="n"/>
      <c r="D25" s="19" t="inlineStr">
        <is>
          <t>KHÁCH HÀNG XÁC NHẬN</t>
        </is>
      </c>
      <c r="E25" s="19" t="n"/>
      <c r="F25" s="19" t="n"/>
      <c r="G25" s="49" t="n"/>
      <c r="H25" s="49" t="n"/>
      <c r="I25" s="49" t="n"/>
      <c r="J25" s="19" t="n"/>
      <c r="K25" s="92" t="n"/>
      <c r="L25" s="92" t="n"/>
      <c r="M25" s="93" t="n"/>
      <c r="N25" s="102" t="n"/>
      <c r="O25" s="710" t="inlineStr">
        <is>
          <t xml:space="preserve">Nguyễn Thị Hương Giang </t>
        </is>
      </c>
      <c r="T25" s="102" t="n"/>
      <c r="U25" s="102" t="n"/>
    </row>
    <row r="26" ht="15.6" customHeight="1">
      <c r="A26" s="15" t="n"/>
      <c r="B26" s="710" t="inlineStr">
        <is>
          <t>Your confirmation</t>
        </is>
      </c>
      <c r="I26" s="710" t="n"/>
      <c r="J26" s="710" t="n"/>
      <c r="K26" s="92" t="n"/>
      <c r="L26" s="92" t="n"/>
      <c r="M26" s="93" t="n"/>
      <c r="N26" s="93" t="n"/>
      <c r="O26" s="15" t="n"/>
      <c r="P26" s="15" t="n"/>
      <c r="Q26" s="15" t="n"/>
      <c r="R26" s="15" t="n"/>
      <c r="S26" s="15" t="n"/>
      <c r="T26" s="15" t="n"/>
      <c r="U26" s="15" t="n"/>
    </row>
    <row r="27" ht="15.6" customHeight="1">
      <c r="A27" s="15" t="n"/>
      <c r="B27" s="702" t="inlineStr">
        <is>
          <t>Ngày…..….../…....…/ 2024</t>
        </is>
      </c>
      <c r="I27" s="702" t="n"/>
      <c r="J27" s="702" t="n"/>
      <c r="K27" s="92" t="n"/>
      <c r="L27" s="92" t="n"/>
      <c r="M27" s="93" t="n"/>
      <c r="N27" s="93" t="n"/>
      <c r="O27" s="93" t="n"/>
      <c r="P27" s="93" t="n"/>
      <c r="Q27" s="93" t="n"/>
      <c r="R27" s="93" t="n"/>
      <c r="S27" s="15" t="n"/>
      <c r="T27" s="94" t="n"/>
      <c r="U27" s="94" t="n"/>
    </row>
    <row r="28" ht="15.6" customHeight="1">
      <c r="A28" s="15" t="n"/>
      <c r="B28" s="51" t="n"/>
      <c r="C28" s="52" t="n"/>
      <c r="D28" s="16" t="n"/>
      <c r="E28" s="16" t="n"/>
      <c r="F28" s="16" t="n"/>
      <c r="G28" s="15" t="n"/>
      <c r="H28" s="15" t="n"/>
      <c r="I28" s="15" t="n"/>
      <c r="J28" s="15" t="n"/>
      <c r="K28" s="92" t="n"/>
      <c r="L28" s="92" t="n"/>
      <c r="M28" s="93" t="n"/>
      <c r="N28" s="93" t="n"/>
      <c r="O28" s="93" t="n"/>
      <c r="P28" s="93" t="n"/>
      <c r="Q28" s="93" t="n"/>
      <c r="R28" s="93" t="n"/>
      <c r="S28" s="15" t="n"/>
      <c r="T28" s="94" t="n"/>
      <c r="U28" s="94" t="n"/>
    </row>
    <row r="29" ht="15.6" customHeight="1">
      <c r="A29" s="15" t="n"/>
      <c r="B29" s="51" t="n"/>
      <c r="C29" s="52" t="n"/>
      <c r="D29" s="16" t="n"/>
      <c r="E29" s="16" t="n"/>
      <c r="F29" s="16" t="n"/>
      <c r="G29" s="15" t="n"/>
      <c r="H29" s="15" t="n"/>
      <c r="I29" s="15" t="n"/>
      <c r="J29" s="15" t="n"/>
      <c r="K29" s="92" t="n"/>
      <c r="L29" s="92" t="n"/>
      <c r="M29" s="93" t="n"/>
      <c r="N29" s="93" t="n"/>
      <c r="O29" s="93" t="n"/>
      <c r="P29" s="93" t="n"/>
      <c r="Q29" s="93" t="n"/>
      <c r="R29" s="93" t="n"/>
      <c r="S29" s="15" t="n"/>
      <c r="T29" s="94" t="n"/>
      <c r="U29" s="94" t="n"/>
    </row>
    <row r="30" ht="15.6" customHeight="1">
      <c r="A30" s="2" t="n"/>
      <c r="B30" s="50" t="n"/>
      <c r="C30" s="2" t="n"/>
      <c r="D30" s="3" t="n"/>
      <c r="E30" s="3" t="n"/>
      <c r="F30" s="3" t="n"/>
      <c r="G30" s="2" t="n"/>
      <c r="H30" s="2" t="n"/>
      <c r="I30" s="2" t="n"/>
      <c r="J30" s="2" t="n"/>
      <c r="K30" s="79" t="n"/>
      <c r="L30" s="79" t="n"/>
      <c r="M30" s="80" t="n"/>
      <c r="N30" s="80" t="n"/>
      <c r="O30" s="80" t="n"/>
      <c r="P30" s="80" t="n"/>
      <c r="Q30" s="80" t="n"/>
      <c r="R30" s="80" t="n"/>
      <c r="S30" s="2" t="n"/>
      <c r="T30" s="8" t="n"/>
      <c r="U30" s="8" t="n"/>
    </row>
    <row r="31" ht="15" customHeight="1">
      <c r="B31" s="103" t="n"/>
      <c r="J31" s="703" t="n"/>
      <c r="M31" s="104" t="n"/>
      <c r="N31" s="104" t="n"/>
      <c r="O31" s="104" t="n"/>
      <c r="P31" s="104" t="n"/>
      <c r="Q31" s="104" t="n"/>
      <c r="R31" s="104" t="n"/>
      <c r="S31" s="703" t="n"/>
    </row>
    <row r="32" ht="15" customHeight="1">
      <c r="B32" s="103" t="n"/>
      <c r="J32" s="703" t="n"/>
      <c r="M32" s="104" t="n"/>
      <c r="N32" s="104" t="n"/>
      <c r="O32" s="104" t="n"/>
      <c r="P32" s="104" t="n"/>
      <c r="Q32" s="104" t="n"/>
      <c r="R32" s="104" t="n"/>
      <c r="S32" s="703" t="n"/>
    </row>
    <row r="33" ht="15" customHeight="1">
      <c r="B33" s="103" t="n"/>
      <c r="J33" s="703" t="n"/>
      <c r="M33" s="104" t="n"/>
      <c r="N33" s="104" t="n"/>
      <c r="O33" s="104" t="n"/>
      <c r="P33" s="104" t="n"/>
      <c r="Q33" s="104" t="n"/>
      <c r="R33" s="104" t="n"/>
      <c r="S33" s="703" t="n"/>
    </row>
    <row r="34" ht="15" customHeight="1">
      <c r="B34" s="103" t="n"/>
      <c r="J34" s="703" t="n"/>
      <c r="M34" s="104" t="n"/>
      <c r="N34" s="104" t="n"/>
      <c r="O34" s="104" t="n"/>
      <c r="P34" s="104" t="n"/>
      <c r="Q34" s="104" t="n"/>
      <c r="R34" s="104" t="n"/>
      <c r="S34" s="703" t="n"/>
    </row>
    <row r="35" ht="15" customHeight="1">
      <c r="B35" s="103" t="n"/>
      <c r="J35" s="703" t="n"/>
      <c r="M35" s="104" t="n"/>
      <c r="N35" s="104" t="n"/>
      <c r="O35" s="104" t="n"/>
      <c r="P35" s="104" t="n"/>
      <c r="Q35" s="104" t="n"/>
      <c r="R35" s="104" t="n"/>
      <c r="S35" s="703" t="n"/>
    </row>
    <row r="36" ht="15" customHeight="1">
      <c r="B36" s="103" t="n"/>
      <c r="J36" s="703" t="n"/>
      <c r="M36" s="104" t="n"/>
      <c r="N36" s="104" t="n"/>
      <c r="O36" s="104" t="n"/>
      <c r="P36" s="104" t="n"/>
      <c r="Q36" s="104" t="n"/>
      <c r="R36" s="104" t="n"/>
      <c r="S36" s="703" t="n"/>
    </row>
  </sheetData>
  <mergeCells count="29">
    <mergeCell ref="E2:Q2"/>
    <mergeCell ref="N19:T19"/>
    <mergeCell ref="K17:N17"/>
    <mergeCell ref="F16:J16"/>
    <mergeCell ref="P10:Q10"/>
    <mergeCell ref="T9:T10"/>
    <mergeCell ref="C9:C10"/>
    <mergeCell ref="E9:E10"/>
    <mergeCell ref="G9:J9"/>
    <mergeCell ref="K18:N18"/>
    <mergeCell ref="K11:L11"/>
    <mergeCell ref="O20:S20"/>
    <mergeCell ref="B26:H26"/>
    <mergeCell ref="K16:N16"/>
    <mergeCell ref="F18:J18"/>
    <mergeCell ref="F17:J17"/>
    <mergeCell ref="R1:T4"/>
    <mergeCell ref="B9:B10"/>
    <mergeCell ref="D9:D10"/>
    <mergeCell ref="F9:F10"/>
    <mergeCell ref="A13:F13"/>
    <mergeCell ref="B27:H27"/>
    <mergeCell ref="O25:S25"/>
    <mergeCell ref="G15:N15"/>
    <mergeCell ref="E3:P3"/>
    <mergeCell ref="O15:T15"/>
    <mergeCell ref="A9:A10"/>
    <mergeCell ref="K9:S9"/>
    <mergeCell ref="K10:L10"/>
  </mergeCells>
  <conditionalFormatting sqref="C19:C25">
    <cfRule type="duplicateValues" priority="1" dxfId="3"/>
  </conditionalFormatting>
  <conditionalFormatting sqref="M1:M11 M13:M1048576">
    <cfRule type="duplicateValues" priority="2" dxfId="0"/>
  </conditionalFormatting>
  <conditionalFormatting sqref="M12">
    <cfRule type="duplicateValues" priority="3" dxfId="0"/>
  </conditionalFormatting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91"/>
  <sheetViews>
    <sheetView zoomScale="85" zoomScaleNormal="85" workbookViewId="0">
      <selection activeCell="K11" sqref="K11:K12"/>
    </sheetView>
  </sheetViews>
  <sheetFormatPr baseColWidth="8" defaultColWidth="10.33203125" defaultRowHeight="13.2"/>
  <cols>
    <col width="7" customWidth="1" style="251" min="1" max="1"/>
    <col width="14.33203125" customWidth="1" style="429" min="2" max="2"/>
    <col width="19.109375" customWidth="1" style="306" min="3" max="3"/>
    <col width="12" customWidth="1" style="420" min="4" max="4"/>
    <col width="17.109375" customWidth="1" style="273" min="5" max="5"/>
    <col width="7.33203125" customWidth="1" style="273" min="6" max="6"/>
    <col width="5.109375" customWidth="1" style="231" min="7" max="7"/>
    <col width="5.109375" customWidth="1" style="429" min="8" max="9"/>
    <col width="13.33203125" customWidth="1" style="430" min="10" max="10"/>
    <col width="19.6640625" customWidth="1" style="431" min="11" max="11"/>
    <col width="15.88671875" customWidth="1" style="316" min="12" max="12"/>
    <col width="11.33203125" customWidth="1" style="316" min="13" max="13"/>
    <col width="12.6640625" customWidth="1" style="325" min="14" max="14"/>
    <col width="10.88671875" customWidth="1" style="325" min="15" max="15"/>
    <col width="19.5546875" customWidth="1" style="432" min="16" max="16"/>
    <col width="16.6640625" customWidth="1" style="325" min="17" max="17"/>
    <col width="11.109375" customWidth="1" style="325" min="18" max="18"/>
    <col width="9.5546875" customWidth="1" style="429" min="19" max="19"/>
    <col width="12.6640625" customWidth="1" style="232" min="20" max="20"/>
    <col width="13.109375" customWidth="1" style="232" min="21" max="21"/>
    <col width="13" customWidth="1" style="232" min="22" max="22"/>
    <col width="11.88671875" customWidth="1" style="232" min="23" max="23"/>
    <col width="15.33203125" customWidth="1" style="233" min="24" max="24"/>
    <col width="11.88671875" customWidth="1" style="232" min="25" max="25"/>
    <col width="16.33203125" customWidth="1" style="232" min="26" max="26"/>
    <col width="19.44140625" customWidth="1" style="232" min="27" max="27"/>
    <col hidden="1" width="15.5546875" customWidth="1" style="330" min="28" max="28"/>
    <col width="38.6640625" customWidth="1" style="230" min="29" max="29"/>
    <col width="18.6640625" customWidth="1" style="331" min="30" max="30"/>
    <col width="16.6640625" customWidth="1" style="441" min="31" max="31"/>
    <col width="18.5546875" customWidth="1" style="526" min="32" max="32"/>
    <col width="37.109375" customWidth="1" style="141" min="33" max="33"/>
    <col width="10.33203125" customWidth="1" style="391" min="34" max="197"/>
    <col width="7" customWidth="1" style="391" min="198" max="198"/>
    <col width="13" customWidth="1" style="391" min="199" max="199"/>
    <col width="14.109375" customWidth="1" style="391" min="200" max="200"/>
    <col width="17.33203125" customWidth="1" style="391" min="201" max="201"/>
    <col width="18.88671875" customWidth="1" style="391" min="202" max="202"/>
    <col width="14.109375" customWidth="1" style="391" min="203" max="203"/>
    <col width="21.5546875" customWidth="1" style="391" min="204" max="204"/>
    <col width="14.109375" customWidth="1" style="391" min="205" max="206"/>
    <col width="15" customWidth="1" style="391" min="207" max="207"/>
    <col width="13.33203125" customWidth="1" style="391" min="208" max="208"/>
    <col width="17" customWidth="1" style="391" min="209" max="209"/>
    <col width="24.88671875" customWidth="1" style="391" min="210" max="210"/>
    <col width="14.44140625" customWidth="1" style="391" min="211" max="211"/>
    <col width="23.109375" customWidth="1" style="391" min="212" max="212"/>
    <col width="13.109375" customWidth="1" style="391" min="213" max="213"/>
    <col hidden="1" style="391" min="214" max="217"/>
    <col width="10.33203125" customWidth="1" style="391" min="218" max="453"/>
    <col width="7" customWidth="1" style="391" min="454" max="454"/>
    <col width="13" customWidth="1" style="391" min="455" max="455"/>
    <col width="14.109375" customWidth="1" style="391" min="456" max="456"/>
    <col width="17.33203125" customWidth="1" style="391" min="457" max="457"/>
    <col width="18.88671875" customWidth="1" style="391" min="458" max="458"/>
    <col width="14.109375" customWidth="1" style="391" min="459" max="459"/>
    <col width="21.5546875" customWidth="1" style="391" min="460" max="460"/>
    <col width="14.109375" customWidth="1" style="391" min="461" max="462"/>
    <col width="15" customWidth="1" style="391" min="463" max="463"/>
    <col width="13.33203125" customWidth="1" style="391" min="464" max="464"/>
    <col width="17" customWidth="1" style="391" min="465" max="465"/>
    <col width="24.88671875" customWidth="1" style="391" min="466" max="466"/>
    <col width="14.44140625" customWidth="1" style="391" min="467" max="467"/>
    <col width="23.109375" customWidth="1" style="391" min="468" max="468"/>
    <col width="13.109375" customWidth="1" style="391" min="469" max="469"/>
    <col hidden="1" style="391" min="470" max="473"/>
    <col width="10.33203125" customWidth="1" style="391" min="474" max="709"/>
    <col width="7" customWidth="1" style="391" min="710" max="710"/>
    <col width="13" customWidth="1" style="391" min="711" max="711"/>
    <col width="14.109375" customWidth="1" style="391" min="712" max="712"/>
    <col width="17.33203125" customWidth="1" style="391" min="713" max="713"/>
    <col width="18.88671875" customWidth="1" style="391" min="714" max="714"/>
    <col width="14.109375" customWidth="1" style="391" min="715" max="715"/>
    <col width="21.5546875" customWidth="1" style="391" min="716" max="716"/>
    <col width="14.109375" customWidth="1" style="391" min="717" max="718"/>
    <col width="15" customWidth="1" style="391" min="719" max="719"/>
    <col width="13.33203125" customWidth="1" style="391" min="720" max="720"/>
    <col width="17" customWidth="1" style="391" min="721" max="721"/>
    <col width="24.88671875" customWidth="1" style="391" min="722" max="722"/>
    <col width="14.44140625" customWidth="1" style="391" min="723" max="723"/>
    <col width="23.109375" customWidth="1" style="391" min="724" max="724"/>
    <col width="13.109375" customWidth="1" style="391" min="725" max="725"/>
    <col hidden="1" style="391" min="726" max="729"/>
    <col width="10.33203125" customWidth="1" style="391" min="730" max="965"/>
    <col width="7" customWidth="1" style="391" min="966" max="966"/>
    <col width="13" customWidth="1" style="391" min="967" max="967"/>
    <col width="14.109375" customWidth="1" style="391" min="968" max="968"/>
    <col width="17.33203125" customWidth="1" style="391" min="969" max="969"/>
    <col width="18.88671875" customWidth="1" style="391" min="970" max="970"/>
    <col width="14.109375" customWidth="1" style="391" min="971" max="971"/>
    <col width="21.5546875" customWidth="1" style="391" min="972" max="972"/>
    <col width="14.109375" customWidth="1" style="391" min="973" max="974"/>
    <col width="15" customWidth="1" style="391" min="975" max="975"/>
    <col width="13.33203125" customWidth="1" style="391" min="976" max="976"/>
    <col width="17" customWidth="1" style="391" min="977" max="977"/>
    <col width="24.88671875" customWidth="1" style="391" min="978" max="978"/>
    <col width="14.44140625" customWidth="1" style="391" min="979" max="979"/>
    <col width="23.109375" customWidth="1" style="391" min="980" max="980"/>
    <col width="13.109375" customWidth="1" style="391" min="981" max="981"/>
    <col hidden="1" style="391" min="982" max="985"/>
    <col width="10.33203125" customWidth="1" style="391" min="986" max="1221"/>
    <col width="7" customWidth="1" style="391" min="1222" max="1222"/>
    <col width="13" customWidth="1" style="391" min="1223" max="1223"/>
    <col width="14.109375" customWidth="1" style="391" min="1224" max="1224"/>
    <col width="17.33203125" customWidth="1" style="391" min="1225" max="1225"/>
    <col width="18.88671875" customWidth="1" style="391" min="1226" max="1226"/>
    <col width="14.109375" customWidth="1" style="391" min="1227" max="1227"/>
    <col width="21.5546875" customWidth="1" style="391" min="1228" max="1228"/>
    <col width="14.109375" customWidth="1" style="391" min="1229" max="1230"/>
    <col width="15" customWidth="1" style="391" min="1231" max="1231"/>
    <col width="13.33203125" customWidth="1" style="391" min="1232" max="1232"/>
    <col width="17" customWidth="1" style="391" min="1233" max="1233"/>
    <col width="24.88671875" customWidth="1" style="391" min="1234" max="1234"/>
    <col width="14.44140625" customWidth="1" style="391" min="1235" max="1235"/>
    <col width="23.109375" customWidth="1" style="391" min="1236" max="1236"/>
    <col width="13.109375" customWidth="1" style="391" min="1237" max="1237"/>
    <col hidden="1" style="391" min="1238" max="1241"/>
    <col width="10.33203125" customWidth="1" style="391" min="1242" max="1477"/>
    <col width="7" customWidth="1" style="391" min="1478" max="1478"/>
    <col width="13" customWidth="1" style="391" min="1479" max="1479"/>
    <col width="14.109375" customWidth="1" style="391" min="1480" max="1480"/>
    <col width="17.33203125" customWidth="1" style="391" min="1481" max="1481"/>
    <col width="18.88671875" customWidth="1" style="391" min="1482" max="1482"/>
    <col width="14.109375" customWidth="1" style="391" min="1483" max="1483"/>
    <col width="21.5546875" customWidth="1" style="391" min="1484" max="1484"/>
    <col width="14.109375" customWidth="1" style="391" min="1485" max="1486"/>
    <col width="15" customWidth="1" style="391" min="1487" max="1487"/>
    <col width="13.33203125" customWidth="1" style="391" min="1488" max="1488"/>
    <col width="17" customWidth="1" style="391" min="1489" max="1489"/>
    <col width="24.88671875" customWidth="1" style="391" min="1490" max="1490"/>
    <col width="14.44140625" customWidth="1" style="391" min="1491" max="1491"/>
    <col width="23.109375" customWidth="1" style="391" min="1492" max="1492"/>
    <col width="13.109375" customWidth="1" style="391" min="1493" max="1493"/>
    <col hidden="1" style="391" min="1494" max="1497"/>
    <col width="10.33203125" customWidth="1" style="391" min="1498" max="1733"/>
    <col width="7" customWidth="1" style="391" min="1734" max="1734"/>
    <col width="13" customWidth="1" style="391" min="1735" max="1735"/>
    <col width="14.109375" customWidth="1" style="391" min="1736" max="1736"/>
    <col width="17.33203125" customWidth="1" style="391" min="1737" max="1737"/>
    <col width="18.88671875" customWidth="1" style="391" min="1738" max="1738"/>
    <col width="14.109375" customWidth="1" style="391" min="1739" max="1739"/>
    <col width="21.5546875" customWidth="1" style="391" min="1740" max="1740"/>
    <col width="14.109375" customWidth="1" style="391" min="1741" max="1742"/>
    <col width="15" customWidth="1" style="391" min="1743" max="1743"/>
    <col width="13.33203125" customWidth="1" style="391" min="1744" max="1744"/>
    <col width="17" customWidth="1" style="391" min="1745" max="1745"/>
    <col width="24.88671875" customWidth="1" style="391" min="1746" max="1746"/>
    <col width="14.44140625" customWidth="1" style="391" min="1747" max="1747"/>
    <col width="23.109375" customWidth="1" style="391" min="1748" max="1748"/>
    <col width="13.109375" customWidth="1" style="391" min="1749" max="1749"/>
    <col hidden="1" style="391" min="1750" max="1753"/>
    <col width="10.33203125" customWidth="1" style="391" min="1754" max="1989"/>
    <col width="7" customWidth="1" style="391" min="1990" max="1990"/>
    <col width="13" customWidth="1" style="391" min="1991" max="1991"/>
    <col width="14.109375" customWidth="1" style="391" min="1992" max="1992"/>
    <col width="17.33203125" customWidth="1" style="391" min="1993" max="1993"/>
    <col width="18.88671875" customWidth="1" style="391" min="1994" max="1994"/>
    <col width="14.109375" customWidth="1" style="391" min="1995" max="1995"/>
    <col width="21.5546875" customWidth="1" style="391" min="1996" max="1996"/>
    <col width="14.109375" customWidth="1" style="391" min="1997" max="1998"/>
    <col width="15" customWidth="1" style="391" min="1999" max="1999"/>
    <col width="13.33203125" customWidth="1" style="391" min="2000" max="2000"/>
    <col width="17" customWidth="1" style="391" min="2001" max="2001"/>
    <col width="24.88671875" customWidth="1" style="391" min="2002" max="2002"/>
    <col width="14.44140625" customWidth="1" style="391" min="2003" max="2003"/>
    <col width="23.109375" customWidth="1" style="391" min="2004" max="2004"/>
    <col width="13.109375" customWidth="1" style="391" min="2005" max="2005"/>
    <col hidden="1" style="391" min="2006" max="2009"/>
    <col width="10.33203125" customWidth="1" style="391" min="2010" max="2245"/>
    <col width="7" customWidth="1" style="391" min="2246" max="2246"/>
    <col width="13" customWidth="1" style="391" min="2247" max="2247"/>
    <col width="14.109375" customWidth="1" style="391" min="2248" max="2248"/>
    <col width="17.33203125" customWidth="1" style="391" min="2249" max="2249"/>
    <col width="18.88671875" customWidth="1" style="391" min="2250" max="2250"/>
    <col width="14.109375" customWidth="1" style="391" min="2251" max="2251"/>
    <col width="21.5546875" customWidth="1" style="391" min="2252" max="2252"/>
    <col width="14.109375" customWidth="1" style="391" min="2253" max="2254"/>
    <col width="15" customWidth="1" style="391" min="2255" max="2255"/>
    <col width="13.33203125" customWidth="1" style="391" min="2256" max="2256"/>
    <col width="17" customWidth="1" style="391" min="2257" max="2257"/>
    <col width="24.88671875" customWidth="1" style="391" min="2258" max="2258"/>
    <col width="14.44140625" customWidth="1" style="391" min="2259" max="2259"/>
    <col width="23.109375" customWidth="1" style="391" min="2260" max="2260"/>
    <col width="13.109375" customWidth="1" style="391" min="2261" max="2261"/>
    <col hidden="1" style="391" min="2262" max="2265"/>
    <col width="10.33203125" customWidth="1" style="391" min="2266" max="2501"/>
    <col width="7" customWidth="1" style="391" min="2502" max="2502"/>
    <col width="13" customWidth="1" style="391" min="2503" max="2503"/>
    <col width="14.109375" customWidth="1" style="391" min="2504" max="2504"/>
    <col width="17.33203125" customWidth="1" style="391" min="2505" max="2505"/>
    <col width="18.88671875" customWidth="1" style="391" min="2506" max="2506"/>
    <col width="14.109375" customWidth="1" style="391" min="2507" max="2507"/>
    <col width="21.5546875" customWidth="1" style="391" min="2508" max="2508"/>
    <col width="14.109375" customWidth="1" style="391" min="2509" max="2510"/>
    <col width="15" customWidth="1" style="391" min="2511" max="2511"/>
    <col width="13.33203125" customWidth="1" style="391" min="2512" max="2512"/>
    <col width="17" customWidth="1" style="391" min="2513" max="2513"/>
    <col width="24.88671875" customWidth="1" style="391" min="2514" max="2514"/>
    <col width="14.44140625" customWidth="1" style="391" min="2515" max="2515"/>
    <col width="23.109375" customWidth="1" style="391" min="2516" max="2516"/>
    <col width="13.109375" customWidth="1" style="391" min="2517" max="2517"/>
    <col hidden="1" style="391" min="2518" max="2521"/>
    <col width="10.33203125" customWidth="1" style="391" min="2522" max="2757"/>
    <col width="7" customWidth="1" style="391" min="2758" max="2758"/>
    <col width="13" customWidth="1" style="391" min="2759" max="2759"/>
    <col width="14.109375" customWidth="1" style="391" min="2760" max="2760"/>
    <col width="17.33203125" customWidth="1" style="391" min="2761" max="2761"/>
    <col width="18.88671875" customWidth="1" style="391" min="2762" max="2762"/>
    <col width="14.109375" customWidth="1" style="391" min="2763" max="2763"/>
    <col width="21.5546875" customWidth="1" style="391" min="2764" max="2764"/>
    <col width="14.109375" customWidth="1" style="391" min="2765" max="2766"/>
    <col width="15" customWidth="1" style="391" min="2767" max="2767"/>
    <col width="13.33203125" customWidth="1" style="391" min="2768" max="2768"/>
    <col width="17" customWidth="1" style="391" min="2769" max="2769"/>
    <col width="24.88671875" customWidth="1" style="391" min="2770" max="2770"/>
    <col width="14.44140625" customWidth="1" style="391" min="2771" max="2771"/>
    <col width="23.109375" customWidth="1" style="391" min="2772" max="2772"/>
    <col width="13.109375" customWidth="1" style="391" min="2773" max="2773"/>
    <col hidden="1" style="391" min="2774" max="2777"/>
    <col width="10.33203125" customWidth="1" style="391" min="2778" max="3013"/>
    <col width="7" customWidth="1" style="391" min="3014" max="3014"/>
    <col width="13" customWidth="1" style="391" min="3015" max="3015"/>
    <col width="14.109375" customWidth="1" style="391" min="3016" max="3016"/>
    <col width="17.33203125" customWidth="1" style="391" min="3017" max="3017"/>
    <col width="18.88671875" customWidth="1" style="391" min="3018" max="3018"/>
    <col width="14.109375" customWidth="1" style="391" min="3019" max="3019"/>
    <col width="21.5546875" customWidth="1" style="391" min="3020" max="3020"/>
    <col width="14.109375" customWidth="1" style="391" min="3021" max="3022"/>
    <col width="15" customWidth="1" style="391" min="3023" max="3023"/>
    <col width="13.33203125" customWidth="1" style="391" min="3024" max="3024"/>
    <col width="17" customWidth="1" style="391" min="3025" max="3025"/>
    <col width="24.88671875" customWidth="1" style="391" min="3026" max="3026"/>
    <col width="14.44140625" customWidth="1" style="391" min="3027" max="3027"/>
    <col width="23.109375" customWidth="1" style="391" min="3028" max="3028"/>
    <col width="13.109375" customWidth="1" style="391" min="3029" max="3029"/>
    <col hidden="1" style="391" min="3030" max="3033"/>
    <col width="10.33203125" customWidth="1" style="391" min="3034" max="3269"/>
    <col width="7" customWidth="1" style="391" min="3270" max="3270"/>
    <col width="13" customWidth="1" style="391" min="3271" max="3271"/>
    <col width="14.109375" customWidth="1" style="391" min="3272" max="3272"/>
    <col width="17.33203125" customWidth="1" style="391" min="3273" max="3273"/>
    <col width="18.88671875" customWidth="1" style="391" min="3274" max="3274"/>
    <col width="14.109375" customWidth="1" style="391" min="3275" max="3275"/>
    <col width="21.5546875" customWidth="1" style="391" min="3276" max="3276"/>
    <col width="14.109375" customWidth="1" style="391" min="3277" max="3278"/>
    <col width="15" customWidth="1" style="391" min="3279" max="3279"/>
    <col width="13.33203125" customWidth="1" style="391" min="3280" max="3280"/>
    <col width="17" customWidth="1" style="391" min="3281" max="3281"/>
    <col width="24.88671875" customWidth="1" style="391" min="3282" max="3282"/>
    <col width="14.44140625" customWidth="1" style="391" min="3283" max="3283"/>
    <col width="23.109375" customWidth="1" style="391" min="3284" max="3284"/>
    <col width="13.109375" customWidth="1" style="391" min="3285" max="3285"/>
    <col hidden="1" style="391" min="3286" max="3289"/>
    <col width="10.33203125" customWidth="1" style="391" min="3290" max="3525"/>
    <col width="7" customWidth="1" style="391" min="3526" max="3526"/>
    <col width="13" customWidth="1" style="391" min="3527" max="3527"/>
    <col width="14.109375" customWidth="1" style="391" min="3528" max="3528"/>
    <col width="17.33203125" customWidth="1" style="391" min="3529" max="3529"/>
    <col width="18.88671875" customWidth="1" style="391" min="3530" max="3530"/>
    <col width="14.109375" customWidth="1" style="391" min="3531" max="3531"/>
    <col width="21.5546875" customWidth="1" style="391" min="3532" max="3532"/>
    <col width="14.109375" customWidth="1" style="391" min="3533" max="3534"/>
    <col width="15" customWidth="1" style="391" min="3535" max="3535"/>
    <col width="13.33203125" customWidth="1" style="391" min="3536" max="3536"/>
    <col width="17" customWidth="1" style="391" min="3537" max="3537"/>
    <col width="24.88671875" customWidth="1" style="391" min="3538" max="3538"/>
    <col width="14.44140625" customWidth="1" style="391" min="3539" max="3539"/>
    <col width="23.109375" customWidth="1" style="391" min="3540" max="3540"/>
    <col width="13.109375" customWidth="1" style="391" min="3541" max="3541"/>
    <col hidden="1" style="391" min="3542" max="3545"/>
    <col width="10.33203125" customWidth="1" style="391" min="3546" max="3781"/>
    <col width="7" customWidth="1" style="391" min="3782" max="3782"/>
    <col width="13" customWidth="1" style="391" min="3783" max="3783"/>
    <col width="14.109375" customWidth="1" style="391" min="3784" max="3784"/>
    <col width="17.33203125" customWidth="1" style="391" min="3785" max="3785"/>
    <col width="18.88671875" customWidth="1" style="391" min="3786" max="3786"/>
    <col width="14.109375" customWidth="1" style="391" min="3787" max="3787"/>
    <col width="21.5546875" customWidth="1" style="391" min="3788" max="3788"/>
    <col width="14.109375" customWidth="1" style="391" min="3789" max="3790"/>
    <col width="15" customWidth="1" style="391" min="3791" max="3791"/>
    <col width="13.33203125" customWidth="1" style="391" min="3792" max="3792"/>
    <col width="17" customWidth="1" style="391" min="3793" max="3793"/>
    <col width="24.88671875" customWidth="1" style="391" min="3794" max="3794"/>
    <col width="14.44140625" customWidth="1" style="391" min="3795" max="3795"/>
    <col width="23.109375" customWidth="1" style="391" min="3796" max="3796"/>
    <col width="13.109375" customWidth="1" style="391" min="3797" max="3797"/>
    <col hidden="1" style="391" min="3798" max="3801"/>
    <col width="10.33203125" customWidth="1" style="391" min="3802" max="4037"/>
    <col width="7" customWidth="1" style="391" min="4038" max="4038"/>
    <col width="13" customWidth="1" style="391" min="4039" max="4039"/>
    <col width="14.109375" customWidth="1" style="391" min="4040" max="4040"/>
    <col width="17.33203125" customWidth="1" style="391" min="4041" max="4041"/>
    <col width="18.88671875" customWidth="1" style="391" min="4042" max="4042"/>
    <col width="14.109375" customWidth="1" style="391" min="4043" max="4043"/>
    <col width="21.5546875" customWidth="1" style="391" min="4044" max="4044"/>
    <col width="14.109375" customWidth="1" style="391" min="4045" max="4046"/>
    <col width="15" customWidth="1" style="391" min="4047" max="4047"/>
    <col width="13.33203125" customWidth="1" style="391" min="4048" max="4048"/>
    <col width="17" customWidth="1" style="391" min="4049" max="4049"/>
    <col width="24.88671875" customWidth="1" style="391" min="4050" max="4050"/>
    <col width="14.44140625" customWidth="1" style="391" min="4051" max="4051"/>
    <col width="23.109375" customWidth="1" style="391" min="4052" max="4052"/>
    <col width="13.109375" customWidth="1" style="391" min="4053" max="4053"/>
    <col hidden="1" style="391" min="4054" max="4057"/>
    <col width="10.33203125" customWidth="1" style="391" min="4058" max="4293"/>
    <col width="7" customWidth="1" style="391" min="4294" max="4294"/>
    <col width="13" customWidth="1" style="391" min="4295" max="4295"/>
    <col width="14.109375" customWidth="1" style="391" min="4296" max="4296"/>
    <col width="17.33203125" customWidth="1" style="391" min="4297" max="4297"/>
    <col width="18.88671875" customWidth="1" style="391" min="4298" max="4298"/>
    <col width="14.109375" customWidth="1" style="391" min="4299" max="4299"/>
    <col width="21.5546875" customWidth="1" style="391" min="4300" max="4300"/>
    <col width="14.109375" customWidth="1" style="391" min="4301" max="4302"/>
    <col width="15" customWidth="1" style="391" min="4303" max="4303"/>
    <col width="13.33203125" customWidth="1" style="391" min="4304" max="4304"/>
    <col width="17" customWidth="1" style="391" min="4305" max="4305"/>
    <col width="24.88671875" customWidth="1" style="391" min="4306" max="4306"/>
    <col width="14.44140625" customWidth="1" style="391" min="4307" max="4307"/>
    <col width="23.109375" customWidth="1" style="391" min="4308" max="4308"/>
    <col width="13.109375" customWidth="1" style="391" min="4309" max="4309"/>
    <col hidden="1" style="391" min="4310" max="4313"/>
    <col width="10.33203125" customWidth="1" style="391" min="4314" max="4549"/>
    <col width="7" customWidth="1" style="391" min="4550" max="4550"/>
    <col width="13" customWidth="1" style="391" min="4551" max="4551"/>
    <col width="14.109375" customWidth="1" style="391" min="4552" max="4552"/>
    <col width="17.33203125" customWidth="1" style="391" min="4553" max="4553"/>
    <col width="18.88671875" customWidth="1" style="391" min="4554" max="4554"/>
    <col width="14.109375" customWidth="1" style="391" min="4555" max="4555"/>
    <col width="21.5546875" customWidth="1" style="391" min="4556" max="4556"/>
    <col width="14.109375" customWidth="1" style="391" min="4557" max="4558"/>
    <col width="15" customWidth="1" style="391" min="4559" max="4559"/>
    <col width="13.33203125" customWidth="1" style="391" min="4560" max="4560"/>
    <col width="17" customWidth="1" style="391" min="4561" max="4561"/>
    <col width="24.88671875" customWidth="1" style="391" min="4562" max="4562"/>
    <col width="14.44140625" customWidth="1" style="391" min="4563" max="4563"/>
    <col width="23.109375" customWidth="1" style="391" min="4564" max="4564"/>
    <col width="13.109375" customWidth="1" style="391" min="4565" max="4565"/>
    <col hidden="1" style="391" min="4566" max="4569"/>
    <col width="10.33203125" customWidth="1" style="391" min="4570" max="4805"/>
    <col width="7" customWidth="1" style="391" min="4806" max="4806"/>
    <col width="13" customWidth="1" style="391" min="4807" max="4807"/>
    <col width="14.109375" customWidth="1" style="391" min="4808" max="4808"/>
    <col width="17.33203125" customWidth="1" style="391" min="4809" max="4809"/>
    <col width="18.88671875" customWidth="1" style="391" min="4810" max="4810"/>
    <col width="14.109375" customWidth="1" style="391" min="4811" max="4811"/>
    <col width="21.5546875" customWidth="1" style="391" min="4812" max="4812"/>
    <col width="14.109375" customWidth="1" style="391" min="4813" max="4814"/>
    <col width="15" customWidth="1" style="391" min="4815" max="4815"/>
    <col width="13.33203125" customWidth="1" style="391" min="4816" max="4816"/>
    <col width="17" customWidth="1" style="391" min="4817" max="4817"/>
    <col width="24.88671875" customWidth="1" style="391" min="4818" max="4818"/>
    <col width="14.44140625" customWidth="1" style="391" min="4819" max="4819"/>
    <col width="23.109375" customWidth="1" style="391" min="4820" max="4820"/>
    <col width="13.109375" customWidth="1" style="391" min="4821" max="4821"/>
    <col hidden="1" style="391" min="4822" max="4825"/>
    <col width="10.33203125" customWidth="1" style="391" min="4826" max="5061"/>
    <col width="7" customWidth="1" style="391" min="5062" max="5062"/>
    <col width="13" customWidth="1" style="391" min="5063" max="5063"/>
    <col width="14.109375" customWidth="1" style="391" min="5064" max="5064"/>
    <col width="17.33203125" customWidth="1" style="391" min="5065" max="5065"/>
    <col width="18.88671875" customWidth="1" style="391" min="5066" max="5066"/>
    <col width="14.109375" customWidth="1" style="391" min="5067" max="5067"/>
    <col width="21.5546875" customWidth="1" style="391" min="5068" max="5068"/>
    <col width="14.109375" customWidth="1" style="391" min="5069" max="5070"/>
    <col width="15" customWidth="1" style="391" min="5071" max="5071"/>
    <col width="13.33203125" customWidth="1" style="391" min="5072" max="5072"/>
    <col width="17" customWidth="1" style="391" min="5073" max="5073"/>
    <col width="24.88671875" customWidth="1" style="391" min="5074" max="5074"/>
    <col width="14.44140625" customWidth="1" style="391" min="5075" max="5075"/>
    <col width="23.109375" customWidth="1" style="391" min="5076" max="5076"/>
    <col width="13.109375" customWidth="1" style="391" min="5077" max="5077"/>
    <col hidden="1" style="391" min="5078" max="5081"/>
    <col width="10.33203125" customWidth="1" style="391" min="5082" max="5317"/>
    <col width="7" customWidth="1" style="391" min="5318" max="5318"/>
    <col width="13" customWidth="1" style="391" min="5319" max="5319"/>
    <col width="14.109375" customWidth="1" style="391" min="5320" max="5320"/>
    <col width="17.33203125" customWidth="1" style="391" min="5321" max="5321"/>
    <col width="18.88671875" customWidth="1" style="391" min="5322" max="5322"/>
    <col width="14.109375" customWidth="1" style="391" min="5323" max="5323"/>
    <col width="21.5546875" customWidth="1" style="391" min="5324" max="5324"/>
    <col width="14.109375" customWidth="1" style="391" min="5325" max="5326"/>
    <col width="15" customWidth="1" style="391" min="5327" max="5327"/>
    <col width="13.33203125" customWidth="1" style="391" min="5328" max="5328"/>
    <col width="17" customWidth="1" style="391" min="5329" max="5329"/>
    <col width="24.88671875" customWidth="1" style="391" min="5330" max="5330"/>
    <col width="14.44140625" customWidth="1" style="391" min="5331" max="5331"/>
    <col width="23.109375" customWidth="1" style="391" min="5332" max="5332"/>
    <col width="13.109375" customWidth="1" style="391" min="5333" max="5333"/>
    <col hidden="1" style="391" min="5334" max="5337"/>
    <col width="10.33203125" customWidth="1" style="391" min="5338" max="5573"/>
    <col width="7" customWidth="1" style="391" min="5574" max="5574"/>
    <col width="13" customWidth="1" style="391" min="5575" max="5575"/>
    <col width="14.109375" customWidth="1" style="391" min="5576" max="5576"/>
    <col width="17.33203125" customWidth="1" style="391" min="5577" max="5577"/>
    <col width="18.88671875" customWidth="1" style="391" min="5578" max="5578"/>
    <col width="14.109375" customWidth="1" style="391" min="5579" max="5579"/>
    <col width="21.5546875" customWidth="1" style="391" min="5580" max="5580"/>
    <col width="14.109375" customWidth="1" style="391" min="5581" max="5582"/>
    <col width="15" customWidth="1" style="391" min="5583" max="5583"/>
    <col width="13.33203125" customWidth="1" style="391" min="5584" max="5584"/>
    <col width="17" customWidth="1" style="391" min="5585" max="5585"/>
    <col width="24.88671875" customWidth="1" style="391" min="5586" max="5586"/>
    <col width="14.44140625" customWidth="1" style="391" min="5587" max="5587"/>
    <col width="23.109375" customWidth="1" style="391" min="5588" max="5588"/>
    <col width="13.109375" customWidth="1" style="391" min="5589" max="5589"/>
    <col hidden="1" style="391" min="5590" max="5593"/>
    <col width="10.33203125" customWidth="1" style="391" min="5594" max="5829"/>
    <col width="7" customWidth="1" style="391" min="5830" max="5830"/>
    <col width="13" customWidth="1" style="391" min="5831" max="5831"/>
    <col width="14.109375" customWidth="1" style="391" min="5832" max="5832"/>
    <col width="17.33203125" customWidth="1" style="391" min="5833" max="5833"/>
    <col width="18.88671875" customWidth="1" style="391" min="5834" max="5834"/>
    <col width="14.109375" customWidth="1" style="391" min="5835" max="5835"/>
    <col width="21.5546875" customWidth="1" style="391" min="5836" max="5836"/>
    <col width="14.109375" customWidth="1" style="391" min="5837" max="5838"/>
    <col width="15" customWidth="1" style="391" min="5839" max="5839"/>
    <col width="13.33203125" customWidth="1" style="391" min="5840" max="5840"/>
    <col width="17" customWidth="1" style="391" min="5841" max="5841"/>
    <col width="24.88671875" customWidth="1" style="391" min="5842" max="5842"/>
    <col width="14.44140625" customWidth="1" style="391" min="5843" max="5843"/>
    <col width="23.109375" customWidth="1" style="391" min="5844" max="5844"/>
    <col width="13.109375" customWidth="1" style="391" min="5845" max="5845"/>
    <col hidden="1" style="391" min="5846" max="5849"/>
    <col width="10.33203125" customWidth="1" style="391" min="5850" max="6085"/>
    <col width="7" customWidth="1" style="391" min="6086" max="6086"/>
    <col width="13" customWidth="1" style="391" min="6087" max="6087"/>
    <col width="14.109375" customWidth="1" style="391" min="6088" max="6088"/>
    <col width="17.33203125" customWidth="1" style="391" min="6089" max="6089"/>
    <col width="18.88671875" customWidth="1" style="391" min="6090" max="6090"/>
    <col width="14.109375" customWidth="1" style="391" min="6091" max="6091"/>
    <col width="21.5546875" customWidth="1" style="391" min="6092" max="6092"/>
    <col width="14.109375" customWidth="1" style="391" min="6093" max="6094"/>
    <col width="15" customWidth="1" style="391" min="6095" max="6095"/>
    <col width="13.33203125" customWidth="1" style="391" min="6096" max="6096"/>
    <col width="17" customWidth="1" style="391" min="6097" max="6097"/>
    <col width="24.88671875" customWidth="1" style="391" min="6098" max="6098"/>
    <col width="14.44140625" customWidth="1" style="391" min="6099" max="6099"/>
    <col width="23.109375" customWidth="1" style="391" min="6100" max="6100"/>
    <col width="13.109375" customWidth="1" style="391" min="6101" max="6101"/>
    <col hidden="1" style="391" min="6102" max="6105"/>
    <col width="10.33203125" customWidth="1" style="391" min="6106" max="6341"/>
    <col width="7" customWidth="1" style="391" min="6342" max="6342"/>
    <col width="13" customWidth="1" style="391" min="6343" max="6343"/>
    <col width="14.109375" customWidth="1" style="391" min="6344" max="6344"/>
    <col width="17.33203125" customWidth="1" style="391" min="6345" max="6345"/>
    <col width="18.88671875" customWidth="1" style="391" min="6346" max="6346"/>
    <col width="14.109375" customWidth="1" style="391" min="6347" max="6347"/>
    <col width="21.5546875" customWidth="1" style="391" min="6348" max="6348"/>
    <col width="14.109375" customWidth="1" style="391" min="6349" max="6350"/>
    <col width="15" customWidth="1" style="391" min="6351" max="6351"/>
    <col width="13.33203125" customWidth="1" style="391" min="6352" max="6352"/>
    <col width="17" customWidth="1" style="391" min="6353" max="6353"/>
    <col width="24.88671875" customWidth="1" style="391" min="6354" max="6354"/>
    <col width="14.44140625" customWidth="1" style="391" min="6355" max="6355"/>
    <col width="23.109375" customWidth="1" style="391" min="6356" max="6356"/>
    <col width="13.109375" customWidth="1" style="391" min="6357" max="6357"/>
    <col hidden="1" style="391" min="6358" max="6361"/>
    <col width="10.33203125" customWidth="1" style="391" min="6362" max="6597"/>
    <col width="7" customWidth="1" style="391" min="6598" max="6598"/>
    <col width="13" customWidth="1" style="391" min="6599" max="6599"/>
    <col width="14.109375" customWidth="1" style="391" min="6600" max="6600"/>
    <col width="17.33203125" customWidth="1" style="391" min="6601" max="6601"/>
    <col width="18.88671875" customWidth="1" style="391" min="6602" max="6602"/>
    <col width="14.109375" customWidth="1" style="391" min="6603" max="6603"/>
    <col width="21.5546875" customWidth="1" style="391" min="6604" max="6604"/>
    <col width="14.109375" customWidth="1" style="391" min="6605" max="6606"/>
    <col width="15" customWidth="1" style="391" min="6607" max="6607"/>
    <col width="13.33203125" customWidth="1" style="391" min="6608" max="6608"/>
    <col width="17" customWidth="1" style="391" min="6609" max="6609"/>
    <col width="24.88671875" customWidth="1" style="391" min="6610" max="6610"/>
    <col width="14.44140625" customWidth="1" style="391" min="6611" max="6611"/>
    <col width="23.109375" customWidth="1" style="391" min="6612" max="6612"/>
    <col width="13.109375" customWidth="1" style="391" min="6613" max="6613"/>
    <col hidden="1" style="391" min="6614" max="6617"/>
    <col width="10.33203125" customWidth="1" style="391" min="6618" max="6853"/>
    <col width="7" customWidth="1" style="391" min="6854" max="6854"/>
    <col width="13" customWidth="1" style="391" min="6855" max="6855"/>
    <col width="14.109375" customWidth="1" style="391" min="6856" max="6856"/>
    <col width="17.33203125" customWidth="1" style="391" min="6857" max="6857"/>
    <col width="18.88671875" customWidth="1" style="391" min="6858" max="6858"/>
    <col width="14.109375" customWidth="1" style="391" min="6859" max="6859"/>
    <col width="21.5546875" customWidth="1" style="391" min="6860" max="6860"/>
    <col width="14.109375" customWidth="1" style="391" min="6861" max="6862"/>
    <col width="15" customWidth="1" style="391" min="6863" max="6863"/>
    <col width="13.33203125" customWidth="1" style="391" min="6864" max="6864"/>
    <col width="17" customWidth="1" style="391" min="6865" max="6865"/>
    <col width="24.88671875" customWidth="1" style="391" min="6866" max="6866"/>
    <col width="14.44140625" customWidth="1" style="391" min="6867" max="6867"/>
    <col width="23.109375" customWidth="1" style="391" min="6868" max="6868"/>
    <col width="13.109375" customWidth="1" style="391" min="6869" max="6869"/>
    <col hidden="1" style="391" min="6870" max="6873"/>
    <col width="10.33203125" customWidth="1" style="391" min="6874" max="7109"/>
    <col width="7" customWidth="1" style="391" min="7110" max="7110"/>
    <col width="13" customWidth="1" style="391" min="7111" max="7111"/>
    <col width="14.109375" customWidth="1" style="391" min="7112" max="7112"/>
    <col width="17.33203125" customWidth="1" style="391" min="7113" max="7113"/>
    <col width="18.88671875" customWidth="1" style="391" min="7114" max="7114"/>
    <col width="14.109375" customWidth="1" style="391" min="7115" max="7115"/>
    <col width="21.5546875" customWidth="1" style="391" min="7116" max="7116"/>
    <col width="14.109375" customWidth="1" style="391" min="7117" max="7118"/>
    <col width="15" customWidth="1" style="391" min="7119" max="7119"/>
    <col width="13.33203125" customWidth="1" style="391" min="7120" max="7120"/>
    <col width="17" customWidth="1" style="391" min="7121" max="7121"/>
    <col width="24.88671875" customWidth="1" style="391" min="7122" max="7122"/>
    <col width="14.44140625" customWidth="1" style="391" min="7123" max="7123"/>
    <col width="23.109375" customWidth="1" style="391" min="7124" max="7124"/>
    <col width="13.109375" customWidth="1" style="391" min="7125" max="7125"/>
    <col hidden="1" style="391" min="7126" max="7129"/>
    <col width="10.33203125" customWidth="1" style="391" min="7130" max="7365"/>
    <col width="7" customWidth="1" style="391" min="7366" max="7366"/>
    <col width="13" customWidth="1" style="391" min="7367" max="7367"/>
    <col width="14.109375" customWidth="1" style="391" min="7368" max="7368"/>
    <col width="17.33203125" customWidth="1" style="391" min="7369" max="7369"/>
    <col width="18.88671875" customWidth="1" style="391" min="7370" max="7370"/>
    <col width="14.109375" customWidth="1" style="391" min="7371" max="7371"/>
    <col width="21.5546875" customWidth="1" style="391" min="7372" max="7372"/>
    <col width="14.109375" customWidth="1" style="391" min="7373" max="7374"/>
    <col width="15" customWidth="1" style="391" min="7375" max="7375"/>
    <col width="13.33203125" customWidth="1" style="391" min="7376" max="7376"/>
    <col width="17" customWidth="1" style="391" min="7377" max="7377"/>
    <col width="24.88671875" customWidth="1" style="391" min="7378" max="7378"/>
    <col width="14.44140625" customWidth="1" style="391" min="7379" max="7379"/>
    <col width="23.109375" customWidth="1" style="391" min="7380" max="7380"/>
    <col width="13.109375" customWidth="1" style="391" min="7381" max="7381"/>
    <col hidden="1" style="391" min="7382" max="7385"/>
    <col width="10.33203125" customWidth="1" style="391" min="7386" max="7621"/>
    <col width="7" customWidth="1" style="391" min="7622" max="7622"/>
    <col width="13" customWidth="1" style="391" min="7623" max="7623"/>
    <col width="14.109375" customWidth="1" style="391" min="7624" max="7624"/>
    <col width="17.33203125" customWidth="1" style="391" min="7625" max="7625"/>
    <col width="18.88671875" customWidth="1" style="391" min="7626" max="7626"/>
    <col width="14.109375" customWidth="1" style="391" min="7627" max="7627"/>
    <col width="21.5546875" customWidth="1" style="391" min="7628" max="7628"/>
    <col width="14.109375" customWidth="1" style="391" min="7629" max="7630"/>
    <col width="15" customWidth="1" style="391" min="7631" max="7631"/>
    <col width="13.33203125" customWidth="1" style="391" min="7632" max="7632"/>
    <col width="17" customWidth="1" style="391" min="7633" max="7633"/>
    <col width="24.88671875" customWidth="1" style="391" min="7634" max="7634"/>
    <col width="14.44140625" customWidth="1" style="391" min="7635" max="7635"/>
    <col width="23.109375" customWidth="1" style="391" min="7636" max="7636"/>
    <col width="13.109375" customWidth="1" style="391" min="7637" max="7637"/>
    <col hidden="1" style="391" min="7638" max="7641"/>
    <col width="10.33203125" customWidth="1" style="391" min="7642" max="7877"/>
    <col width="7" customWidth="1" style="391" min="7878" max="7878"/>
    <col width="13" customWidth="1" style="391" min="7879" max="7879"/>
    <col width="14.109375" customWidth="1" style="391" min="7880" max="7880"/>
    <col width="17.33203125" customWidth="1" style="391" min="7881" max="7881"/>
    <col width="18.88671875" customWidth="1" style="391" min="7882" max="7882"/>
    <col width="14.109375" customWidth="1" style="391" min="7883" max="7883"/>
    <col width="21.5546875" customWidth="1" style="391" min="7884" max="7884"/>
    <col width="14.109375" customWidth="1" style="391" min="7885" max="7886"/>
    <col width="15" customWidth="1" style="391" min="7887" max="7887"/>
    <col width="13.33203125" customWidth="1" style="391" min="7888" max="7888"/>
    <col width="17" customWidth="1" style="391" min="7889" max="7889"/>
    <col width="24.88671875" customWidth="1" style="391" min="7890" max="7890"/>
    <col width="14.44140625" customWidth="1" style="391" min="7891" max="7891"/>
    <col width="23.109375" customWidth="1" style="391" min="7892" max="7892"/>
    <col width="13.109375" customWidth="1" style="391" min="7893" max="7893"/>
    <col hidden="1" style="391" min="7894" max="7897"/>
    <col width="10.33203125" customWidth="1" style="391" min="7898" max="8133"/>
    <col width="7" customWidth="1" style="391" min="8134" max="8134"/>
    <col width="13" customWidth="1" style="391" min="8135" max="8135"/>
    <col width="14.109375" customWidth="1" style="391" min="8136" max="8136"/>
    <col width="17.33203125" customWidth="1" style="391" min="8137" max="8137"/>
    <col width="18.88671875" customWidth="1" style="391" min="8138" max="8138"/>
    <col width="14.109375" customWidth="1" style="391" min="8139" max="8139"/>
    <col width="21.5546875" customWidth="1" style="391" min="8140" max="8140"/>
    <col width="14.109375" customWidth="1" style="391" min="8141" max="8142"/>
    <col width="15" customWidth="1" style="391" min="8143" max="8143"/>
    <col width="13.33203125" customWidth="1" style="391" min="8144" max="8144"/>
    <col width="17" customWidth="1" style="391" min="8145" max="8145"/>
    <col width="24.88671875" customWidth="1" style="391" min="8146" max="8146"/>
    <col width="14.44140625" customWidth="1" style="391" min="8147" max="8147"/>
    <col width="23.109375" customWidth="1" style="391" min="8148" max="8148"/>
    <col width="13.109375" customWidth="1" style="391" min="8149" max="8149"/>
    <col hidden="1" style="391" min="8150" max="8153"/>
    <col width="10.33203125" customWidth="1" style="391" min="8154" max="8389"/>
    <col width="7" customWidth="1" style="391" min="8390" max="8390"/>
    <col width="13" customWidth="1" style="391" min="8391" max="8391"/>
    <col width="14.109375" customWidth="1" style="391" min="8392" max="8392"/>
    <col width="17.33203125" customWidth="1" style="391" min="8393" max="8393"/>
    <col width="18.88671875" customWidth="1" style="391" min="8394" max="8394"/>
    <col width="14.109375" customWidth="1" style="391" min="8395" max="8395"/>
    <col width="21.5546875" customWidth="1" style="391" min="8396" max="8396"/>
    <col width="14.109375" customWidth="1" style="391" min="8397" max="8398"/>
    <col width="15" customWidth="1" style="391" min="8399" max="8399"/>
    <col width="13.33203125" customWidth="1" style="391" min="8400" max="8400"/>
    <col width="17" customWidth="1" style="391" min="8401" max="8401"/>
    <col width="24.88671875" customWidth="1" style="391" min="8402" max="8402"/>
    <col width="14.44140625" customWidth="1" style="391" min="8403" max="8403"/>
    <col width="23.109375" customWidth="1" style="391" min="8404" max="8404"/>
    <col width="13.109375" customWidth="1" style="391" min="8405" max="8405"/>
    <col hidden="1" style="391" min="8406" max="8409"/>
    <col width="10.33203125" customWidth="1" style="391" min="8410" max="8645"/>
    <col width="7" customWidth="1" style="391" min="8646" max="8646"/>
    <col width="13" customWidth="1" style="391" min="8647" max="8647"/>
    <col width="14.109375" customWidth="1" style="391" min="8648" max="8648"/>
    <col width="17.33203125" customWidth="1" style="391" min="8649" max="8649"/>
    <col width="18.88671875" customWidth="1" style="391" min="8650" max="8650"/>
    <col width="14.109375" customWidth="1" style="391" min="8651" max="8651"/>
    <col width="21.5546875" customWidth="1" style="391" min="8652" max="8652"/>
    <col width="14.109375" customWidth="1" style="391" min="8653" max="8654"/>
    <col width="15" customWidth="1" style="391" min="8655" max="8655"/>
    <col width="13.33203125" customWidth="1" style="391" min="8656" max="8656"/>
    <col width="17" customWidth="1" style="391" min="8657" max="8657"/>
    <col width="24.88671875" customWidth="1" style="391" min="8658" max="8658"/>
    <col width="14.44140625" customWidth="1" style="391" min="8659" max="8659"/>
    <col width="23.109375" customWidth="1" style="391" min="8660" max="8660"/>
    <col width="13.109375" customWidth="1" style="391" min="8661" max="8661"/>
    <col hidden="1" style="391" min="8662" max="8665"/>
    <col width="10.33203125" customWidth="1" style="391" min="8666" max="8901"/>
    <col width="7" customWidth="1" style="391" min="8902" max="8902"/>
    <col width="13" customWidth="1" style="391" min="8903" max="8903"/>
    <col width="14.109375" customWidth="1" style="391" min="8904" max="8904"/>
    <col width="17.33203125" customWidth="1" style="391" min="8905" max="8905"/>
    <col width="18.88671875" customWidth="1" style="391" min="8906" max="8906"/>
    <col width="14.109375" customWidth="1" style="391" min="8907" max="8907"/>
    <col width="21.5546875" customWidth="1" style="391" min="8908" max="8908"/>
    <col width="14.109375" customWidth="1" style="391" min="8909" max="8910"/>
    <col width="15" customWidth="1" style="391" min="8911" max="8911"/>
    <col width="13.33203125" customWidth="1" style="391" min="8912" max="8912"/>
    <col width="17" customWidth="1" style="391" min="8913" max="8913"/>
    <col width="24.88671875" customWidth="1" style="391" min="8914" max="8914"/>
    <col width="14.44140625" customWidth="1" style="391" min="8915" max="8915"/>
    <col width="23.109375" customWidth="1" style="391" min="8916" max="8916"/>
    <col width="13.109375" customWidth="1" style="391" min="8917" max="8917"/>
    <col hidden="1" style="391" min="8918" max="8921"/>
    <col width="10.33203125" customWidth="1" style="391" min="8922" max="9157"/>
    <col width="7" customWidth="1" style="391" min="9158" max="9158"/>
    <col width="13" customWidth="1" style="391" min="9159" max="9159"/>
    <col width="14.109375" customWidth="1" style="391" min="9160" max="9160"/>
    <col width="17.33203125" customWidth="1" style="391" min="9161" max="9161"/>
    <col width="18.88671875" customWidth="1" style="391" min="9162" max="9162"/>
    <col width="14.109375" customWidth="1" style="391" min="9163" max="9163"/>
    <col width="21.5546875" customWidth="1" style="391" min="9164" max="9164"/>
    <col width="14.109375" customWidth="1" style="391" min="9165" max="9166"/>
    <col width="15" customWidth="1" style="391" min="9167" max="9167"/>
    <col width="13.33203125" customWidth="1" style="391" min="9168" max="9168"/>
    <col width="17" customWidth="1" style="391" min="9169" max="9169"/>
    <col width="24.88671875" customWidth="1" style="391" min="9170" max="9170"/>
    <col width="14.44140625" customWidth="1" style="391" min="9171" max="9171"/>
    <col width="23.109375" customWidth="1" style="391" min="9172" max="9172"/>
    <col width="13.109375" customWidth="1" style="391" min="9173" max="9173"/>
    <col hidden="1" style="391" min="9174" max="9177"/>
    <col width="10.33203125" customWidth="1" style="391" min="9178" max="9413"/>
    <col width="7" customWidth="1" style="391" min="9414" max="9414"/>
    <col width="13" customWidth="1" style="391" min="9415" max="9415"/>
    <col width="14.109375" customWidth="1" style="391" min="9416" max="9416"/>
    <col width="17.33203125" customWidth="1" style="391" min="9417" max="9417"/>
    <col width="18.88671875" customWidth="1" style="391" min="9418" max="9418"/>
    <col width="14.109375" customWidth="1" style="391" min="9419" max="9419"/>
    <col width="21.5546875" customWidth="1" style="391" min="9420" max="9420"/>
    <col width="14.109375" customWidth="1" style="391" min="9421" max="9422"/>
    <col width="15" customWidth="1" style="391" min="9423" max="9423"/>
    <col width="13.33203125" customWidth="1" style="391" min="9424" max="9424"/>
    <col width="17" customWidth="1" style="391" min="9425" max="9425"/>
    <col width="24.88671875" customWidth="1" style="391" min="9426" max="9426"/>
    <col width="14.44140625" customWidth="1" style="391" min="9427" max="9427"/>
    <col width="23.109375" customWidth="1" style="391" min="9428" max="9428"/>
    <col width="13.109375" customWidth="1" style="391" min="9429" max="9429"/>
    <col hidden="1" style="391" min="9430" max="9433"/>
    <col width="10.33203125" customWidth="1" style="391" min="9434" max="9669"/>
    <col width="7" customWidth="1" style="391" min="9670" max="9670"/>
    <col width="13" customWidth="1" style="391" min="9671" max="9671"/>
    <col width="14.109375" customWidth="1" style="391" min="9672" max="9672"/>
    <col width="17.33203125" customWidth="1" style="391" min="9673" max="9673"/>
    <col width="18.88671875" customWidth="1" style="391" min="9674" max="9674"/>
    <col width="14.109375" customWidth="1" style="391" min="9675" max="9675"/>
    <col width="21.5546875" customWidth="1" style="391" min="9676" max="9676"/>
    <col width="14.109375" customWidth="1" style="391" min="9677" max="9678"/>
    <col width="15" customWidth="1" style="391" min="9679" max="9679"/>
    <col width="13.33203125" customWidth="1" style="391" min="9680" max="9680"/>
    <col width="17" customWidth="1" style="391" min="9681" max="9681"/>
    <col width="24.88671875" customWidth="1" style="391" min="9682" max="9682"/>
    <col width="14.44140625" customWidth="1" style="391" min="9683" max="9683"/>
    <col width="23.109375" customWidth="1" style="391" min="9684" max="9684"/>
    <col width="13.109375" customWidth="1" style="391" min="9685" max="9685"/>
    <col hidden="1" style="391" min="9686" max="9689"/>
    <col width="10.33203125" customWidth="1" style="391" min="9690" max="9925"/>
    <col width="7" customWidth="1" style="391" min="9926" max="9926"/>
    <col width="13" customWidth="1" style="391" min="9927" max="9927"/>
    <col width="14.109375" customWidth="1" style="391" min="9928" max="9928"/>
    <col width="17.33203125" customWidth="1" style="391" min="9929" max="9929"/>
    <col width="18.88671875" customWidth="1" style="391" min="9930" max="9930"/>
    <col width="14.109375" customWidth="1" style="391" min="9931" max="9931"/>
    <col width="21.5546875" customWidth="1" style="391" min="9932" max="9932"/>
    <col width="14.109375" customWidth="1" style="391" min="9933" max="9934"/>
    <col width="15" customWidth="1" style="391" min="9935" max="9935"/>
    <col width="13.33203125" customWidth="1" style="391" min="9936" max="9936"/>
    <col width="17" customWidth="1" style="391" min="9937" max="9937"/>
    <col width="24.88671875" customWidth="1" style="391" min="9938" max="9938"/>
    <col width="14.44140625" customWidth="1" style="391" min="9939" max="9939"/>
    <col width="23.109375" customWidth="1" style="391" min="9940" max="9940"/>
    <col width="13.109375" customWidth="1" style="391" min="9941" max="9941"/>
    <col hidden="1" style="391" min="9942" max="9945"/>
    <col width="10.33203125" customWidth="1" style="391" min="9946" max="10181"/>
    <col width="7" customWidth="1" style="391" min="10182" max="10182"/>
    <col width="13" customWidth="1" style="391" min="10183" max="10183"/>
    <col width="14.109375" customWidth="1" style="391" min="10184" max="10184"/>
    <col width="17.33203125" customWidth="1" style="391" min="10185" max="10185"/>
    <col width="18.88671875" customWidth="1" style="391" min="10186" max="10186"/>
    <col width="14.109375" customWidth="1" style="391" min="10187" max="10187"/>
    <col width="21.5546875" customWidth="1" style="391" min="10188" max="10188"/>
    <col width="14.109375" customWidth="1" style="391" min="10189" max="10190"/>
    <col width="15" customWidth="1" style="391" min="10191" max="10191"/>
    <col width="13.33203125" customWidth="1" style="391" min="10192" max="10192"/>
    <col width="17" customWidth="1" style="391" min="10193" max="10193"/>
    <col width="24.88671875" customWidth="1" style="391" min="10194" max="10194"/>
    <col width="14.44140625" customWidth="1" style="391" min="10195" max="10195"/>
    <col width="23.109375" customWidth="1" style="391" min="10196" max="10196"/>
    <col width="13.109375" customWidth="1" style="391" min="10197" max="10197"/>
    <col hidden="1" style="391" min="10198" max="10201"/>
    <col width="10.33203125" customWidth="1" style="391" min="10202" max="10437"/>
    <col width="7" customWidth="1" style="391" min="10438" max="10438"/>
    <col width="13" customWidth="1" style="391" min="10439" max="10439"/>
    <col width="14.109375" customWidth="1" style="391" min="10440" max="10440"/>
    <col width="17.33203125" customWidth="1" style="391" min="10441" max="10441"/>
    <col width="18.88671875" customWidth="1" style="391" min="10442" max="10442"/>
    <col width="14.109375" customWidth="1" style="391" min="10443" max="10443"/>
    <col width="21.5546875" customWidth="1" style="391" min="10444" max="10444"/>
    <col width="14.109375" customWidth="1" style="391" min="10445" max="10446"/>
    <col width="15" customWidth="1" style="391" min="10447" max="10447"/>
    <col width="13.33203125" customWidth="1" style="391" min="10448" max="10448"/>
    <col width="17" customWidth="1" style="391" min="10449" max="10449"/>
    <col width="24.88671875" customWidth="1" style="391" min="10450" max="10450"/>
    <col width="14.44140625" customWidth="1" style="391" min="10451" max="10451"/>
    <col width="23.109375" customWidth="1" style="391" min="10452" max="10452"/>
    <col width="13.109375" customWidth="1" style="391" min="10453" max="10453"/>
    <col hidden="1" style="391" min="10454" max="10457"/>
    <col width="10.33203125" customWidth="1" style="391" min="10458" max="10693"/>
    <col width="7" customWidth="1" style="391" min="10694" max="10694"/>
    <col width="13" customWidth="1" style="391" min="10695" max="10695"/>
    <col width="14.109375" customWidth="1" style="391" min="10696" max="10696"/>
    <col width="17.33203125" customWidth="1" style="391" min="10697" max="10697"/>
    <col width="18.88671875" customWidth="1" style="391" min="10698" max="10698"/>
    <col width="14.109375" customWidth="1" style="391" min="10699" max="10699"/>
    <col width="21.5546875" customWidth="1" style="391" min="10700" max="10700"/>
    <col width="14.109375" customWidth="1" style="391" min="10701" max="10702"/>
    <col width="15" customWidth="1" style="391" min="10703" max="10703"/>
    <col width="13.33203125" customWidth="1" style="391" min="10704" max="10704"/>
    <col width="17" customWidth="1" style="391" min="10705" max="10705"/>
    <col width="24.88671875" customWidth="1" style="391" min="10706" max="10706"/>
    <col width="14.44140625" customWidth="1" style="391" min="10707" max="10707"/>
    <col width="23.109375" customWidth="1" style="391" min="10708" max="10708"/>
    <col width="13.109375" customWidth="1" style="391" min="10709" max="10709"/>
    <col hidden="1" style="391" min="10710" max="10713"/>
    <col width="10.33203125" customWidth="1" style="391" min="10714" max="10949"/>
    <col width="7" customWidth="1" style="391" min="10950" max="10950"/>
    <col width="13" customWidth="1" style="391" min="10951" max="10951"/>
    <col width="14.109375" customWidth="1" style="391" min="10952" max="10952"/>
    <col width="17.33203125" customWidth="1" style="391" min="10953" max="10953"/>
    <col width="18.88671875" customWidth="1" style="391" min="10954" max="10954"/>
    <col width="14.109375" customWidth="1" style="391" min="10955" max="10955"/>
    <col width="21.5546875" customWidth="1" style="391" min="10956" max="10956"/>
    <col width="14.109375" customWidth="1" style="391" min="10957" max="10958"/>
    <col width="15" customWidth="1" style="391" min="10959" max="10959"/>
    <col width="13.33203125" customWidth="1" style="391" min="10960" max="10960"/>
    <col width="17" customWidth="1" style="391" min="10961" max="10961"/>
    <col width="24.88671875" customWidth="1" style="391" min="10962" max="10962"/>
    <col width="14.44140625" customWidth="1" style="391" min="10963" max="10963"/>
    <col width="23.109375" customWidth="1" style="391" min="10964" max="10964"/>
    <col width="13.109375" customWidth="1" style="391" min="10965" max="10965"/>
    <col hidden="1" style="391" min="10966" max="10969"/>
    <col width="10.33203125" customWidth="1" style="391" min="10970" max="11205"/>
    <col width="7" customWidth="1" style="391" min="11206" max="11206"/>
    <col width="13" customWidth="1" style="391" min="11207" max="11207"/>
    <col width="14.109375" customWidth="1" style="391" min="11208" max="11208"/>
    <col width="17.33203125" customWidth="1" style="391" min="11209" max="11209"/>
    <col width="18.88671875" customWidth="1" style="391" min="11210" max="11210"/>
    <col width="14.109375" customWidth="1" style="391" min="11211" max="11211"/>
    <col width="21.5546875" customWidth="1" style="391" min="11212" max="11212"/>
    <col width="14.109375" customWidth="1" style="391" min="11213" max="11214"/>
    <col width="15" customWidth="1" style="391" min="11215" max="11215"/>
    <col width="13.33203125" customWidth="1" style="391" min="11216" max="11216"/>
    <col width="17" customWidth="1" style="391" min="11217" max="11217"/>
    <col width="24.88671875" customWidth="1" style="391" min="11218" max="11218"/>
    <col width="14.44140625" customWidth="1" style="391" min="11219" max="11219"/>
    <col width="23.109375" customWidth="1" style="391" min="11220" max="11220"/>
    <col width="13.109375" customWidth="1" style="391" min="11221" max="11221"/>
    <col hidden="1" style="391" min="11222" max="11225"/>
    <col width="10.33203125" customWidth="1" style="391" min="11226" max="11461"/>
    <col width="7" customWidth="1" style="391" min="11462" max="11462"/>
    <col width="13" customWidth="1" style="391" min="11463" max="11463"/>
    <col width="14.109375" customWidth="1" style="391" min="11464" max="11464"/>
    <col width="17.33203125" customWidth="1" style="391" min="11465" max="11465"/>
    <col width="18.88671875" customWidth="1" style="391" min="11466" max="11466"/>
    <col width="14.109375" customWidth="1" style="391" min="11467" max="11467"/>
    <col width="21.5546875" customWidth="1" style="391" min="11468" max="11468"/>
    <col width="14.109375" customWidth="1" style="391" min="11469" max="11470"/>
    <col width="15" customWidth="1" style="391" min="11471" max="11471"/>
    <col width="13.33203125" customWidth="1" style="391" min="11472" max="11472"/>
    <col width="17" customWidth="1" style="391" min="11473" max="11473"/>
    <col width="24.88671875" customWidth="1" style="391" min="11474" max="11474"/>
    <col width="14.44140625" customWidth="1" style="391" min="11475" max="11475"/>
    <col width="23.109375" customWidth="1" style="391" min="11476" max="11476"/>
    <col width="13.109375" customWidth="1" style="391" min="11477" max="11477"/>
    <col hidden="1" style="391" min="11478" max="11481"/>
    <col width="10.33203125" customWidth="1" style="391" min="11482" max="11717"/>
    <col width="7" customWidth="1" style="391" min="11718" max="11718"/>
    <col width="13" customWidth="1" style="391" min="11719" max="11719"/>
    <col width="14.109375" customWidth="1" style="391" min="11720" max="11720"/>
    <col width="17.33203125" customWidth="1" style="391" min="11721" max="11721"/>
    <col width="18.88671875" customWidth="1" style="391" min="11722" max="11722"/>
    <col width="14.109375" customWidth="1" style="391" min="11723" max="11723"/>
    <col width="21.5546875" customWidth="1" style="391" min="11724" max="11724"/>
    <col width="14.109375" customWidth="1" style="391" min="11725" max="11726"/>
    <col width="15" customWidth="1" style="391" min="11727" max="11727"/>
    <col width="13.33203125" customWidth="1" style="391" min="11728" max="11728"/>
    <col width="17" customWidth="1" style="391" min="11729" max="11729"/>
    <col width="24.88671875" customWidth="1" style="391" min="11730" max="11730"/>
    <col width="14.44140625" customWidth="1" style="391" min="11731" max="11731"/>
    <col width="23.109375" customWidth="1" style="391" min="11732" max="11732"/>
    <col width="13.109375" customWidth="1" style="391" min="11733" max="11733"/>
    <col hidden="1" style="391" min="11734" max="11737"/>
    <col width="10.33203125" customWidth="1" style="391" min="11738" max="11973"/>
    <col width="7" customWidth="1" style="391" min="11974" max="11974"/>
    <col width="13" customWidth="1" style="391" min="11975" max="11975"/>
    <col width="14.109375" customWidth="1" style="391" min="11976" max="11976"/>
    <col width="17.33203125" customWidth="1" style="391" min="11977" max="11977"/>
    <col width="18.88671875" customWidth="1" style="391" min="11978" max="11978"/>
    <col width="14.109375" customWidth="1" style="391" min="11979" max="11979"/>
    <col width="21.5546875" customWidth="1" style="391" min="11980" max="11980"/>
    <col width="14.109375" customWidth="1" style="391" min="11981" max="11982"/>
    <col width="15" customWidth="1" style="391" min="11983" max="11983"/>
    <col width="13.33203125" customWidth="1" style="391" min="11984" max="11984"/>
    <col width="17" customWidth="1" style="391" min="11985" max="11985"/>
    <col width="24.88671875" customWidth="1" style="391" min="11986" max="11986"/>
    <col width="14.44140625" customWidth="1" style="391" min="11987" max="11987"/>
    <col width="23.109375" customWidth="1" style="391" min="11988" max="11988"/>
    <col width="13.109375" customWidth="1" style="391" min="11989" max="11989"/>
    <col hidden="1" style="391" min="11990" max="11993"/>
    <col width="10.33203125" customWidth="1" style="391" min="11994" max="12229"/>
    <col width="7" customWidth="1" style="391" min="12230" max="12230"/>
    <col width="13" customWidth="1" style="391" min="12231" max="12231"/>
    <col width="14.109375" customWidth="1" style="391" min="12232" max="12232"/>
    <col width="17.33203125" customWidth="1" style="391" min="12233" max="12233"/>
    <col width="18.88671875" customWidth="1" style="391" min="12234" max="12234"/>
    <col width="14.109375" customWidth="1" style="391" min="12235" max="12235"/>
    <col width="21.5546875" customWidth="1" style="391" min="12236" max="12236"/>
    <col width="14.109375" customWidth="1" style="391" min="12237" max="12238"/>
    <col width="15" customWidth="1" style="391" min="12239" max="12239"/>
    <col width="13.33203125" customWidth="1" style="391" min="12240" max="12240"/>
    <col width="17" customWidth="1" style="391" min="12241" max="12241"/>
    <col width="24.88671875" customWidth="1" style="391" min="12242" max="12242"/>
    <col width="14.44140625" customWidth="1" style="391" min="12243" max="12243"/>
    <col width="23.109375" customWidth="1" style="391" min="12244" max="12244"/>
    <col width="13.109375" customWidth="1" style="391" min="12245" max="12245"/>
    <col hidden="1" style="391" min="12246" max="12249"/>
    <col width="10.33203125" customWidth="1" style="391" min="12250" max="12485"/>
    <col width="7" customWidth="1" style="391" min="12486" max="12486"/>
    <col width="13" customWidth="1" style="391" min="12487" max="12487"/>
    <col width="14.109375" customWidth="1" style="391" min="12488" max="12488"/>
    <col width="17.33203125" customWidth="1" style="391" min="12489" max="12489"/>
    <col width="18.88671875" customWidth="1" style="391" min="12490" max="12490"/>
    <col width="14.109375" customWidth="1" style="391" min="12491" max="12491"/>
    <col width="21.5546875" customWidth="1" style="391" min="12492" max="12492"/>
    <col width="14.109375" customWidth="1" style="391" min="12493" max="12494"/>
    <col width="15" customWidth="1" style="391" min="12495" max="12495"/>
    <col width="13.33203125" customWidth="1" style="391" min="12496" max="12496"/>
    <col width="17" customWidth="1" style="391" min="12497" max="12497"/>
    <col width="24.88671875" customWidth="1" style="391" min="12498" max="12498"/>
    <col width="14.44140625" customWidth="1" style="391" min="12499" max="12499"/>
    <col width="23.109375" customWidth="1" style="391" min="12500" max="12500"/>
    <col width="13.109375" customWidth="1" style="391" min="12501" max="12501"/>
    <col hidden="1" style="391" min="12502" max="12505"/>
    <col width="10.33203125" customWidth="1" style="391" min="12506" max="12741"/>
    <col width="7" customWidth="1" style="391" min="12742" max="12742"/>
    <col width="13" customWidth="1" style="391" min="12743" max="12743"/>
    <col width="14.109375" customWidth="1" style="391" min="12744" max="12744"/>
    <col width="17.33203125" customWidth="1" style="391" min="12745" max="12745"/>
    <col width="18.88671875" customWidth="1" style="391" min="12746" max="12746"/>
    <col width="14.109375" customWidth="1" style="391" min="12747" max="12747"/>
    <col width="21.5546875" customWidth="1" style="391" min="12748" max="12748"/>
    <col width="14.109375" customWidth="1" style="391" min="12749" max="12750"/>
    <col width="15" customWidth="1" style="391" min="12751" max="12751"/>
    <col width="13.33203125" customWidth="1" style="391" min="12752" max="12752"/>
    <col width="17" customWidth="1" style="391" min="12753" max="12753"/>
    <col width="24.88671875" customWidth="1" style="391" min="12754" max="12754"/>
    <col width="14.44140625" customWidth="1" style="391" min="12755" max="12755"/>
    <col width="23.109375" customWidth="1" style="391" min="12756" max="12756"/>
    <col width="13.109375" customWidth="1" style="391" min="12757" max="12757"/>
    <col hidden="1" style="391" min="12758" max="12761"/>
    <col width="10.33203125" customWidth="1" style="391" min="12762" max="12997"/>
    <col width="7" customWidth="1" style="391" min="12998" max="12998"/>
    <col width="13" customWidth="1" style="391" min="12999" max="12999"/>
    <col width="14.109375" customWidth="1" style="391" min="13000" max="13000"/>
    <col width="17.33203125" customWidth="1" style="391" min="13001" max="13001"/>
    <col width="18.88671875" customWidth="1" style="391" min="13002" max="13002"/>
    <col width="14.109375" customWidth="1" style="391" min="13003" max="13003"/>
    <col width="21.5546875" customWidth="1" style="391" min="13004" max="13004"/>
    <col width="14.109375" customWidth="1" style="391" min="13005" max="13006"/>
    <col width="15" customWidth="1" style="391" min="13007" max="13007"/>
    <col width="13.33203125" customWidth="1" style="391" min="13008" max="13008"/>
    <col width="17" customWidth="1" style="391" min="13009" max="13009"/>
    <col width="24.88671875" customWidth="1" style="391" min="13010" max="13010"/>
    <col width="14.44140625" customWidth="1" style="391" min="13011" max="13011"/>
    <col width="23.109375" customWidth="1" style="391" min="13012" max="13012"/>
    <col width="13.109375" customWidth="1" style="391" min="13013" max="13013"/>
    <col hidden="1" style="391" min="13014" max="13017"/>
    <col width="10.33203125" customWidth="1" style="391" min="13018" max="13253"/>
    <col width="7" customWidth="1" style="391" min="13254" max="13254"/>
    <col width="13" customWidth="1" style="391" min="13255" max="13255"/>
    <col width="14.109375" customWidth="1" style="391" min="13256" max="13256"/>
    <col width="17.33203125" customWidth="1" style="391" min="13257" max="13257"/>
    <col width="18.88671875" customWidth="1" style="391" min="13258" max="13258"/>
    <col width="14.109375" customWidth="1" style="391" min="13259" max="13259"/>
    <col width="21.5546875" customWidth="1" style="391" min="13260" max="13260"/>
    <col width="14.109375" customWidth="1" style="391" min="13261" max="13262"/>
    <col width="15" customWidth="1" style="391" min="13263" max="13263"/>
    <col width="13.33203125" customWidth="1" style="391" min="13264" max="13264"/>
    <col width="17" customWidth="1" style="391" min="13265" max="13265"/>
    <col width="24.88671875" customWidth="1" style="391" min="13266" max="13266"/>
    <col width="14.44140625" customWidth="1" style="391" min="13267" max="13267"/>
    <col width="23.109375" customWidth="1" style="391" min="13268" max="13268"/>
    <col width="13.109375" customWidth="1" style="391" min="13269" max="13269"/>
    <col hidden="1" style="391" min="13270" max="13273"/>
    <col width="10.33203125" customWidth="1" style="391" min="13274" max="13509"/>
    <col width="7" customWidth="1" style="391" min="13510" max="13510"/>
    <col width="13" customWidth="1" style="391" min="13511" max="13511"/>
    <col width="14.109375" customWidth="1" style="391" min="13512" max="13512"/>
    <col width="17.33203125" customWidth="1" style="391" min="13513" max="13513"/>
    <col width="18.88671875" customWidth="1" style="391" min="13514" max="13514"/>
    <col width="14.109375" customWidth="1" style="391" min="13515" max="13515"/>
    <col width="21.5546875" customWidth="1" style="391" min="13516" max="13516"/>
    <col width="14.109375" customWidth="1" style="391" min="13517" max="13518"/>
    <col width="15" customWidth="1" style="391" min="13519" max="13519"/>
    <col width="13.33203125" customWidth="1" style="391" min="13520" max="13520"/>
    <col width="17" customWidth="1" style="391" min="13521" max="13521"/>
    <col width="24.88671875" customWidth="1" style="391" min="13522" max="13522"/>
    <col width="14.44140625" customWidth="1" style="391" min="13523" max="13523"/>
    <col width="23.109375" customWidth="1" style="391" min="13524" max="13524"/>
    <col width="13.109375" customWidth="1" style="391" min="13525" max="13525"/>
    <col hidden="1" style="391" min="13526" max="13529"/>
    <col width="10.33203125" customWidth="1" style="391" min="13530" max="13765"/>
    <col width="7" customWidth="1" style="391" min="13766" max="13766"/>
    <col width="13" customWidth="1" style="391" min="13767" max="13767"/>
    <col width="14.109375" customWidth="1" style="391" min="13768" max="13768"/>
    <col width="17.33203125" customWidth="1" style="391" min="13769" max="13769"/>
    <col width="18.88671875" customWidth="1" style="391" min="13770" max="13770"/>
    <col width="14.109375" customWidth="1" style="391" min="13771" max="13771"/>
    <col width="21.5546875" customWidth="1" style="391" min="13772" max="13772"/>
    <col width="14.109375" customWidth="1" style="391" min="13773" max="13774"/>
    <col width="15" customWidth="1" style="391" min="13775" max="13775"/>
    <col width="13.33203125" customWidth="1" style="391" min="13776" max="13776"/>
    <col width="17" customWidth="1" style="391" min="13777" max="13777"/>
    <col width="24.88671875" customWidth="1" style="391" min="13778" max="13778"/>
    <col width="14.44140625" customWidth="1" style="391" min="13779" max="13779"/>
    <col width="23.109375" customWidth="1" style="391" min="13780" max="13780"/>
    <col width="13.109375" customWidth="1" style="391" min="13781" max="13781"/>
    <col hidden="1" style="391" min="13782" max="13785"/>
    <col width="10.33203125" customWidth="1" style="391" min="13786" max="14021"/>
    <col width="7" customWidth="1" style="391" min="14022" max="14022"/>
    <col width="13" customWidth="1" style="391" min="14023" max="14023"/>
    <col width="14.109375" customWidth="1" style="391" min="14024" max="14024"/>
    <col width="17.33203125" customWidth="1" style="391" min="14025" max="14025"/>
    <col width="18.88671875" customWidth="1" style="391" min="14026" max="14026"/>
    <col width="14.109375" customWidth="1" style="391" min="14027" max="14027"/>
    <col width="21.5546875" customWidth="1" style="391" min="14028" max="14028"/>
    <col width="14.109375" customWidth="1" style="391" min="14029" max="14030"/>
    <col width="15" customWidth="1" style="391" min="14031" max="14031"/>
    <col width="13.33203125" customWidth="1" style="391" min="14032" max="14032"/>
    <col width="17" customWidth="1" style="391" min="14033" max="14033"/>
    <col width="24.88671875" customWidth="1" style="391" min="14034" max="14034"/>
    <col width="14.44140625" customWidth="1" style="391" min="14035" max="14035"/>
    <col width="23.109375" customWidth="1" style="391" min="14036" max="14036"/>
    <col width="13.109375" customWidth="1" style="391" min="14037" max="14037"/>
    <col hidden="1" style="391" min="14038" max="14041"/>
    <col width="10.33203125" customWidth="1" style="391" min="14042" max="14277"/>
    <col width="7" customWidth="1" style="391" min="14278" max="14278"/>
    <col width="13" customWidth="1" style="391" min="14279" max="14279"/>
    <col width="14.109375" customWidth="1" style="391" min="14280" max="14280"/>
    <col width="17.33203125" customWidth="1" style="391" min="14281" max="14281"/>
    <col width="18.88671875" customWidth="1" style="391" min="14282" max="14282"/>
    <col width="14.109375" customWidth="1" style="391" min="14283" max="14283"/>
    <col width="21.5546875" customWidth="1" style="391" min="14284" max="14284"/>
    <col width="14.109375" customWidth="1" style="391" min="14285" max="14286"/>
    <col width="15" customWidth="1" style="391" min="14287" max="14287"/>
    <col width="13.33203125" customWidth="1" style="391" min="14288" max="14288"/>
    <col width="17" customWidth="1" style="391" min="14289" max="14289"/>
    <col width="24.88671875" customWidth="1" style="391" min="14290" max="14290"/>
    <col width="14.44140625" customWidth="1" style="391" min="14291" max="14291"/>
    <col width="23.109375" customWidth="1" style="391" min="14292" max="14292"/>
    <col width="13.109375" customWidth="1" style="391" min="14293" max="14293"/>
    <col hidden="1" style="391" min="14294" max="14297"/>
    <col width="10.33203125" customWidth="1" style="391" min="14298" max="14533"/>
    <col width="7" customWidth="1" style="391" min="14534" max="14534"/>
    <col width="13" customWidth="1" style="391" min="14535" max="14535"/>
    <col width="14.109375" customWidth="1" style="391" min="14536" max="14536"/>
    <col width="17.33203125" customWidth="1" style="391" min="14537" max="14537"/>
    <col width="18.88671875" customWidth="1" style="391" min="14538" max="14538"/>
    <col width="14.109375" customWidth="1" style="391" min="14539" max="14539"/>
    <col width="21.5546875" customWidth="1" style="391" min="14540" max="14540"/>
    <col width="14.109375" customWidth="1" style="391" min="14541" max="14542"/>
    <col width="15" customWidth="1" style="391" min="14543" max="14543"/>
    <col width="13.33203125" customWidth="1" style="391" min="14544" max="14544"/>
    <col width="17" customWidth="1" style="391" min="14545" max="14545"/>
    <col width="24.88671875" customWidth="1" style="391" min="14546" max="14546"/>
    <col width="14.44140625" customWidth="1" style="391" min="14547" max="14547"/>
    <col width="23.109375" customWidth="1" style="391" min="14548" max="14548"/>
    <col width="13.109375" customWidth="1" style="391" min="14549" max="14549"/>
    <col hidden="1" style="391" min="14550" max="14553"/>
    <col width="10.33203125" customWidth="1" style="391" min="14554" max="14789"/>
    <col width="7" customWidth="1" style="391" min="14790" max="14790"/>
    <col width="13" customWidth="1" style="391" min="14791" max="14791"/>
    <col width="14.109375" customWidth="1" style="391" min="14792" max="14792"/>
    <col width="17.33203125" customWidth="1" style="391" min="14793" max="14793"/>
    <col width="18.88671875" customWidth="1" style="391" min="14794" max="14794"/>
    <col width="14.109375" customWidth="1" style="391" min="14795" max="14795"/>
    <col width="21.5546875" customWidth="1" style="391" min="14796" max="14796"/>
    <col width="14.109375" customWidth="1" style="391" min="14797" max="14798"/>
    <col width="15" customWidth="1" style="391" min="14799" max="14799"/>
    <col width="13.33203125" customWidth="1" style="391" min="14800" max="14800"/>
    <col width="17" customWidth="1" style="391" min="14801" max="14801"/>
    <col width="24.88671875" customWidth="1" style="391" min="14802" max="14802"/>
    <col width="14.44140625" customWidth="1" style="391" min="14803" max="14803"/>
    <col width="23.109375" customWidth="1" style="391" min="14804" max="14804"/>
    <col width="13.109375" customWidth="1" style="391" min="14805" max="14805"/>
    <col hidden="1" style="391" min="14806" max="14809"/>
    <col width="10.33203125" customWidth="1" style="391" min="14810" max="15045"/>
    <col width="7" customWidth="1" style="391" min="15046" max="15046"/>
    <col width="13" customWidth="1" style="391" min="15047" max="15047"/>
    <col width="14.109375" customWidth="1" style="391" min="15048" max="15048"/>
    <col width="17.33203125" customWidth="1" style="391" min="15049" max="15049"/>
    <col width="18.88671875" customWidth="1" style="391" min="15050" max="15050"/>
    <col width="14.109375" customWidth="1" style="391" min="15051" max="15051"/>
    <col width="21.5546875" customWidth="1" style="391" min="15052" max="15052"/>
    <col width="14.109375" customWidth="1" style="391" min="15053" max="15054"/>
    <col width="15" customWidth="1" style="391" min="15055" max="15055"/>
    <col width="13.33203125" customWidth="1" style="391" min="15056" max="15056"/>
    <col width="17" customWidth="1" style="391" min="15057" max="15057"/>
    <col width="24.88671875" customWidth="1" style="391" min="15058" max="15058"/>
    <col width="14.44140625" customWidth="1" style="391" min="15059" max="15059"/>
    <col width="23.109375" customWidth="1" style="391" min="15060" max="15060"/>
    <col width="13.109375" customWidth="1" style="391" min="15061" max="15061"/>
    <col hidden="1" style="391" min="15062" max="15065"/>
    <col width="10.33203125" customWidth="1" style="391" min="15066" max="15301"/>
    <col width="7" customWidth="1" style="391" min="15302" max="15302"/>
    <col width="13" customWidth="1" style="391" min="15303" max="15303"/>
    <col width="14.109375" customWidth="1" style="391" min="15304" max="15304"/>
    <col width="17.33203125" customWidth="1" style="391" min="15305" max="15305"/>
    <col width="18.88671875" customWidth="1" style="391" min="15306" max="15306"/>
    <col width="14.109375" customWidth="1" style="391" min="15307" max="15307"/>
    <col width="21.5546875" customWidth="1" style="391" min="15308" max="15308"/>
    <col width="14.109375" customWidth="1" style="391" min="15309" max="15310"/>
    <col width="15" customWidth="1" style="391" min="15311" max="15311"/>
    <col width="13.33203125" customWidth="1" style="391" min="15312" max="15312"/>
    <col width="17" customWidth="1" style="391" min="15313" max="15313"/>
    <col width="24.88671875" customWidth="1" style="391" min="15314" max="15314"/>
    <col width="14.44140625" customWidth="1" style="391" min="15315" max="15315"/>
    <col width="23.109375" customWidth="1" style="391" min="15316" max="15316"/>
    <col width="13.109375" customWidth="1" style="391" min="15317" max="15317"/>
    <col hidden="1" style="391" min="15318" max="15321"/>
    <col width="10.33203125" customWidth="1" style="391" min="15322" max="15557"/>
    <col width="7" customWidth="1" style="391" min="15558" max="15558"/>
    <col width="13" customWidth="1" style="391" min="15559" max="15559"/>
    <col width="14.109375" customWidth="1" style="391" min="15560" max="15560"/>
    <col width="17.33203125" customWidth="1" style="391" min="15561" max="15561"/>
    <col width="18.88671875" customWidth="1" style="391" min="15562" max="15562"/>
    <col width="14.109375" customWidth="1" style="391" min="15563" max="15563"/>
    <col width="21.5546875" customWidth="1" style="391" min="15564" max="15564"/>
    <col width="14.109375" customWidth="1" style="391" min="15565" max="15566"/>
    <col width="15" customWidth="1" style="391" min="15567" max="15567"/>
    <col width="13.33203125" customWidth="1" style="391" min="15568" max="15568"/>
    <col width="17" customWidth="1" style="391" min="15569" max="15569"/>
    <col width="24.88671875" customWidth="1" style="391" min="15570" max="15570"/>
    <col width="14.44140625" customWidth="1" style="391" min="15571" max="15571"/>
    <col width="23.109375" customWidth="1" style="391" min="15572" max="15572"/>
    <col width="13.109375" customWidth="1" style="391" min="15573" max="15573"/>
    <col hidden="1" style="391" min="15574" max="15577"/>
    <col width="10.33203125" customWidth="1" style="391" min="15578" max="15813"/>
    <col width="7" customWidth="1" style="391" min="15814" max="15814"/>
    <col width="13" customWidth="1" style="391" min="15815" max="15815"/>
    <col width="14.109375" customWidth="1" style="391" min="15816" max="15816"/>
    <col width="17.33203125" customWidth="1" style="391" min="15817" max="15817"/>
    <col width="18.88671875" customWidth="1" style="391" min="15818" max="15818"/>
    <col width="14.109375" customWidth="1" style="391" min="15819" max="15819"/>
    <col width="21.5546875" customWidth="1" style="391" min="15820" max="15820"/>
    <col width="14.109375" customWidth="1" style="391" min="15821" max="15822"/>
    <col width="15" customWidth="1" style="391" min="15823" max="15823"/>
    <col width="13.33203125" customWidth="1" style="391" min="15824" max="15824"/>
    <col width="17" customWidth="1" style="391" min="15825" max="15825"/>
    <col width="24.88671875" customWidth="1" style="391" min="15826" max="15826"/>
    <col width="14.44140625" customWidth="1" style="391" min="15827" max="15827"/>
    <col width="23.109375" customWidth="1" style="391" min="15828" max="15828"/>
    <col width="13.109375" customWidth="1" style="391" min="15829" max="15829"/>
    <col hidden="1" style="391" min="15830" max="15833"/>
    <col width="10.33203125" customWidth="1" style="391" min="15834" max="16069"/>
    <col width="7" customWidth="1" style="391" min="16070" max="16070"/>
    <col width="13" customWidth="1" style="391" min="16071" max="16071"/>
    <col width="14.109375" customWidth="1" style="391" min="16072" max="16072"/>
    <col width="17.33203125" customWidth="1" style="391" min="16073" max="16073"/>
    <col width="18.88671875" customWidth="1" style="391" min="16074" max="16074"/>
    <col width="14.109375" customWidth="1" style="391" min="16075" max="16075"/>
    <col width="21.5546875" customWidth="1" style="391" min="16076" max="16076"/>
    <col width="14.109375" customWidth="1" style="391" min="16077" max="16078"/>
    <col width="15" customWidth="1" style="391" min="16079" max="16079"/>
    <col width="13.33203125" customWidth="1" style="391" min="16080" max="16080"/>
    <col width="17" customWidth="1" style="391" min="16081" max="16081"/>
    <col width="24.88671875" customWidth="1" style="391" min="16082" max="16082"/>
    <col width="14.44140625" customWidth="1" style="391" min="16083" max="16083"/>
    <col width="23.109375" customWidth="1" style="391" min="16084" max="16084"/>
    <col width="13.109375" customWidth="1" style="391" min="16085" max="16085"/>
    <col hidden="1" style="391" min="16086" max="16089"/>
    <col width="10.33203125" customWidth="1" style="391" min="16090" max="16384"/>
  </cols>
  <sheetData>
    <row r="1" ht="15" customHeight="1">
      <c r="B1" s="428" t="n"/>
      <c r="T1" s="433" t="n"/>
      <c r="U1" s="433" t="n"/>
      <c r="V1" s="433" t="n"/>
      <c r="W1" s="433" t="n"/>
      <c r="X1" s="434" t="n"/>
      <c r="Y1" s="434" t="n"/>
      <c r="Z1" s="434" t="n"/>
      <c r="AA1" s="434" t="n"/>
      <c r="AB1" s="434" t="n"/>
      <c r="AC1" s="435" t="n"/>
      <c r="AD1" s="434" t="n"/>
      <c r="AE1" s="434" t="n"/>
      <c r="AF1" s="394" t="n"/>
    </row>
    <row r="2" ht="20.25" customFormat="1" customHeight="1" s="795">
      <c r="A2" s="398" t="inlineStr">
        <is>
          <t>THEO DÕI HÀNG HÓA TẠM ỨNG, THANH TOÁN, ĐIỀU XE  - NOVA</t>
        </is>
      </c>
      <c r="B2" s="398" t="n"/>
      <c r="C2" s="398" t="n"/>
      <c r="D2" s="398" t="n"/>
      <c r="E2" s="398" t="n"/>
      <c r="F2" s="398" t="n"/>
      <c r="G2" s="398" t="n"/>
      <c r="H2" s="398" t="n"/>
      <c r="I2" s="398" t="n"/>
      <c r="J2" s="398" t="n"/>
      <c r="K2" s="398" t="n"/>
      <c r="L2" s="398" t="n"/>
      <c r="M2" s="398" t="n"/>
      <c r="N2" s="398" t="n"/>
      <c r="O2" s="398" t="n"/>
      <c r="P2" s="398" t="n"/>
      <c r="Q2" s="398" t="n"/>
      <c r="R2" s="398" t="n"/>
      <c r="S2" s="398" t="n"/>
      <c r="T2" s="398" t="n"/>
      <c r="U2" s="398" t="n"/>
      <c r="V2" s="398" t="n"/>
      <c r="W2" s="398" t="n"/>
      <c r="X2" s="398" t="n"/>
      <c r="Y2" s="398" t="n"/>
      <c r="Z2" s="398" t="n"/>
      <c r="AA2" s="398" t="n"/>
      <c r="AB2" s="398" t="n"/>
      <c r="AC2" s="398" t="n"/>
      <c r="AD2" s="398" t="n"/>
      <c r="AE2" s="398" t="n"/>
      <c r="AF2" s="525" t="n"/>
    </row>
    <row r="3" ht="12.75" customHeight="1">
      <c r="B3" s="436" t="n"/>
      <c r="C3" s="437" t="inlineStr">
        <is>
          <t>MST: 3703185737</t>
        </is>
      </c>
      <c r="D3" s="438" t="inlineStr">
        <is>
          <t>Địa chỉ: E5-1 (khu B4), Đường D9, Khu công nghiệp Rạch Bắp, Phường An Tây, Thành phố Bến Cát, Tỉnh Bình Dương, Việt Nam</t>
        </is>
      </c>
      <c r="E3" s="438" t="n"/>
      <c r="F3" s="438" t="n"/>
      <c r="G3" s="438" t="n"/>
      <c r="H3" s="438" t="n"/>
      <c r="I3" s="438" t="n"/>
      <c r="J3" s="438" t="n"/>
      <c r="K3" s="438" t="n"/>
      <c r="L3" s="438" t="n"/>
      <c r="M3" s="439" t="n"/>
      <c r="N3" s="440" t="n"/>
      <c r="O3" s="440" t="n"/>
      <c r="Q3" s="440" t="n"/>
      <c r="R3" s="440" t="n"/>
    </row>
    <row r="4" ht="39.6" customHeight="1">
      <c r="A4" s="442" t="inlineStr">
        <is>
          <t>STT</t>
        </is>
      </c>
      <c r="B4" s="443" t="inlineStr">
        <is>
          <t>NGÀY ĐÓNG HÀNG</t>
        </is>
      </c>
      <c r="C4" s="444" t="inlineStr">
        <is>
          <t>Số TK</t>
        </is>
      </c>
      <c r="D4" s="445" t="inlineStr">
        <is>
          <t>Ngày ĐK</t>
        </is>
      </c>
      <c r="E4" s="446" t="inlineStr">
        <is>
          <t>Tạo Job</t>
        </is>
      </c>
      <c r="F4" s="446" t="inlineStr">
        <is>
          <t>X/N</t>
        </is>
      </c>
      <c r="G4" s="447" t="inlineStr">
        <is>
          <t>20'</t>
        </is>
      </c>
      <c r="H4" s="447" t="inlineStr">
        <is>
          <t>40'</t>
        </is>
      </c>
      <c r="I4" s="447" t="inlineStr">
        <is>
          <t>LCL</t>
        </is>
      </c>
      <c r="J4" s="448" t="inlineStr">
        <is>
          <t>KHỐI LƯỢNG</t>
        </is>
      </c>
      <c r="K4" s="448" t="inlineStr">
        <is>
          <t>BOOKING</t>
        </is>
      </c>
      <c r="L4" s="449" t="inlineStr">
        <is>
          <t>SỐ INVOICE</t>
        </is>
      </c>
      <c r="M4" s="449" t="inlineStr">
        <is>
          <t>STT CONT</t>
        </is>
      </c>
      <c r="N4" s="448" t="inlineStr">
        <is>
          <t>SỐ CONT/SEAL</t>
        </is>
      </c>
      <c r="O4" s="448" t="inlineStr">
        <is>
          <t>SỐ SEAL</t>
        </is>
      </c>
      <c r="P4" s="448" t="inlineStr">
        <is>
          <t>CUT OFF</t>
        </is>
      </c>
      <c r="Q4" s="447" t="inlineStr">
        <is>
          <t>CẢNG HẠ</t>
        </is>
      </c>
      <c r="R4" s="447" t="inlineStr">
        <is>
          <t>SỐ XE</t>
        </is>
      </c>
      <c r="S4" s="450" t="inlineStr">
        <is>
          <t>PHỤ PHÍ C/O</t>
        </is>
      </c>
      <c r="T4" s="450" t="inlineStr">
        <is>
          <t>PHỤ PHÍ NÂNG</t>
        </is>
      </c>
      <c r="U4" s="450" t="inlineStr">
        <is>
          <t>PHÍ NÂNG</t>
        </is>
      </c>
      <c r="V4" s="450" t="inlineStr">
        <is>
          <t>PHÍ HẠ</t>
        </is>
      </c>
      <c r="W4" s="451" t="inlineStr">
        <is>
          <t>PHÍ CHỨNG TỪ
(TM)</t>
        </is>
      </c>
      <c r="X4" s="451" t="inlineStr">
        <is>
          <t>PHÍ CHỨNG TỪ
(ST CK)</t>
        </is>
      </c>
      <c r="Y4" s="452" t="inlineStr">
        <is>
          <t>PHÍ CSHT</t>
        </is>
      </c>
      <c r="Z4" s="452" t="inlineStr">
        <is>
          <t>TỜ KHAI THỨ 2</t>
        </is>
      </c>
      <c r="AA4" s="452" t="inlineStr">
        <is>
          <t>TỔNG CHI HỘ (CASH)</t>
        </is>
      </c>
      <c r="AB4" s="453" t="inlineStr">
        <is>
          <t>TỔNG CHI HỘ (ST CK)</t>
        </is>
      </c>
      <c r="AC4" s="454" t="inlineStr">
        <is>
          <t>GHI CHÚ PHÁT SINH</t>
        </is>
      </c>
      <c r="AD4" s="451" t="inlineStr">
        <is>
          <t>PHÍ DỊCH VỤ GN</t>
        </is>
      </c>
      <c r="AE4" s="452" t="inlineStr">
        <is>
          <t>DT BẢNG KÊ
(GỒM VAT)</t>
        </is>
      </c>
      <c r="AF4" s="527" t="inlineStr">
        <is>
          <t>GIAO BẢNG KÊ</t>
        </is>
      </c>
      <c r="AG4" s="393" t="n"/>
    </row>
    <row r="5" ht="26.25" customHeight="1">
      <c r="A5" s="770" t="inlineStr">
        <is>
          <t>THÁNG 10/2025</t>
        </is>
      </c>
      <c r="B5" s="771" t="n"/>
      <c r="C5" s="771" t="n"/>
      <c r="D5" s="771" t="n"/>
      <c r="E5" s="771" t="n"/>
      <c r="F5" s="771" t="n"/>
      <c r="G5" s="771" t="n"/>
      <c r="H5" s="771" t="n"/>
      <c r="I5" s="771" t="n"/>
      <c r="J5" s="771" t="n"/>
      <c r="K5" s="771" t="n"/>
      <c r="L5" s="771" t="n"/>
      <c r="M5" s="771" t="n"/>
      <c r="N5" s="771" t="n"/>
      <c r="O5" s="771" t="n"/>
      <c r="P5" s="771" t="n"/>
      <c r="Q5" s="772" t="n"/>
      <c r="R5" s="770" t="n"/>
      <c r="S5" s="466" t="n"/>
      <c r="T5" s="467" t="n"/>
      <c r="U5" s="466" t="n"/>
      <c r="V5" s="466" t="n"/>
      <c r="W5" s="466" t="n"/>
      <c r="X5" s="468" t="n"/>
      <c r="Y5" s="466" t="n"/>
      <c r="Z5" s="469" t="n"/>
      <c r="AA5" s="469" t="n"/>
      <c r="AB5" s="470" t="n"/>
      <c r="AC5" s="471" t="n"/>
      <c r="AD5" s="472" t="n"/>
      <c r="AE5" s="472" t="n"/>
      <c r="AF5" s="473" t="n"/>
      <c r="AG5" s="791" t="n"/>
      <c r="AH5" s="791" t="n"/>
      <c r="AI5" s="141" t="n"/>
    </row>
    <row r="6" ht="37.5" customFormat="1" customHeight="1" s="793">
      <c r="A6" s="231" t="n">
        <v>1</v>
      </c>
      <c r="B6" s="533" t="n"/>
      <c r="C6" s="561" t="n"/>
      <c r="D6" s="562" t="n"/>
      <c r="E6" s="563" t="n"/>
      <c r="F6" s="564" t="n"/>
      <c r="G6" s="163" t="n"/>
      <c r="H6" s="163" t="n"/>
      <c r="I6" s="163" t="n"/>
      <c r="J6" s="565" t="n"/>
      <c r="K6" s="578" t="n"/>
      <c r="L6" s="422" t="n"/>
      <c r="M6" s="660" t="n"/>
      <c r="N6" s="775" t="n"/>
      <c r="O6" s="707" t="n"/>
      <c r="P6" s="579" t="n"/>
      <c r="Q6" s="586" t="n"/>
      <c r="R6" s="586" t="n"/>
      <c r="S6" s="518" t="n"/>
      <c r="T6" s="594" t="n"/>
      <c r="U6" s="567" t="n"/>
      <c r="V6" s="567" t="n"/>
      <c r="W6" s="317" t="n"/>
      <c r="X6" s="496" t="n"/>
      <c r="Y6" s="310" t="n"/>
      <c r="Z6" s="316" t="n"/>
      <c r="AA6" s="582" t="n"/>
      <c r="AB6" s="311" t="n"/>
      <c r="AC6" s="602" t="n"/>
      <c r="AD6" s="601" t="n"/>
      <c r="AE6" s="584" t="n"/>
      <c r="AF6" s="528" t="n"/>
      <c r="AG6" s="497" t="n"/>
      <c r="AH6" s="497" t="n"/>
      <c r="AI6" s="497" t="n"/>
      <c r="AJ6" s="497" t="n"/>
      <c r="AK6" s="497" t="n"/>
      <c r="AL6" s="497" t="n"/>
      <c r="AM6" s="497" t="n"/>
      <c r="AN6" s="497" t="n"/>
      <c r="AO6" s="497" t="n"/>
      <c r="AP6" s="497" t="n"/>
      <c r="AQ6" s="497" t="n"/>
      <c r="AR6" s="497" t="n"/>
      <c r="AS6" s="497" t="n"/>
      <c r="AT6" s="497" t="n"/>
      <c r="AU6" s="497" t="n"/>
      <c r="AV6" s="497" t="n"/>
      <c r="AW6" s="497" t="n"/>
    </row>
    <row r="7" ht="19.5" customFormat="1" customHeight="1" s="793">
      <c r="A7" s="231">
        <f>+A6+1</f>
        <v/>
      </c>
      <c r="B7" s="533" t="n"/>
      <c r="C7" s="561" t="n"/>
      <c r="D7" s="562" t="n"/>
      <c r="E7" s="563" t="n"/>
      <c r="F7" s="564" t="n"/>
      <c r="G7" s="163" t="n"/>
      <c r="H7" s="163" t="n"/>
      <c r="I7" s="163" t="n"/>
      <c r="J7" s="565" t="n"/>
      <c r="K7" s="421" t="n"/>
      <c r="L7" s="422" t="n"/>
      <c r="M7" s="534" t="n"/>
      <c r="N7" s="164" t="n"/>
      <c r="O7" s="164" t="n"/>
      <c r="P7" s="579" t="n"/>
      <c r="Q7" s="532" t="n"/>
      <c r="R7" s="586" t="n"/>
      <c r="S7" s="419" t="n"/>
      <c r="T7" s="594" t="n"/>
      <c r="U7" s="595" t="n"/>
      <c r="V7" s="596" t="n"/>
      <c r="W7" s="317" t="n"/>
      <c r="X7" s="496" t="n"/>
      <c r="Y7" s="568" t="n"/>
      <c r="Z7" s="316" t="n"/>
      <c r="AA7" s="582" t="n"/>
      <c r="AB7" s="317" t="n"/>
      <c r="AC7" s="315" t="n"/>
      <c r="AD7" s="601" t="n"/>
      <c r="AE7" s="584" t="n"/>
      <c r="AF7" s="528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</row>
    <row r="8" ht="26.4" customFormat="1" customHeight="1" s="793">
      <c r="A8" s="231">
        <f>+A7+1</f>
        <v/>
      </c>
      <c r="B8" s="533" t="n"/>
      <c r="C8" s="561" t="n"/>
      <c r="D8" s="533" t="n"/>
      <c r="E8" s="563" t="n"/>
      <c r="F8" s="564" t="n"/>
      <c r="G8" s="587" t="n"/>
      <c r="H8" s="588" t="n"/>
      <c r="I8" s="163" t="n"/>
      <c r="J8" s="565" t="n"/>
      <c r="K8" s="421" t="n"/>
      <c r="L8" s="422" t="n"/>
      <c r="M8" s="534" t="n"/>
      <c r="N8" s="164" t="n"/>
      <c r="O8" s="164" t="n"/>
      <c r="P8" s="579" t="n"/>
      <c r="Q8" s="532" t="n"/>
      <c r="R8" s="566" t="n"/>
      <c r="S8" s="504" t="n"/>
      <c r="T8" s="576" t="n"/>
      <c r="U8" s="595" t="n"/>
      <c r="V8" s="596" t="n"/>
      <c r="W8" s="503" t="n"/>
      <c r="X8" s="530" t="n"/>
      <c r="Y8" s="599" t="n"/>
      <c r="Z8" s="503" t="n"/>
      <c r="AA8" s="582" t="n"/>
      <c r="AB8" s="505" t="n"/>
      <c r="AC8" s="479" t="n"/>
      <c r="AD8" s="601" t="n"/>
      <c r="AE8" s="584" t="n"/>
      <c r="AF8" s="529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</row>
    <row r="9" ht="29.25" customFormat="1" customHeight="1" s="141">
      <c r="A9" s="231">
        <f>+A8+1</f>
        <v/>
      </c>
      <c r="B9" s="776" t="n"/>
      <c r="C9" s="589" t="n"/>
      <c r="D9" s="590" t="n"/>
      <c r="E9" s="773" t="n"/>
      <c r="F9" s="780" t="n"/>
      <c r="G9" s="587" t="n"/>
      <c r="H9" s="587" t="n"/>
      <c r="I9" s="587" t="n"/>
      <c r="J9" s="591" t="n"/>
      <c r="K9" s="774" t="n"/>
      <c r="L9" s="165" t="n"/>
      <c r="M9" s="531" t="n"/>
      <c r="N9" s="592" t="n"/>
      <c r="O9" s="592" t="n"/>
      <c r="P9" s="778" t="n"/>
      <c r="Q9" s="779" t="n"/>
      <c r="R9" s="583" t="n"/>
      <c r="S9" s="308" t="n"/>
      <c r="T9" s="576" t="n"/>
      <c r="U9" s="595" t="n"/>
      <c r="V9" s="595" t="n"/>
      <c r="W9" s="309" t="n"/>
      <c r="X9" s="310" t="n"/>
      <c r="Y9" s="600" t="n"/>
      <c r="Z9" s="309" t="n"/>
      <c r="AA9" s="582" t="n"/>
      <c r="AB9" s="317" t="n"/>
      <c r="AC9" s="315" t="n"/>
      <c r="AD9" s="601" t="n"/>
      <c r="AE9" s="584" t="n"/>
      <c r="AF9" s="528" t="n"/>
      <c r="AG9" s="252" t="n"/>
      <c r="AH9" s="464" t="n"/>
      <c r="AI9" s="252" t="n"/>
      <c r="AJ9" s="252" t="n"/>
      <c r="AK9" s="252" t="n"/>
      <c r="AL9" s="252" t="n"/>
      <c r="AM9" s="252" t="n"/>
      <c r="AN9" s="252" t="n"/>
      <c r="AO9" s="252" t="n"/>
      <c r="AP9" s="464" t="n"/>
      <c r="AQ9" s="252" t="n"/>
      <c r="AR9" s="464" t="n"/>
      <c r="AS9" s="252" t="n"/>
      <c r="AT9" s="252" t="n"/>
      <c r="AU9" s="252" t="n"/>
      <c r="AV9" s="252" t="n"/>
      <c r="AW9" s="252" t="n"/>
    </row>
    <row r="10" ht="45" customFormat="1" customHeight="1" s="141">
      <c r="A10" s="231">
        <f>+A9+1</f>
        <v/>
      </c>
      <c r="B10" s="777" t="n"/>
      <c r="C10" s="589" t="n"/>
      <c r="D10" s="590" t="n"/>
      <c r="E10" s="709" t="n"/>
      <c r="F10" s="781" t="n"/>
      <c r="G10" s="587" t="n"/>
      <c r="H10" s="587" t="n"/>
      <c r="I10" s="587" t="n"/>
      <c r="J10" s="591" t="n"/>
      <c r="K10" s="709" t="n"/>
      <c r="L10" s="165" t="n"/>
      <c r="M10" s="531" t="n"/>
      <c r="N10" s="592" t="n"/>
      <c r="O10" s="593" t="n"/>
      <c r="P10" s="709" t="n"/>
      <c r="Q10" s="709" t="n"/>
      <c r="R10" s="583" t="n"/>
      <c r="S10" s="308" t="n"/>
      <c r="T10" s="576" t="n"/>
      <c r="U10" s="595" t="n"/>
      <c r="V10" s="595" t="n"/>
      <c r="W10" s="309" t="n"/>
      <c r="X10" s="310" t="n"/>
      <c r="Y10" s="600" t="n"/>
      <c r="Z10" s="309" t="n"/>
      <c r="AA10" s="582" t="n"/>
      <c r="AB10" s="317" t="n"/>
      <c r="AC10" s="315" t="n"/>
      <c r="AD10" s="601" t="n"/>
      <c r="AE10" s="584" t="n"/>
      <c r="AF10" s="528" t="n"/>
      <c r="AG10" s="252" t="n"/>
      <c r="AH10" s="252" t="n"/>
      <c r="AI10" s="252" t="n"/>
      <c r="AJ10" s="252" t="n"/>
      <c r="AK10" s="252" t="n"/>
      <c r="AL10" s="252" t="n"/>
      <c r="AM10" s="252" t="n"/>
      <c r="AN10" s="252" t="n"/>
      <c r="AO10" s="252" t="n"/>
      <c r="AP10" s="252" t="n"/>
      <c r="AQ10" s="252" t="n"/>
      <c r="AR10" s="252" t="n"/>
      <c r="AS10" s="252" t="n"/>
      <c r="AT10" s="252" t="n"/>
      <c r="AU10" s="252" t="n"/>
      <c r="AV10" s="252" t="n"/>
      <c r="AW10" s="252" t="n"/>
    </row>
    <row r="11" ht="23.25" customFormat="1" customHeight="1" s="141">
      <c r="A11" s="231">
        <f>+A10+1</f>
        <v/>
      </c>
      <c r="B11" s="776" t="n"/>
      <c r="C11" s="561" t="n"/>
      <c r="D11" s="590" t="n"/>
      <c r="E11" s="773" t="n"/>
      <c r="F11" s="780" t="n"/>
      <c r="G11" s="163" t="n"/>
      <c r="H11" s="163" t="n"/>
      <c r="I11" s="163" t="n"/>
      <c r="J11" s="565" t="n"/>
      <c r="K11" s="774" t="n"/>
      <c r="L11" s="165" t="n"/>
      <c r="M11" s="531" t="n"/>
      <c r="N11" s="592" t="n"/>
      <c r="O11" s="592" t="n"/>
      <c r="P11" s="778" t="n"/>
      <c r="Q11" s="782" t="n"/>
      <c r="R11" s="583" t="n"/>
      <c r="S11" s="308" t="n"/>
      <c r="T11" s="576" t="n"/>
      <c r="U11" s="597" t="n"/>
      <c r="V11" s="598" t="n"/>
      <c r="W11" s="309" t="n"/>
      <c r="X11" s="310" t="n"/>
      <c r="Y11" s="600" t="n"/>
      <c r="Z11" s="309" t="n"/>
      <c r="AA11" s="582" t="n"/>
      <c r="AB11" s="317" t="n"/>
      <c r="AC11" s="315" t="n"/>
      <c r="AD11" s="601" t="n"/>
      <c r="AE11" s="584" t="n"/>
      <c r="AF11" s="528" t="n"/>
      <c r="AG11" s="252" t="n"/>
      <c r="AH11" s="464" t="n"/>
      <c r="AI11" s="252" t="n"/>
      <c r="AJ11" s="252" t="n"/>
      <c r="AK11" s="252" t="n"/>
      <c r="AL11" s="252" t="n"/>
      <c r="AM11" s="252" t="n"/>
      <c r="AN11" s="252" t="n"/>
      <c r="AO11" s="252" t="n"/>
      <c r="AP11" s="464" t="n"/>
      <c r="AQ11" s="252" t="n"/>
      <c r="AR11" s="464" t="n"/>
      <c r="AS11" s="252" t="n"/>
      <c r="AT11" s="252" t="n"/>
      <c r="AU11" s="252" t="n"/>
      <c r="AV11" s="252" t="n"/>
      <c r="AW11" s="252" t="n"/>
    </row>
    <row r="12" ht="23.25" customFormat="1" customHeight="1" s="141">
      <c r="A12" s="231">
        <f>+A11+1</f>
        <v/>
      </c>
      <c r="B12" s="777" t="n"/>
      <c r="C12" s="561" t="n"/>
      <c r="D12" s="590" t="n"/>
      <c r="E12" s="709" t="n"/>
      <c r="F12" s="781" t="n"/>
      <c r="G12" s="163" t="n"/>
      <c r="H12" s="163" t="n"/>
      <c r="I12" s="163" t="n"/>
      <c r="J12" s="565" t="n"/>
      <c r="K12" s="709" t="n"/>
      <c r="L12" s="165" t="n"/>
      <c r="M12" s="531" t="n"/>
      <c r="N12" s="592" t="n"/>
      <c r="O12" s="592" t="n"/>
      <c r="P12" s="709" t="n"/>
      <c r="Q12" s="709" t="n"/>
      <c r="R12" s="583" t="n"/>
      <c r="S12" s="308" t="n"/>
      <c r="T12" s="576" t="n"/>
      <c r="U12" s="597" t="n"/>
      <c r="W12" s="309" t="n"/>
      <c r="X12" s="310" t="n"/>
      <c r="Y12" s="600" t="n"/>
      <c r="Z12" s="309" t="n"/>
      <c r="AA12" s="582" t="n"/>
      <c r="AB12" s="317" t="n"/>
      <c r="AC12" s="315" t="n"/>
      <c r="AD12" s="601" t="n"/>
      <c r="AE12" s="584" t="n"/>
      <c r="AF12" s="528" t="n"/>
      <c r="AG12" s="252" t="n"/>
      <c r="AH12" s="464" t="n"/>
      <c r="AI12" s="252" t="n"/>
      <c r="AJ12" s="252" t="n"/>
      <c r="AK12" s="252" t="n"/>
      <c r="AL12" s="252" t="n"/>
      <c r="AM12" s="252" t="n"/>
      <c r="AN12" s="252" t="n"/>
      <c r="AO12" s="252" t="n"/>
      <c r="AP12" s="464" t="n"/>
      <c r="AQ12" s="252" t="n"/>
      <c r="AR12" s="464" t="n"/>
      <c r="AS12" s="252" t="n"/>
      <c r="AT12" s="252" t="n"/>
      <c r="AU12" s="252" t="n"/>
      <c r="AV12" s="252" t="n"/>
      <c r="AW12" s="252" t="n"/>
    </row>
    <row r="13" ht="15" customFormat="1" customHeight="1" s="141">
      <c r="A13" s="231">
        <f>+A12+1</f>
        <v/>
      </c>
      <c r="B13" s="776" t="n"/>
      <c r="C13" s="306" t="n"/>
      <c r="D13" s="645" t="n"/>
      <c r="E13" s="773" t="n"/>
      <c r="F13" s="780" t="n"/>
      <c r="G13" s="163" t="n"/>
      <c r="H13" s="163" t="n"/>
      <c r="I13" s="163" t="n"/>
      <c r="J13" s="646" t="n"/>
      <c r="K13" s="774" t="n"/>
      <c r="L13" s="165" t="n"/>
      <c r="M13" s="531" t="n"/>
      <c r="N13" s="164" t="n"/>
      <c r="O13" s="164" t="n"/>
      <c r="P13" s="778" t="n"/>
      <c r="Q13" s="779" t="n"/>
      <c r="R13" s="652" t="n"/>
      <c r="S13" s="308" t="n"/>
      <c r="T13" s="309" t="n"/>
      <c r="U13" s="309" t="n"/>
      <c r="V13" s="653" t="n"/>
      <c r="W13" s="309" t="n"/>
      <c r="X13" s="310" t="n"/>
      <c r="Y13" s="309" t="n"/>
      <c r="Z13" s="309" t="n"/>
      <c r="AA13" s="582" t="n"/>
      <c r="AB13" s="309" t="n"/>
      <c r="AC13" s="315" t="n"/>
      <c r="AD13" s="601" t="n"/>
      <c r="AE13" s="584" t="n"/>
      <c r="AF13" s="528" t="n"/>
      <c r="AG13" s="252" t="n"/>
      <c r="AH13" s="464" t="n"/>
      <c r="AI13" s="252" t="n"/>
      <c r="AJ13" s="252" t="n"/>
      <c r="AK13" s="252" t="n"/>
      <c r="AL13" s="252" t="n"/>
      <c r="AM13" s="252" t="n"/>
      <c r="AN13" s="252" t="n"/>
      <c r="AO13" s="252" t="n"/>
      <c r="AP13" s="464" t="n"/>
      <c r="AQ13" s="252" t="n"/>
      <c r="AR13" s="464" t="n"/>
      <c r="AS13" s="252" t="n"/>
      <c r="AT13" s="252" t="n"/>
      <c r="AU13" s="252" t="n"/>
      <c r="AV13" s="252" t="n"/>
      <c r="AW13" s="252" t="n"/>
    </row>
    <row r="14" ht="15" customFormat="1" customHeight="1" s="141">
      <c r="A14" s="231">
        <f>+A13+1</f>
        <v/>
      </c>
      <c r="B14" s="727" t="n"/>
      <c r="C14" s="306" t="n"/>
      <c r="D14" s="645" t="n"/>
      <c r="E14" s="727" t="n"/>
      <c r="F14" s="783" t="n"/>
      <c r="G14" s="163" t="n"/>
      <c r="H14" s="163" t="n"/>
      <c r="I14" s="163" t="n"/>
      <c r="J14" s="646" t="n"/>
      <c r="K14" s="727" t="n"/>
      <c r="L14" s="165" t="n"/>
      <c r="M14" s="531" t="n"/>
      <c r="N14" s="164" t="n"/>
      <c r="O14" s="164" t="n"/>
      <c r="P14" s="727" t="n"/>
      <c r="Q14" s="727" t="n"/>
      <c r="R14" s="652" t="n"/>
      <c r="S14" s="308" t="n"/>
      <c r="T14" s="309" t="n"/>
      <c r="U14" s="309" t="n"/>
      <c r="V14" s="232" t="n"/>
      <c r="W14" s="309" t="n"/>
      <c r="X14" s="310" t="n"/>
      <c r="Y14" s="309" t="n"/>
      <c r="Z14" s="309" t="n"/>
      <c r="AA14" s="582" t="n"/>
      <c r="AB14" s="309" t="n"/>
      <c r="AC14" s="315" t="n"/>
      <c r="AD14" s="601" t="n"/>
      <c r="AE14" s="584" t="n"/>
      <c r="AF14" s="528" t="n"/>
      <c r="AG14" s="252" t="n"/>
      <c r="AH14" s="464" t="n"/>
      <c r="AI14" s="252" t="n"/>
      <c r="AJ14" s="252" t="n"/>
      <c r="AK14" s="252" t="n"/>
      <c r="AL14" s="252" t="n"/>
      <c r="AM14" s="252" t="n"/>
      <c r="AN14" s="252" t="n"/>
      <c r="AO14" s="252" t="n"/>
      <c r="AP14" s="464" t="n"/>
      <c r="AQ14" s="252" t="n"/>
      <c r="AR14" s="464" t="n"/>
      <c r="AS14" s="252" t="n"/>
      <c r="AT14" s="252" t="n"/>
      <c r="AU14" s="252" t="n"/>
      <c r="AV14" s="252" t="n"/>
      <c r="AW14" s="252" t="n"/>
    </row>
    <row r="15" ht="15" customFormat="1" customHeight="1" s="141">
      <c r="A15" s="231">
        <f>+A14+1</f>
        <v/>
      </c>
      <c r="B15" s="777" t="n"/>
      <c r="C15" s="306" t="n"/>
      <c r="D15" s="645" t="n"/>
      <c r="E15" s="709" t="n"/>
      <c r="F15" s="781" t="n"/>
      <c r="G15" s="163" t="n"/>
      <c r="H15" s="163" t="n"/>
      <c r="I15" s="163" t="n"/>
      <c r="J15" s="646" t="n"/>
      <c r="K15" s="709" t="n"/>
      <c r="L15" s="165" t="n"/>
      <c r="M15" s="531" t="n"/>
      <c r="N15" s="164" t="n"/>
      <c r="O15" s="164" t="n"/>
      <c r="P15" s="709" t="n"/>
      <c r="Q15" s="709" t="n"/>
      <c r="R15" s="652" t="n"/>
      <c r="S15" s="308" t="n"/>
      <c r="T15" s="309" t="n"/>
      <c r="U15" s="309" t="n"/>
      <c r="V15" s="232" t="n"/>
      <c r="W15" s="309" t="n"/>
      <c r="X15" s="310" t="n"/>
      <c r="Y15" s="309" t="n"/>
      <c r="Z15" s="309" t="n"/>
      <c r="AA15" s="582" t="n"/>
      <c r="AB15" s="309" t="n"/>
      <c r="AC15" s="315" t="n"/>
      <c r="AD15" s="601" t="n"/>
      <c r="AE15" s="584" t="n"/>
      <c r="AF15" s="528" t="n"/>
      <c r="AG15" s="252" t="n"/>
      <c r="AH15" s="464" t="n"/>
      <c r="AI15" s="252" t="n"/>
      <c r="AJ15" s="252" t="n"/>
      <c r="AK15" s="252" t="n"/>
      <c r="AL15" s="252" t="n"/>
      <c r="AM15" s="252" t="n"/>
      <c r="AN15" s="252" t="n"/>
      <c r="AO15" s="252" t="n"/>
      <c r="AP15" s="464" t="n"/>
      <c r="AQ15" s="252" t="n"/>
      <c r="AR15" s="464" t="n"/>
      <c r="AS15" s="252" t="n"/>
      <c r="AT15" s="252" t="n"/>
      <c r="AU15" s="252" t="n"/>
      <c r="AV15" s="252" t="n"/>
      <c r="AW15" s="252" t="n"/>
    </row>
    <row r="16" ht="15.75" customFormat="1" customHeight="1" s="141">
      <c r="A16" s="231">
        <f>+A15+1</f>
        <v/>
      </c>
      <c r="B16" s="776" t="n"/>
      <c r="C16" s="647" t="n"/>
      <c r="D16" s="648" t="n"/>
      <c r="E16" s="773" t="n"/>
      <c r="F16" s="784" t="n"/>
      <c r="G16" s="163" t="n"/>
      <c r="H16" s="163" t="n"/>
      <c r="I16" s="163" t="n"/>
      <c r="J16" s="649" t="n"/>
      <c r="K16" s="774" t="n"/>
      <c r="L16" s="165" t="n"/>
      <c r="M16" s="531" t="n"/>
      <c r="N16" s="164" t="n"/>
      <c r="O16" s="164" t="n"/>
      <c r="P16" s="778" t="n"/>
      <c r="Q16" s="782" t="n"/>
      <c r="R16" s="652" t="n"/>
      <c r="S16" s="308" t="n"/>
      <c r="T16" s="309" t="n"/>
      <c r="U16" s="309" t="n"/>
      <c r="V16" s="232" t="n"/>
      <c r="W16" s="309" t="n"/>
      <c r="X16" s="310" t="n"/>
      <c r="Y16" s="309" t="n"/>
      <c r="Z16" s="309" t="n"/>
      <c r="AA16" s="582" t="n"/>
      <c r="AB16" s="309" t="n"/>
      <c r="AC16" s="315" t="n"/>
      <c r="AD16" s="601" t="n"/>
      <c r="AE16" s="584" t="n"/>
      <c r="AF16" s="528" t="n"/>
      <c r="AG16" s="252" t="n"/>
      <c r="AH16" s="464" t="n"/>
      <c r="AI16" s="252" t="n"/>
      <c r="AJ16" s="252" t="n"/>
      <c r="AK16" s="252" t="n"/>
      <c r="AL16" s="252" t="n"/>
      <c r="AM16" s="252" t="n"/>
      <c r="AN16" s="252" t="n"/>
      <c r="AO16" s="252" t="n"/>
      <c r="AP16" s="464" t="n"/>
      <c r="AQ16" s="252" t="n"/>
      <c r="AR16" s="464" t="n"/>
      <c r="AS16" s="252" t="n"/>
      <c r="AT16" s="252" t="n"/>
      <c r="AU16" s="252" t="n"/>
      <c r="AV16" s="252" t="n"/>
      <c r="AW16" s="252" t="n"/>
    </row>
    <row r="17" customFormat="1" s="141">
      <c r="A17" s="231">
        <f>+A16+1</f>
        <v/>
      </c>
      <c r="B17" s="727" t="n"/>
      <c r="C17" s="306" t="n"/>
      <c r="D17" s="648" t="n"/>
      <c r="E17" s="727" t="n"/>
      <c r="F17" s="785" t="n"/>
      <c r="G17" s="163" t="n"/>
      <c r="H17" s="617" t="n"/>
      <c r="I17" s="617" t="n"/>
      <c r="J17" s="646" t="n"/>
      <c r="K17" s="727" t="n"/>
      <c r="L17" s="165" t="n"/>
      <c r="M17" s="531" t="n"/>
      <c r="N17" s="164" t="n"/>
      <c r="O17" s="164" t="n"/>
      <c r="P17" s="727" t="n"/>
      <c r="Q17" s="727" t="n"/>
      <c r="R17" s="652" t="n"/>
      <c r="S17" s="308" t="n"/>
      <c r="T17" s="309" t="n"/>
      <c r="U17" s="309" t="n"/>
      <c r="V17" s="232" t="n"/>
      <c r="W17" s="309" t="n"/>
      <c r="X17" s="310" t="n"/>
      <c r="Y17" s="309" t="n"/>
      <c r="Z17" s="309" t="n"/>
      <c r="AA17" s="582" t="n"/>
      <c r="AB17" s="309" t="n"/>
      <c r="AC17" s="315" t="n"/>
      <c r="AD17" s="601" t="n"/>
      <c r="AE17" s="584" t="n"/>
      <c r="AF17" s="528" t="n"/>
      <c r="AG17" s="252" t="n"/>
      <c r="AH17" s="464" t="n"/>
      <c r="AI17" s="252" t="n"/>
      <c r="AJ17" s="252" t="n"/>
      <c r="AK17" s="252" t="n"/>
      <c r="AL17" s="252" t="n"/>
      <c r="AM17" s="252" t="n"/>
      <c r="AN17" s="252" t="n"/>
      <c r="AO17" s="252" t="n"/>
      <c r="AP17" s="464" t="n"/>
      <c r="AQ17" s="252" t="n"/>
      <c r="AR17" s="464" t="n"/>
      <c r="AS17" s="252" t="n"/>
      <c r="AT17" s="252" t="n"/>
      <c r="AU17" s="252" t="n"/>
      <c r="AV17" s="252" t="n"/>
      <c r="AW17" s="252" t="n"/>
    </row>
    <row r="18" customFormat="1" s="141">
      <c r="A18" s="231">
        <f>+A17+1</f>
        <v/>
      </c>
      <c r="B18" s="727" t="n"/>
      <c r="C18" s="650" t="n"/>
      <c r="D18" s="648" t="n"/>
      <c r="E18" s="727" t="n"/>
      <c r="F18" s="785" t="n"/>
      <c r="G18" s="163" t="n"/>
      <c r="H18" s="651" t="n"/>
      <c r="I18" s="651" t="n"/>
      <c r="J18" s="646" t="n"/>
      <c r="K18" s="727" t="n"/>
      <c r="L18" s="165" t="n"/>
      <c r="M18" s="531" t="n"/>
      <c r="N18" s="164" t="n"/>
      <c r="O18" s="164" t="n"/>
      <c r="P18" s="727" t="n"/>
      <c r="Q18" s="727" t="n"/>
      <c r="R18" s="652" t="n"/>
      <c r="S18" s="308" t="n"/>
      <c r="T18" s="309" t="n"/>
      <c r="U18" s="309" t="n"/>
      <c r="V18" s="232" t="n"/>
      <c r="W18" s="309" t="n"/>
      <c r="X18" s="310" t="n"/>
      <c r="Y18" s="309" t="n"/>
      <c r="Z18" s="309" t="n"/>
      <c r="AA18" s="582" t="n"/>
      <c r="AB18" s="327" t="n"/>
      <c r="AC18" s="315" t="n"/>
      <c r="AD18" s="601" t="n"/>
      <c r="AE18" s="584" t="n"/>
      <c r="AF18" s="528" t="n"/>
      <c r="AH18" s="391" t="n"/>
    </row>
    <row r="19" customFormat="1" s="141">
      <c r="A19" s="231">
        <f>+A18+1</f>
        <v/>
      </c>
      <c r="B19" s="777" t="n"/>
      <c r="C19" s="306" t="n"/>
      <c r="D19" s="648" t="n"/>
      <c r="E19" s="709" t="n"/>
      <c r="F19" s="786" t="n"/>
      <c r="G19" s="163" t="n"/>
      <c r="H19" s="163" t="n"/>
      <c r="I19" s="163" t="n"/>
      <c r="J19" s="646" t="n"/>
      <c r="K19" s="709" t="n"/>
      <c r="L19" s="165" t="n"/>
      <c r="M19" s="531" t="n"/>
      <c r="N19" s="164" t="n"/>
      <c r="O19" s="164" t="n"/>
      <c r="P19" s="709" t="n"/>
      <c r="Q19" s="709" t="n"/>
      <c r="R19" s="652" t="n"/>
      <c r="S19" s="308" t="n"/>
      <c r="T19" s="309" t="n"/>
      <c r="U19" s="309" t="n"/>
      <c r="V19" s="232" t="n"/>
      <c r="W19" s="309" t="n"/>
      <c r="X19" s="310" t="n"/>
      <c r="Y19" s="309" t="n"/>
      <c r="Z19" s="309" t="n"/>
      <c r="AA19" s="582" t="n"/>
      <c r="AB19" s="327" t="n"/>
      <c r="AC19" s="315" t="n"/>
      <c r="AD19" s="601" t="n"/>
      <c r="AE19" s="584" t="n"/>
      <c r="AF19" s="528" t="n"/>
      <c r="AH19" s="391" t="n"/>
    </row>
    <row r="20" customFormat="1" s="141">
      <c r="A20" s="231">
        <f>+A19+1</f>
        <v/>
      </c>
      <c r="B20" s="680" t="n"/>
      <c r="C20" s="306" t="n"/>
      <c r="D20" s="325" t="n"/>
      <c r="E20" s="681" t="n"/>
      <c r="F20" s="459" t="n"/>
      <c r="G20" s="587" t="n"/>
      <c r="H20" s="657" t="n"/>
      <c r="I20" s="163" t="n"/>
      <c r="J20" s="646" t="n"/>
      <c r="K20" s="658" t="n"/>
      <c r="L20" s="165" t="n"/>
      <c r="M20" s="682" t="n"/>
      <c r="N20" s="164" t="n"/>
      <c r="O20" s="775" t="n"/>
      <c r="P20" s="304" t="n"/>
      <c r="Q20" s="683" t="n"/>
      <c r="R20" s="244" t="n"/>
      <c r="S20" s="308" t="n"/>
      <c r="T20" s="309" t="n"/>
      <c r="U20" s="309" t="n"/>
      <c r="V20" s="232" t="n"/>
      <c r="W20" s="309" t="n"/>
      <c r="X20" s="310" t="n"/>
      <c r="Y20" s="309" t="n"/>
      <c r="Z20" s="309" t="n"/>
      <c r="AA20" s="582" t="n"/>
      <c r="AB20" s="327" t="n"/>
      <c r="AC20" s="315" t="n"/>
      <c r="AD20" s="601" t="n"/>
      <c r="AE20" s="584" t="n"/>
      <c r="AF20" s="528" t="n"/>
      <c r="AH20" s="391" t="n"/>
    </row>
    <row r="21" customFormat="1" s="141">
      <c r="A21" s="231">
        <f>+A20+1</f>
        <v/>
      </c>
      <c r="B21" s="461" t="n"/>
      <c r="C21" s="306" t="n"/>
      <c r="D21" s="325" t="n"/>
      <c r="E21" s="329" t="n"/>
      <c r="F21" s="313" t="n"/>
      <c r="G21" s="289" t="n"/>
      <c r="H21" s="269" t="n"/>
      <c r="I21" s="269" t="n"/>
      <c r="J21" s="326" t="n"/>
      <c r="K21" s="318" t="n"/>
      <c r="L21" s="463" t="n"/>
      <c r="M21" s="463" t="n"/>
      <c r="N21" s="307" t="n"/>
      <c r="O21" s="307" t="n"/>
      <c r="P21" s="462" t="n"/>
      <c r="Q21" s="659" t="n"/>
      <c r="R21" s="314" t="n"/>
      <c r="S21" s="308" t="n"/>
      <c r="T21" s="309" t="n"/>
      <c r="U21" s="309" t="n"/>
      <c r="V21" s="309" t="n"/>
      <c r="W21" s="309" t="n"/>
      <c r="X21" s="310" t="n"/>
      <c r="Y21" s="309" t="n"/>
      <c r="Z21" s="309" t="n"/>
      <c r="AA21" s="309" t="n"/>
      <c r="AB21" s="327" t="n"/>
      <c r="AC21" s="315" t="n"/>
      <c r="AD21" s="311" t="n"/>
      <c r="AE21" s="312" t="n"/>
      <c r="AF21" s="528" t="n"/>
      <c r="AH21" s="391" t="n"/>
    </row>
    <row r="22" customFormat="1" s="141">
      <c r="A22" s="231">
        <f>+A21+1</f>
        <v/>
      </c>
      <c r="B22" s="461" t="n"/>
      <c r="C22" s="306" t="n"/>
      <c r="D22" s="325" t="n"/>
      <c r="E22" s="329" t="n"/>
      <c r="F22" s="313" t="n"/>
      <c r="G22" s="289" t="n"/>
      <c r="H22" s="269" t="n"/>
      <c r="I22" s="269" t="n"/>
      <c r="J22" s="326" t="n"/>
      <c r="K22" s="318" t="n"/>
      <c r="L22" s="463" t="n"/>
      <c r="M22" s="463" t="n"/>
      <c r="N22" s="307" t="n"/>
      <c r="O22" s="307" t="n"/>
      <c r="P22" s="462" t="n"/>
      <c r="Q22" s="659" t="n"/>
      <c r="R22" s="314" t="n"/>
      <c r="S22" s="308" t="n"/>
      <c r="T22" s="309" t="n"/>
      <c r="U22" s="309" t="n"/>
      <c r="V22" s="309" t="n"/>
      <c r="W22" s="309" t="n"/>
      <c r="X22" s="310" t="n"/>
      <c r="Y22" s="309" t="n"/>
      <c r="Z22" s="309" t="n"/>
      <c r="AA22" s="309" t="n"/>
      <c r="AB22" s="327" t="n"/>
      <c r="AC22" s="315" t="n"/>
      <c r="AD22" s="311" t="n"/>
      <c r="AE22" s="312" t="n"/>
      <c r="AF22" s="528" t="n"/>
      <c r="AH22" s="391" t="n"/>
    </row>
    <row r="23" customFormat="1" s="141">
      <c r="A23" s="231">
        <f>+A22+1</f>
        <v/>
      </c>
      <c r="B23" s="458" t="n"/>
      <c r="C23" s="306" t="n"/>
      <c r="D23" s="325" t="n"/>
      <c r="E23" s="329" t="n"/>
      <c r="F23" s="459" t="n"/>
      <c r="G23" s="456" t="n"/>
      <c r="H23" s="457" t="n"/>
      <c r="I23" s="457" t="n"/>
      <c r="J23" s="326" t="n"/>
      <c r="K23" s="318" t="n"/>
      <c r="L23" s="244" t="n"/>
      <c r="M23" s="244" t="n"/>
      <c r="N23" s="775" t="n"/>
      <c r="O23" s="775" t="n"/>
      <c r="P23" s="304" t="n"/>
      <c r="Q23" s="305" t="n"/>
      <c r="R23" s="305" t="n"/>
      <c r="S23" s="274" t="n"/>
      <c r="T23" s="232" t="n"/>
      <c r="U23" s="232" t="n"/>
      <c r="V23" s="232" t="n"/>
      <c r="W23" s="232" t="n"/>
      <c r="X23" s="233" t="n"/>
      <c r="Y23" s="232" t="n"/>
      <c r="Z23" s="232" t="n"/>
      <c r="AA23" s="232" t="n"/>
      <c r="AB23" s="330" t="n"/>
      <c r="AC23" s="230" t="n"/>
      <c r="AD23" s="331" t="n"/>
      <c r="AE23" s="441" t="n"/>
      <c r="AF23" s="526" t="n"/>
      <c r="AH23" s="391" t="n"/>
    </row>
    <row r="24" customFormat="1" s="141">
      <c r="A24" s="231">
        <f>+A23+1</f>
        <v/>
      </c>
      <c r="B24" s="458" t="n"/>
      <c r="C24" s="306" t="n"/>
      <c r="D24" s="325" t="n"/>
      <c r="E24" s="329" t="n"/>
      <c r="F24" s="459" t="n"/>
      <c r="G24" s="456" t="n"/>
      <c r="H24" s="457" t="n"/>
      <c r="I24" s="457" t="n"/>
      <c r="J24" s="326" t="n"/>
      <c r="K24" s="318" t="n"/>
      <c r="L24" s="244" t="n"/>
      <c r="M24" s="244" t="n"/>
      <c r="N24" s="775" t="n"/>
      <c r="O24" s="775" t="n"/>
      <c r="P24" s="304" t="n"/>
      <c r="Q24" s="305" t="n"/>
      <c r="R24" s="305" t="n"/>
      <c r="S24" s="274" t="n"/>
      <c r="T24" s="232" t="n"/>
      <c r="U24" s="232" t="n"/>
      <c r="V24" s="232" t="n"/>
      <c r="W24" s="232" t="n"/>
      <c r="X24" s="233" t="n"/>
      <c r="Y24" s="232" t="n"/>
      <c r="Z24" s="232" t="n"/>
      <c r="AA24" s="232" t="n"/>
      <c r="AB24" s="330" t="n"/>
      <c r="AC24" s="230" t="n"/>
      <c r="AD24" s="331" t="n"/>
      <c r="AE24" s="441" t="n"/>
      <c r="AF24" s="526" t="n"/>
      <c r="AH24" s="391" t="n"/>
    </row>
    <row r="25" customFormat="1" s="141">
      <c r="A25" s="231">
        <f>+A24+1</f>
        <v/>
      </c>
      <c r="B25" s="458" t="n"/>
      <c r="C25" s="306" t="n"/>
      <c r="D25" s="325" t="n"/>
      <c r="E25" s="329" t="n"/>
      <c r="F25" s="459" t="n"/>
      <c r="G25" s="456" t="n"/>
      <c r="H25" s="457" t="n"/>
      <c r="I25" s="457" t="n"/>
      <c r="J25" s="326" t="n"/>
      <c r="K25" s="318" t="n"/>
      <c r="L25" s="244" t="n"/>
      <c r="M25" s="244" t="n"/>
      <c r="N25" s="775" t="n"/>
      <c r="O25" s="775" t="n"/>
      <c r="P25" s="304" t="n"/>
      <c r="Q25" s="305" t="n"/>
      <c r="R25" s="305" t="n"/>
      <c r="S25" s="274" t="n"/>
      <c r="T25" s="232" t="n"/>
      <c r="U25" s="232" t="n"/>
      <c r="V25" s="232" t="n"/>
      <c r="W25" s="232" t="n"/>
      <c r="X25" s="233" t="n"/>
      <c r="Y25" s="232" t="n"/>
      <c r="Z25" s="232" t="n"/>
      <c r="AA25" s="232" t="n"/>
      <c r="AB25" s="330" t="n"/>
      <c r="AC25" s="230" t="n"/>
      <c r="AD25" s="331" t="n"/>
      <c r="AE25" s="441" t="n"/>
      <c r="AF25" s="526" t="n"/>
      <c r="AH25" s="391" t="n"/>
    </row>
    <row r="26" customFormat="1" s="141">
      <c r="A26" s="231">
        <f>+A25+1</f>
        <v/>
      </c>
      <c r="B26" s="458" t="n"/>
      <c r="C26" s="306" t="n"/>
      <c r="D26" s="325" t="n"/>
      <c r="E26" s="329" t="n"/>
      <c r="F26" s="459" t="n"/>
      <c r="G26" s="456" t="n"/>
      <c r="H26" s="457" t="n"/>
      <c r="I26" s="457" t="n"/>
      <c r="J26" s="326" t="n"/>
      <c r="K26" s="318" t="n"/>
      <c r="L26" s="244" t="n"/>
      <c r="M26" s="244" t="n"/>
      <c r="N26" s="775" t="n"/>
      <c r="O26" s="775" t="n"/>
      <c r="P26" s="304" t="n"/>
      <c r="Q26" s="305" t="n"/>
      <c r="R26" s="305" t="n"/>
      <c r="S26" s="274" t="n"/>
      <c r="T26" s="232" t="n"/>
      <c r="U26" s="232" t="n"/>
      <c r="V26" s="232" t="n"/>
      <c r="W26" s="232" t="n"/>
      <c r="X26" s="233" t="n"/>
      <c r="Y26" s="232" t="n"/>
      <c r="Z26" s="232" t="n"/>
      <c r="AA26" s="232" t="n"/>
      <c r="AB26" s="330" t="n"/>
      <c r="AC26" s="230" t="n"/>
      <c r="AD26" s="331" t="n"/>
      <c r="AE26" s="441" t="n"/>
      <c r="AF26" s="526" t="n"/>
      <c r="AH26" s="391" t="n"/>
    </row>
    <row r="27" customFormat="1" s="141">
      <c r="A27" s="231">
        <f>+A26+1</f>
        <v/>
      </c>
      <c r="B27" s="458" t="n"/>
      <c r="C27" s="306" t="n"/>
      <c r="D27" s="325" t="n"/>
      <c r="E27" s="329" t="n"/>
      <c r="F27" s="459" t="n"/>
      <c r="G27" s="456" t="n"/>
      <c r="H27" s="457" t="n"/>
      <c r="I27" s="457" t="n"/>
      <c r="J27" s="326" t="n"/>
      <c r="K27" s="318" t="n"/>
      <c r="L27" s="244" t="n"/>
      <c r="M27" s="244" t="n"/>
      <c r="N27" s="775" t="n"/>
      <c r="O27" s="775" t="n"/>
      <c r="P27" s="304" t="n"/>
      <c r="Q27" s="305" t="n"/>
      <c r="R27" s="305" t="n"/>
      <c r="S27" s="274" t="n"/>
      <c r="T27" s="232" t="n"/>
      <c r="U27" s="232" t="n"/>
      <c r="V27" s="232" t="n"/>
      <c r="W27" s="232" t="n"/>
      <c r="X27" s="233" t="n"/>
      <c r="Y27" s="232" t="n"/>
      <c r="Z27" s="232" t="n"/>
      <c r="AA27" s="232" t="n"/>
      <c r="AB27" s="330" t="n"/>
      <c r="AC27" s="230" t="n"/>
      <c r="AD27" s="331" t="n"/>
      <c r="AE27" s="441" t="n"/>
      <c r="AF27" s="526" t="n"/>
      <c r="AH27" s="391" t="n"/>
    </row>
    <row r="28" customFormat="1" s="141">
      <c r="A28" s="231">
        <f>+A27+1</f>
        <v/>
      </c>
      <c r="B28" s="458" t="n"/>
      <c r="C28" s="306" t="n"/>
      <c r="D28" s="325" t="n"/>
      <c r="E28" s="329" t="n"/>
      <c r="F28" s="459" t="n"/>
      <c r="G28" s="456" t="n"/>
      <c r="H28" s="457" t="n"/>
      <c r="I28" s="457" t="n"/>
      <c r="J28" s="326" t="n"/>
      <c r="K28" s="318" t="n"/>
      <c r="L28" s="244" t="n"/>
      <c r="M28" s="244" t="n"/>
      <c r="N28" s="775" t="n"/>
      <c r="O28" s="775" t="n"/>
      <c r="P28" s="304" t="n"/>
      <c r="Q28" s="305" t="n"/>
      <c r="R28" s="305" t="n"/>
      <c r="S28" s="274" t="n"/>
      <c r="T28" s="232" t="n"/>
      <c r="U28" s="232" t="n"/>
      <c r="V28" s="232" t="n"/>
      <c r="W28" s="232" t="n"/>
      <c r="X28" s="233" t="n"/>
      <c r="Y28" s="232" t="n"/>
      <c r="Z28" s="232" t="n"/>
      <c r="AA28" s="232" t="n"/>
      <c r="AB28" s="330" t="n"/>
      <c r="AC28" s="230" t="n"/>
      <c r="AD28" s="331" t="n"/>
      <c r="AE28" s="441" t="n"/>
      <c r="AF28" s="526" t="n"/>
      <c r="AH28" s="391" t="n"/>
    </row>
    <row r="29" customFormat="1" s="141">
      <c r="A29" s="231">
        <f>+A28+1</f>
        <v/>
      </c>
      <c r="B29" s="458" t="n"/>
      <c r="C29" s="306" t="n"/>
      <c r="D29" s="325" t="n"/>
      <c r="E29" s="329" t="n"/>
      <c r="F29" s="459" t="n"/>
      <c r="G29" s="456" t="n"/>
      <c r="H29" s="457" t="n"/>
      <c r="I29" s="457" t="n"/>
      <c r="J29" s="326" t="n"/>
      <c r="K29" s="318" t="n"/>
      <c r="L29" s="244" t="n"/>
      <c r="M29" s="244" t="n"/>
      <c r="N29" s="775" t="n"/>
      <c r="O29" s="775" t="n"/>
      <c r="P29" s="304" t="n"/>
      <c r="Q29" s="305" t="n"/>
      <c r="R29" s="305" t="n"/>
      <c r="S29" s="274" t="n"/>
      <c r="T29" s="232" t="n"/>
      <c r="U29" s="232" t="n"/>
      <c r="V29" s="232" t="n"/>
      <c r="W29" s="232" t="n"/>
      <c r="X29" s="233" t="n"/>
      <c r="Y29" s="232" t="n"/>
      <c r="Z29" s="232" t="n"/>
      <c r="AA29" s="232" t="n"/>
      <c r="AB29" s="330" t="n"/>
      <c r="AC29" s="230" t="n"/>
      <c r="AD29" s="331" t="n"/>
      <c r="AE29" s="441" t="n"/>
      <c r="AF29" s="526" t="n"/>
      <c r="AH29" s="391" t="n"/>
    </row>
    <row r="30" customFormat="1" s="141">
      <c r="A30" s="231">
        <f>+A29+1</f>
        <v/>
      </c>
      <c r="B30" s="458" t="n"/>
      <c r="C30" s="306" t="n"/>
      <c r="D30" s="325" t="n"/>
      <c r="E30" s="329" t="n"/>
      <c r="F30" s="459" t="n"/>
      <c r="G30" s="456" t="n"/>
      <c r="H30" s="457" t="n"/>
      <c r="I30" s="457" t="n"/>
      <c r="J30" s="326" t="n"/>
      <c r="K30" s="318" t="n"/>
      <c r="L30" s="244" t="n"/>
      <c r="M30" s="244" t="n"/>
      <c r="N30" s="775" t="n"/>
      <c r="O30" s="775" t="n"/>
      <c r="P30" s="304" t="n"/>
      <c r="Q30" s="305" t="n"/>
      <c r="R30" s="305" t="n"/>
      <c r="S30" s="274" t="n"/>
      <c r="T30" s="232" t="n"/>
      <c r="U30" s="232" t="n"/>
      <c r="V30" s="232" t="n"/>
      <c r="W30" s="232" t="n"/>
      <c r="X30" s="233" t="n"/>
      <c r="Y30" s="232" t="n"/>
      <c r="Z30" s="232" t="n"/>
      <c r="AA30" s="232" t="n"/>
      <c r="AB30" s="330" t="n"/>
      <c r="AC30" s="230" t="n"/>
      <c r="AD30" s="331" t="n"/>
      <c r="AE30" s="441" t="n"/>
      <c r="AF30" s="526" t="n"/>
      <c r="AH30" s="391" t="n"/>
    </row>
    <row r="31" customFormat="1" s="141">
      <c r="A31" s="231">
        <f>+A30+1</f>
        <v/>
      </c>
      <c r="B31" s="458" t="n"/>
      <c r="C31" s="306" t="n"/>
      <c r="D31" s="325" t="n"/>
      <c r="E31" s="329" t="n"/>
      <c r="F31" s="459" t="n"/>
      <c r="G31" s="456" t="n"/>
      <c r="H31" s="457" t="n"/>
      <c r="I31" s="457" t="n"/>
      <c r="J31" s="326" t="n"/>
      <c r="K31" s="318" t="n"/>
      <c r="L31" s="244" t="n"/>
      <c r="M31" s="244" t="n"/>
      <c r="N31" s="775" t="n"/>
      <c r="O31" s="775" t="n"/>
      <c r="P31" s="304" t="n"/>
      <c r="Q31" s="305" t="n"/>
      <c r="R31" s="305" t="n"/>
      <c r="S31" s="274" t="n"/>
      <c r="T31" s="232" t="n"/>
      <c r="U31" s="232" t="n"/>
      <c r="V31" s="232" t="n"/>
      <c r="W31" s="232" t="n"/>
      <c r="X31" s="233" t="n"/>
      <c r="Y31" s="232" t="n"/>
      <c r="Z31" s="232" t="n"/>
      <c r="AA31" s="232" t="n"/>
      <c r="AB31" s="330" t="n"/>
      <c r="AC31" s="230" t="n"/>
      <c r="AD31" s="331" t="n"/>
      <c r="AE31" s="441" t="n"/>
      <c r="AF31" s="526" t="n"/>
      <c r="AH31" s="391" t="n"/>
    </row>
    <row r="32" customFormat="1" s="141">
      <c r="A32" s="231">
        <f>+A31+1</f>
        <v/>
      </c>
      <c r="B32" s="458" t="n"/>
      <c r="C32" s="306" t="n"/>
      <c r="D32" s="325" t="n"/>
      <c r="E32" s="329" t="n"/>
      <c r="F32" s="459" t="n"/>
      <c r="G32" s="456" t="n"/>
      <c r="H32" s="457" t="n"/>
      <c r="I32" s="457" t="n"/>
      <c r="J32" s="326" t="n"/>
      <c r="K32" s="318" t="n"/>
      <c r="L32" s="244" t="n"/>
      <c r="M32" s="244" t="n"/>
      <c r="N32" s="775" t="n"/>
      <c r="O32" s="775" t="n"/>
      <c r="P32" s="304" t="n"/>
      <c r="Q32" s="305" t="n"/>
      <c r="R32" s="305" t="n"/>
      <c r="S32" s="274" t="n"/>
      <c r="T32" s="232" t="n"/>
      <c r="U32" s="232" t="n"/>
      <c r="V32" s="232" t="n"/>
      <c r="W32" s="232" t="n"/>
      <c r="X32" s="233" t="n"/>
      <c r="Y32" s="232" t="n"/>
      <c r="Z32" s="232" t="n"/>
      <c r="AA32" s="232" t="n"/>
      <c r="AB32" s="330" t="n"/>
      <c r="AC32" s="230" t="n"/>
      <c r="AD32" s="331" t="n"/>
      <c r="AE32" s="441" t="n"/>
      <c r="AF32" s="526" t="n"/>
      <c r="AH32" s="391" t="n"/>
    </row>
    <row r="33" customFormat="1" s="141">
      <c r="A33" s="231">
        <f>+A32+1</f>
        <v/>
      </c>
      <c r="B33" s="458" t="n"/>
      <c r="C33" s="306" t="n"/>
      <c r="D33" s="325" t="n"/>
      <c r="E33" s="329" t="n"/>
      <c r="F33" s="459" t="n"/>
      <c r="G33" s="456" t="n"/>
      <c r="H33" s="457" t="n"/>
      <c r="I33" s="457" t="n"/>
      <c r="J33" s="326" t="n"/>
      <c r="K33" s="318" t="n"/>
      <c r="L33" s="244" t="n"/>
      <c r="M33" s="244" t="n"/>
      <c r="N33" s="775" t="n"/>
      <c r="O33" s="775" t="n"/>
      <c r="P33" s="304" t="n"/>
      <c r="Q33" s="305" t="n"/>
      <c r="R33" s="305" t="n"/>
      <c r="S33" s="274" t="n"/>
      <c r="T33" s="232" t="n"/>
      <c r="U33" s="232" t="n"/>
      <c r="V33" s="232" t="n"/>
      <c r="W33" s="232" t="n"/>
      <c r="X33" s="233" t="n"/>
      <c r="Y33" s="232" t="n"/>
      <c r="Z33" s="232" t="n"/>
      <c r="AA33" s="232" t="n"/>
      <c r="AB33" s="330" t="n"/>
      <c r="AC33" s="230" t="n"/>
      <c r="AD33" s="331" t="n"/>
      <c r="AE33" s="441" t="n"/>
      <c r="AF33" s="526" t="n"/>
      <c r="AH33" s="391" t="n"/>
    </row>
    <row r="34" customFormat="1" s="141">
      <c r="A34" s="231">
        <f>+A33+1</f>
        <v/>
      </c>
      <c r="B34" s="458" t="n"/>
      <c r="C34" s="306" t="n"/>
      <c r="D34" s="325" t="n"/>
      <c r="E34" s="329" t="n"/>
      <c r="F34" s="459" t="n"/>
      <c r="G34" s="456" t="n"/>
      <c r="H34" s="457" t="n"/>
      <c r="I34" s="457" t="n"/>
      <c r="J34" s="326" t="n"/>
      <c r="K34" s="318" t="n"/>
      <c r="L34" s="244" t="n"/>
      <c r="M34" s="244" t="n"/>
      <c r="N34" s="775" t="n"/>
      <c r="O34" s="775" t="n"/>
      <c r="P34" s="304" t="n"/>
      <c r="Q34" s="305" t="n"/>
      <c r="R34" s="305" t="n"/>
      <c r="S34" s="274" t="n"/>
      <c r="T34" s="232" t="n"/>
      <c r="U34" s="232" t="n"/>
      <c r="V34" s="232" t="n"/>
      <c r="W34" s="232" t="n"/>
      <c r="X34" s="233" t="n"/>
      <c r="Y34" s="232" t="n"/>
      <c r="Z34" s="232" t="n"/>
      <c r="AA34" s="232" t="n"/>
      <c r="AB34" s="330" t="n"/>
      <c r="AC34" s="230" t="n"/>
      <c r="AD34" s="331" t="n"/>
      <c r="AE34" s="441" t="n"/>
      <c r="AF34" s="526" t="n"/>
      <c r="AH34" s="391" t="n"/>
    </row>
    <row r="35" customFormat="1" s="141">
      <c r="A35" s="231">
        <f>+A34+1</f>
        <v/>
      </c>
      <c r="B35" s="458" t="n"/>
      <c r="C35" s="306" t="n"/>
      <c r="D35" s="325" t="n"/>
      <c r="E35" s="329" t="n"/>
      <c r="F35" s="459" t="n"/>
      <c r="G35" s="456" t="n"/>
      <c r="H35" s="457" t="n"/>
      <c r="I35" s="457" t="n"/>
      <c r="J35" s="326" t="n"/>
      <c r="K35" s="318" t="n"/>
      <c r="L35" s="244" t="n"/>
      <c r="M35" s="244" t="n"/>
      <c r="N35" s="775" t="n"/>
      <c r="O35" s="775" t="n"/>
      <c r="P35" s="304" t="n"/>
      <c r="Q35" s="305" t="n"/>
      <c r="R35" s="305" t="n"/>
      <c r="S35" s="274" t="n"/>
      <c r="T35" s="232" t="n"/>
      <c r="U35" s="232" t="n"/>
      <c r="V35" s="232" t="n"/>
      <c r="W35" s="232" t="n"/>
      <c r="X35" s="233" t="n"/>
      <c r="Y35" s="232" t="n"/>
      <c r="Z35" s="232" t="n"/>
      <c r="AA35" s="232" t="n"/>
      <c r="AB35" s="330" t="n"/>
      <c r="AC35" s="230" t="n"/>
      <c r="AD35" s="331" t="n"/>
      <c r="AE35" s="441" t="n"/>
      <c r="AF35" s="526" t="n"/>
      <c r="AH35" s="391" t="n"/>
    </row>
    <row r="36" customFormat="1" s="141">
      <c r="A36" s="231">
        <f>+A35+1</f>
        <v/>
      </c>
      <c r="B36" s="458" t="n"/>
      <c r="C36" s="306" t="n"/>
      <c r="D36" s="325" t="n"/>
      <c r="E36" s="329" t="n"/>
      <c r="F36" s="459" t="n"/>
      <c r="G36" s="456" t="n"/>
      <c r="H36" s="457" t="n"/>
      <c r="I36" s="457" t="n"/>
      <c r="J36" s="326" t="n"/>
      <c r="K36" s="318" t="n"/>
      <c r="L36" s="244" t="n"/>
      <c r="M36" s="244" t="n"/>
      <c r="N36" s="775" t="n"/>
      <c r="O36" s="775" t="n"/>
      <c r="P36" s="304" t="n"/>
      <c r="Q36" s="305" t="n"/>
      <c r="R36" s="305" t="n"/>
      <c r="S36" s="274" t="n"/>
      <c r="T36" s="232" t="n"/>
      <c r="U36" s="232" t="n"/>
      <c r="V36" s="232" t="n"/>
      <c r="W36" s="232" t="n"/>
      <c r="X36" s="233" t="n"/>
      <c r="Y36" s="232" t="n"/>
      <c r="Z36" s="232" t="n"/>
      <c r="AA36" s="232" t="n"/>
      <c r="AB36" s="330" t="n"/>
      <c r="AC36" s="230" t="n"/>
      <c r="AD36" s="331" t="n"/>
      <c r="AE36" s="441" t="n"/>
      <c r="AF36" s="526" t="n"/>
      <c r="AH36" s="391" t="n"/>
    </row>
    <row r="37" customFormat="1" s="141">
      <c r="A37" s="231">
        <f>+A36+1</f>
        <v/>
      </c>
      <c r="B37" s="458" t="n"/>
      <c r="C37" s="306" t="n"/>
      <c r="D37" s="325" t="n"/>
      <c r="E37" s="329" t="n"/>
      <c r="F37" s="459" t="n"/>
      <c r="G37" s="456" t="n"/>
      <c r="H37" s="457" t="n"/>
      <c r="I37" s="457" t="n"/>
      <c r="J37" s="326" t="n"/>
      <c r="K37" s="318" t="n"/>
      <c r="L37" s="244" t="n"/>
      <c r="M37" s="244" t="n"/>
      <c r="N37" s="775" t="n"/>
      <c r="O37" s="775" t="n"/>
      <c r="P37" s="304" t="n"/>
      <c r="Q37" s="305" t="n"/>
      <c r="R37" s="305" t="n"/>
      <c r="S37" s="274" t="n"/>
      <c r="T37" s="232" t="n"/>
      <c r="U37" s="232" t="n"/>
      <c r="V37" s="232" t="n"/>
      <c r="W37" s="232" t="n"/>
      <c r="X37" s="233" t="n"/>
      <c r="Y37" s="232" t="n"/>
      <c r="Z37" s="232" t="n"/>
      <c r="AA37" s="232" t="n"/>
      <c r="AB37" s="330" t="n"/>
      <c r="AC37" s="230" t="n"/>
      <c r="AD37" s="331" t="n"/>
      <c r="AE37" s="441" t="n"/>
      <c r="AF37" s="526" t="n"/>
      <c r="AH37" s="391" t="n"/>
    </row>
    <row r="38" customFormat="1" s="141">
      <c r="A38" s="231">
        <f>+A37+1</f>
        <v/>
      </c>
      <c r="B38" s="458" t="n"/>
      <c r="C38" s="306" t="n"/>
      <c r="D38" s="325" t="n"/>
      <c r="E38" s="329" t="n"/>
      <c r="F38" s="459" t="n"/>
      <c r="G38" s="456" t="n"/>
      <c r="H38" s="457" t="n"/>
      <c r="I38" s="457" t="n"/>
      <c r="J38" s="326" t="n"/>
      <c r="K38" s="318" t="n"/>
      <c r="L38" s="244" t="n"/>
      <c r="M38" s="244" t="n"/>
      <c r="N38" s="775" t="n"/>
      <c r="O38" s="775" t="n"/>
      <c r="P38" s="304" t="n"/>
      <c r="Q38" s="305" t="n"/>
      <c r="R38" s="305" t="n"/>
      <c r="S38" s="274" t="n"/>
      <c r="T38" s="232" t="n"/>
      <c r="U38" s="232" t="n"/>
      <c r="V38" s="232" t="n"/>
      <c r="W38" s="232" t="n"/>
      <c r="X38" s="233" t="n"/>
      <c r="Y38" s="232" t="n"/>
      <c r="Z38" s="232" t="n"/>
      <c r="AA38" s="232" t="n"/>
      <c r="AB38" s="330" t="n"/>
      <c r="AC38" s="230" t="n"/>
      <c r="AD38" s="331" t="n"/>
      <c r="AE38" s="441" t="n"/>
      <c r="AF38" s="526" t="n"/>
      <c r="AH38" s="391" t="n"/>
    </row>
    <row r="39" customFormat="1" s="141">
      <c r="A39" s="231">
        <f>+A38+1</f>
        <v/>
      </c>
      <c r="B39" s="458" t="n"/>
      <c r="C39" s="306" t="n"/>
      <c r="D39" s="325" t="n"/>
      <c r="E39" s="329" t="n"/>
      <c r="F39" s="459" t="n"/>
      <c r="G39" s="456" t="n"/>
      <c r="H39" s="457" t="n"/>
      <c r="I39" s="457" t="n"/>
      <c r="J39" s="326" t="n"/>
      <c r="K39" s="318" t="n"/>
      <c r="L39" s="244" t="n"/>
      <c r="M39" s="244" t="n"/>
      <c r="N39" s="775" t="n"/>
      <c r="O39" s="775" t="n"/>
      <c r="P39" s="304" t="n"/>
      <c r="Q39" s="305" t="n"/>
      <c r="R39" s="305" t="n"/>
      <c r="S39" s="274" t="n"/>
      <c r="T39" s="232" t="n"/>
      <c r="U39" s="232" t="n"/>
      <c r="V39" s="232" t="n"/>
      <c r="W39" s="232" t="n"/>
      <c r="X39" s="233" t="n"/>
      <c r="Y39" s="232" t="n"/>
      <c r="Z39" s="232" t="n"/>
      <c r="AA39" s="232" t="n"/>
      <c r="AB39" s="330" t="n"/>
      <c r="AC39" s="230" t="n"/>
      <c r="AD39" s="331" t="n"/>
      <c r="AE39" s="441" t="n"/>
      <c r="AF39" s="526" t="n"/>
      <c r="AH39" s="391" t="n"/>
    </row>
    <row r="40" customFormat="1" s="141">
      <c r="A40" s="231">
        <f>+A39+1</f>
        <v/>
      </c>
      <c r="B40" s="458" t="n"/>
      <c r="C40" s="306" t="n"/>
      <c r="D40" s="325" t="n"/>
      <c r="E40" s="329" t="n"/>
      <c r="F40" s="459" t="n"/>
      <c r="G40" s="456" t="n"/>
      <c r="H40" s="457" t="n"/>
      <c r="I40" s="457" t="n"/>
      <c r="J40" s="326" t="n"/>
      <c r="K40" s="318" t="n"/>
      <c r="L40" s="244" t="n"/>
      <c r="M40" s="244" t="n"/>
      <c r="N40" s="775" t="n"/>
      <c r="O40" s="775" t="n"/>
      <c r="P40" s="304" t="n"/>
      <c r="Q40" s="305" t="n"/>
      <c r="R40" s="305" t="n"/>
      <c r="S40" s="274" t="n"/>
      <c r="T40" s="232" t="n"/>
      <c r="U40" s="232" t="n"/>
      <c r="V40" s="232" t="n"/>
      <c r="W40" s="232" t="n"/>
      <c r="X40" s="233" t="n"/>
      <c r="Y40" s="232" t="n"/>
      <c r="Z40" s="232" t="n"/>
      <c r="AA40" s="232" t="n"/>
      <c r="AB40" s="330" t="n"/>
      <c r="AC40" s="230" t="n"/>
      <c r="AD40" s="331" t="n"/>
      <c r="AE40" s="441" t="n"/>
      <c r="AF40" s="526" t="n"/>
      <c r="AH40" s="391" t="n"/>
    </row>
    <row r="41" customFormat="1" s="141">
      <c r="A41" s="231">
        <f>+A40+1</f>
        <v/>
      </c>
      <c r="B41" s="458" t="n"/>
      <c r="C41" s="306" t="n"/>
      <c r="D41" s="325" t="n"/>
      <c r="E41" s="329" t="n"/>
      <c r="F41" s="459" t="n"/>
      <c r="G41" s="456" t="n"/>
      <c r="H41" s="457" t="n"/>
      <c r="I41" s="457" t="n"/>
      <c r="J41" s="326" t="n"/>
      <c r="K41" s="318" t="n"/>
      <c r="L41" s="244" t="n"/>
      <c r="M41" s="244" t="n"/>
      <c r="N41" s="775" t="n"/>
      <c r="O41" s="775" t="n"/>
      <c r="P41" s="304" t="n"/>
      <c r="Q41" s="305" t="n"/>
      <c r="R41" s="305" t="n"/>
      <c r="S41" s="274" t="n"/>
      <c r="T41" s="232" t="n"/>
      <c r="U41" s="232" t="n"/>
      <c r="V41" s="232" t="n"/>
      <c r="W41" s="232" t="n"/>
      <c r="X41" s="233" t="n"/>
      <c r="Y41" s="232" t="n"/>
      <c r="Z41" s="232" t="n"/>
      <c r="AA41" s="232" t="n"/>
      <c r="AB41" s="330" t="n"/>
      <c r="AC41" s="230" t="n"/>
      <c r="AD41" s="331" t="n"/>
      <c r="AE41" s="441" t="n"/>
      <c r="AF41" s="526" t="n"/>
      <c r="AH41" s="391" t="n"/>
    </row>
    <row r="42" customFormat="1" s="141">
      <c r="A42" s="231">
        <f>+A41+1</f>
        <v/>
      </c>
      <c r="B42" s="458" t="n"/>
      <c r="C42" s="306" t="n"/>
      <c r="D42" s="325" t="n"/>
      <c r="E42" s="329" t="n"/>
      <c r="F42" s="459" t="n"/>
      <c r="G42" s="456" t="n"/>
      <c r="H42" s="457" t="n"/>
      <c r="I42" s="457" t="n"/>
      <c r="J42" s="326" t="n"/>
      <c r="K42" s="318" t="n"/>
      <c r="L42" s="244" t="n"/>
      <c r="M42" s="244" t="n"/>
      <c r="N42" s="775" t="n"/>
      <c r="O42" s="775" t="n"/>
      <c r="P42" s="304" t="n"/>
      <c r="Q42" s="305" t="n"/>
      <c r="R42" s="305" t="n"/>
      <c r="S42" s="274" t="n"/>
      <c r="T42" s="232" t="n"/>
      <c r="U42" s="232" t="n"/>
      <c r="V42" s="232" t="n"/>
      <c r="W42" s="232" t="n"/>
      <c r="X42" s="233" t="n"/>
      <c r="Y42" s="232" t="n"/>
      <c r="Z42" s="232" t="n"/>
      <c r="AA42" s="232" t="n"/>
      <c r="AB42" s="330" t="n"/>
      <c r="AC42" s="230" t="n"/>
      <c r="AD42" s="331" t="n"/>
      <c r="AE42" s="441" t="n"/>
      <c r="AF42" s="526" t="n"/>
      <c r="AH42" s="391" t="n"/>
    </row>
    <row r="43" customFormat="1" s="141">
      <c r="A43" s="231">
        <f>+A42+1</f>
        <v/>
      </c>
      <c r="B43" s="458" t="n"/>
      <c r="C43" s="306" t="n"/>
      <c r="D43" s="325" t="n"/>
      <c r="E43" s="329" t="n"/>
      <c r="F43" s="459" t="n"/>
      <c r="G43" s="456" t="n"/>
      <c r="H43" s="457" t="n"/>
      <c r="I43" s="457" t="n"/>
      <c r="J43" s="326" t="n"/>
      <c r="K43" s="318" t="n"/>
      <c r="L43" s="244" t="n"/>
      <c r="M43" s="244" t="n"/>
      <c r="N43" s="775" t="n"/>
      <c r="O43" s="775" t="n"/>
      <c r="P43" s="304" t="n"/>
      <c r="Q43" s="305" t="n"/>
      <c r="R43" s="305" t="n"/>
      <c r="S43" s="274" t="n"/>
      <c r="T43" s="232" t="n"/>
      <c r="U43" s="232" t="n"/>
      <c r="V43" s="232" t="n"/>
      <c r="W43" s="232" t="n"/>
      <c r="X43" s="233" t="n"/>
      <c r="Y43" s="232" t="n"/>
      <c r="Z43" s="232" t="n"/>
      <c r="AA43" s="232" t="n"/>
      <c r="AB43" s="330" t="n"/>
      <c r="AC43" s="230" t="n"/>
      <c r="AD43" s="331" t="n"/>
      <c r="AE43" s="441" t="n"/>
      <c r="AF43" s="526" t="n"/>
      <c r="AH43" s="391" t="n"/>
    </row>
    <row r="44" customFormat="1" s="141">
      <c r="A44" s="231">
        <f>+A43+1</f>
        <v/>
      </c>
      <c r="B44" s="458" t="n"/>
      <c r="C44" s="306" t="n"/>
      <c r="D44" s="325" t="n"/>
      <c r="E44" s="329" t="n"/>
      <c r="F44" s="459" t="n"/>
      <c r="G44" s="456" t="n"/>
      <c r="H44" s="457" t="n"/>
      <c r="I44" s="457" t="n"/>
      <c r="J44" s="326" t="n"/>
      <c r="K44" s="318" t="n"/>
      <c r="L44" s="244" t="n"/>
      <c r="M44" s="244" t="n"/>
      <c r="N44" s="775" t="n"/>
      <c r="O44" s="775" t="n"/>
      <c r="P44" s="304" t="n"/>
      <c r="Q44" s="305" t="n"/>
      <c r="R44" s="305" t="n"/>
      <c r="S44" s="274" t="n"/>
      <c r="T44" s="232" t="n"/>
      <c r="U44" s="232" t="n"/>
      <c r="V44" s="232" t="n"/>
      <c r="W44" s="232" t="n"/>
      <c r="X44" s="233" t="n"/>
      <c r="Y44" s="232" t="n"/>
      <c r="Z44" s="232" t="n"/>
      <c r="AA44" s="232" t="n"/>
      <c r="AB44" s="330" t="n"/>
      <c r="AC44" s="230" t="n"/>
      <c r="AD44" s="331" t="n"/>
      <c r="AE44" s="441" t="n"/>
      <c r="AF44" s="526" t="n"/>
      <c r="AH44" s="391" t="n"/>
    </row>
    <row r="45" customFormat="1" s="141">
      <c r="A45" s="231">
        <f>+A44+1</f>
        <v/>
      </c>
      <c r="B45" s="458" t="n"/>
      <c r="C45" s="306" t="n"/>
      <c r="D45" s="325" t="n"/>
      <c r="E45" s="329" t="n"/>
      <c r="F45" s="459" t="n"/>
      <c r="G45" s="456" t="n"/>
      <c r="H45" s="457" t="n"/>
      <c r="I45" s="457" t="n"/>
      <c r="J45" s="326" t="n"/>
      <c r="K45" s="318" t="n"/>
      <c r="L45" s="244" t="n"/>
      <c r="M45" s="244" t="n"/>
      <c r="N45" s="775" t="n"/>
      <c r="O45" s="775" t="n"/>
      <c r="P45" s="304" t="n"/>
      <c r="Q45" s="305" t="n"/>
      <c r="R45" s="305" t="n"/>
      <c r="S45" s="274" t="n"/>
      <c r="T45" s="232" t="n"/>
      <c r="U45" s="232" t="n"/>
      <c r="V45" s="232" t="n"/>
      <c r="W45" s="232" t="n"/>
      <c r="X45" s="233" t="n"/>
      <c r="Y45" s="232" t="n"/>
      <c r="Z45" s="232" t="n"/>
      <c r="AA45" s="232" t="n"/>
      <c r="AB45" s="330" t="n"/>
      <c r="AC45" s="230" t="n"/>
      <c r="AD45" s="331" t="n"/>
      <c r="AE45" s="441" t="n"/>
      <c r="AF45" s="526" t="n"/>
      <c r="AH45" s="391" t="n"/>
    </row>
    <row r="46" customFormat="1" s="141">
      <c r="A46" s="231">
        <f>+A45+1</f>
        <v/>
      </c>
      <c r="B46" s="458" t="n"/>
      <c r="C46" s="306" t="n"/>
      <c r="D46" s="325" t="n"/>
      <c r="E46" s="329" t="n"/>
      <c r="F46" s="459" t="n"/>
      <c r="G46" s="456" t="n"/>
      <c r="H46" s="457" t="n"/>
      <c r="I46" s="457" t="n"/>
      <c r="J46" s="326" t="n"/>
      <c r="K46" s="318" t="n"/>
      <c r="L46" s="244" t="n"/>
      <c r="M46" s="244" t="n"/>
      <c r="N46" s="775" t="n"/>
      <c r="O46" s="775" t="n"/>
      <c r="P46" s="304" t="n"/>
      <c r="Q46" s="305" t="n"/>
      <c r="R46" s="305" t="n"/>
      <c r="S46" s="274" t="n"/>
      <c r="T46" s="232" t="n"/>
      <c r="U46" s="232" t="n"/>
      <c r="V46" s="232" t="n"/>
      <c r="W46" s="232" t="n"/>
      <c r="X46" s="233" t="n"/>
      <c r="Y46" s="232" t="n"/>
      <c r="Z46" s="232" t="n"/>
      <c r="AA46" s="232" t="n"/>
      <c r="AB46" s="330" t="n"/>
      <c r="AC46" s="230" t="n"/>
      <c r="AD46" s="331" t="n"/>
      <c r="AE46" s="441" t="n"/>
      <c r="AF46" s="526" t="n"/>
      <c r="AH46" s="391" t="n"/>
    </row>
    <row r="47" customFormat="1" s="141">
      <c r="A47" s="231">
        <f>+A46+1</f>
        <v/>
      </c>
      <c r="B47" s="458" t="n"/>
      <c r="C47" s="306" t="n"/>
      <c r="D47" s="325" t="n"/>
      <c r="E47" s="329" t="n"/>
      <c r="F47" s="459" t="n"/>
      <c r="G47" s="456" t="n"/>
      <c r="H47" s="457" t="n"/>
      <c r="I47" s="457" t="n"/>
      <c r="J47" s="326" t="n"/>
      <c r="K47" s="318" t="n"/>
      <c r="L47" s="244" t="n"/>
      <c r="M47" s="244" t="n"/>
      <c r="N47" s="775" t="n"/>
      <c r="O47" s="775" t="n"/>
      <c r="P47" s="304" t="n"/>
      <c r="Q47" s="305" t="n"/>
      <c r="R47" s="305" t="n"/>
      <c r="S47" s="274" t="n"/>
      <c r="T47" s="232" t="n"/>
      <c r="U47" s="232" t="n"/>
      <c r="V47" s="232" t="n"/>
      <c r="W47" s="232" t="n"/>
      <c r="X47" s="233" t="n"/>
      <c r="Y47" s="232" t="n"/>
      <c r="Z47" s="232" t="n"/>
      <c r="AA47" s="232" t="n"/>
      <c r="AB47" s="330" t="n"/>
      <c r="AC47" s="230" t="n"/>
      <c r="AD47" s="331" t="n"/>
      <c r="AE47" s="441" t="n"/>
      <c r="AF47" s="526" t="n"/>
      <c r="AH47" s="391" t="n"/>
    </row>
    <row r="48" customFormat="1" s="141">
      <c r="A48" s="231">
        <f>+A47+1</f>
        <v/>
      </c>
      <c r="B48" s="458" t="n"/>
      <c r="C48" s="306" t="n"/>
      <c r="D48" s="325" t="n"/>
      <c r="E48" s="329" t="n"/>
      <c r="F48" s="459" t="n"/>
      <c r="G48" s="456" t="n"/>
      <c r="H48" s="457" t="n"/>
      <c r="I48" s="457" t="n"/>
      <c r="J48" s="326" t="n"/>
      <c r="K48" s="318" t="n"/>
      <c r="L48" s="244" t="n"/>
      <c r="M48" s="244" t="n"/>
      <c r="N48" s="775" t="n"/>
      <c r="O48" s="775" t="n"/>
      <c r="P48" s="304" t="n"/>
      <c r="Q48" s="305" t="n"/>
      <c r="R48" s="305" t="n"/>
      <c r="S48" s="274" t="n"/>
      <c r="T48" s="232" t="n"/>
      <c r="U48" s="232" t="n"/>
      <c r="V48" s="232" t="n"/>
      <c r="W48" s="232" t="n"/>
      <c r="X48" s="233" t="n"/>
      <c r="Y48" s="232" t="n"/>
      <c r="Z48" s="232" t="n"/>
      <c r="AA48" s="232" t="n"/>
      <c r="AB48" s="330" t="n"/>
      <c r="AC48" s="230" t="n"/>
      <c r="AD48" s="331" t="n"/>
      <c r="AE48" s="441" t="n"/>
      <c r="AF48" s="526" t="n"/>
      <c r="AH48" s="391" t="n"/>
    </row>
    <row r="49" customFormat="1" s="141">
      <c r="A49" s="231">
        <f>+A48+1</f>
        <v/>
      </c>
      <c r="B49" s="460" t="n"/>
      <c r="C49" s="306" t="n"/>
      <c r="D49" s="325" t="n"/>
      <c r="E49" s="329" t="n"/>
      <c r="F49" s="459" t="n"/>
      <c r="G49" s="456" t="n"/>
      <c r="H49" s="457" t="n"/>
      <c r="I49" s="457" t="n"/>
      <c r="J49" s="326" t="n"/>
      <c r="K49" s="318" t="n"/>
      <c r="L49" s="244" t="n"/>
      <c r="M49" s="244" t="n"/>
      <c r="N49" s="775" t="n"/>
      <c r="O49" s="775" t="n"/>
      <c r="P49" s="304" t="n"/>
      <c r="Q49" s="305" t="n"/>
      <c r="R49" s="305" t="n"/>
      <c r="S49" s="274" t="n"/>
      <c r="T49" s="232" t="n"/>
      <c r="U49" s="232" t="n"/>
      <c r="V49" s="232" t="n"/>
      <c r="W49" s="232" t="n"/>
      <c r="X49" s="233" t="n"/>
      <c r="Y49" s="232" t="n"/>
      <c r="Z49" s="232" t="n"/>
      <c r="AA49" s="232" t="n"/>
      <c r="AB49" s="330" t="n"/>
      <c r="AC49" s="230" t="n"/>
      <c r="AD49" s="331" t="n"/>
      <c r="AE49" s="441" t="n"/>
      <c r="AF49" s="526" t="n"/>
      <c r="AH49" s="391" t="n"/>
    </row>
    <row r="50" customFormat="1" s="141">
      <c r="A50" s="251">
        <f>+A49+1</f>
        <v/>
      </c>
      <c r="B50" s="460" t="n"/>
      <c r="C50" s="306" t="n"/>
      <c r="D50" s="325" t="n"/>
      <c r="E50" s="329" t="n"/>
      <c r="F50" s="459" t="n"/>
      <c r="G50" s="456" t="n"/>
      <c r="H50" s="457" t="n"/>
      <c r="I50" s="457" t="n"/>
      <c r="J50" s="326" t="n"/>
      <c r="K50" s="318" t="n"/>
      <c r="L50" s="244" t="n"/>
      <c r="M50" s="244" t="n"/>
      <c r="N50" s="775" t="n"/>
      <c r="O50" s="775" t="n"/>
      <c r="P50" s="304" t="n"/>
      <c r="Q50" s="305" t="n"/>
      <c r="R50" s="305" t="n"/>
      <c r="S50" s="274" t="n"/>
      <c r="T50" s="232" t="n"/>
      <c r="U50" s="232" t="n"/>
      <c r="V50" s="232" t="n"/>
      <c r="W50" s="232" t="n"/>
      <c r="X50" s="233" t="n"/>
      <c r="Y50" s="232" t="n"/>
      <c r="Z50" s="232" t="n"/>
      <c r="AA50" s="232" t="n"/>
      <c r="AB50" s="330" t="n"/>
      <c r="AC50" s="230" t="n"/>
      <c r="AD50" s="331" t="n"/>
      <c r="AE50" s="441" t="n"/>
      <c r="AF50" s="526" t="n"/>
      <c r="AH50" s="391" t="n"/>
    </row>
    <row r="51" customFormat="1" s="141">
      <c r="A51" s="251">
        <f>+A50+1</f>
        <v/>
      </c>
      <c r="B51" s="460" t="n"/>
      <c r="C51" s="306" t="n"/>
      <c r="D51" s="325" t="n"/>
      <c r="E51" s="329" t="n"/>
      <c r="F51" s="459" t="n"/>
      <c r="G51" s="456" t="n"/>
      <c r="H51" s="457" t="n"/>
      <c r="I51" s="457" t="n"/>
      <c r="J51" s="326" t="n"/>
      <c r="K51" s="318" t="n"/>
      <c r="L51" s="244" t="n"/>
      <c r="M51" s="244" t="n"/>
      <c r="N51" s="775" t="n"/>
      <c r="O51" s="775" t="n"/>
      <c r="P51" s="304" t="n"/>
      <c r="Q51" s="305" t="n"/>
      <c r="R51" s="305" t="n"/>
      <c r="S51" s="274" t="n"/>
      <c r="T51" s="232" t="n"/>
      <c r="U51" s="232" t="n"/>
      <c r="V51" s="232" t="n"/>
      <c r="W51" s="232" t="n"/>
      <c r="X51" s="233" t="n"/>
      <c r="Y51" s="232" t="n"/>
      <c r="Z51" s="232" t="n"/>
      <c r="AA51" s="232" t="n"/>
      <c r="AB51" s="330" t="n"/>
      <c r="AC51" s="230" t="n"/>
      <c r="AD51" s="331" t="n"/>
      <c r="AE51" s="441" t="n"/>
      <c r="AF51" s="526" t="n"/>
      <c r="AH51" s="391" t="n"/>
    </row>
    <row r="52" customFormat="1" s="141">
      <c r="A52" s="251">
        <f>+A51+1</f>
        <v/>
      </c>
      <c r="B52" s="460" t="n"/>
      <c r="C52" s="306" t="n"/>
      <c r="D52" s="325" t="n"/>
      <c r="E52" s="329" t="n"/>
      <c r="F52" s="459" t="n"/>
      <c r="G52" s="456" t="n"/>
      <c r="H52" s="457" t="n"/>
      <c r="I52" s="457" t="n"/>
      <c r="J52" s="326" t="n"/>
      <c r="K52" s="318" t="n"/>
      <c r="L52" s="244" t="n"/>
      <c r="M52" s="244" t="n"/>
      <c r="N52" s="775" t="n"/>
      <c r="O52" s="775" t="n"/>
      <c r="P52" s="304" t="n"/>
      <c r="Q52" s="305" t="n"/>
      <c r="R52" s="305" t="n"/>
      <c r="S52" s="274" t="n"/>
      <c r="T52" s="232" t="n"/>
      <c r="U52" s="232" t="n"/>
      <c r="V52" s="232" t="n"/>
      <c r="W52" s="232" t="n"/>
      <c r="X52" s="233" t="n"/>
      <c r="Y52" s="232" t="n"/>
      <c r="Z52" s="232" t="n"/>
      <c r="AA52" s="232" t="n"/>
      <c r="AB52" s="330" t="n"/>
      <c r="AC52" s="230" t="n"/>
      <c r="AD52" s="331" t="n"/>
      <c r="AE52" s="441" t="n"/>
      <c r="AF52" s="526" t="n"/>
      <c r="AH52" s="391" t="n"/>
    </row>
    <row r="53" customFormat="1" s="141">
      <c r="A53" s="251">
        <f>+A52+1</f>
        <v/>
      </c>
      <c r="B53" s="460" t="n"/>
      <c r="C53" s="306" t="n"/>
      <c r="D53" s="325" t="n"/>
      <c r="E53" s="329" t="n"/>
      <c r="F53" s="459" t="n"/>
      <c r="G53" s="456" t="n"/>
      <c r="H53" s="457" t="n"/>
      <c r="I53" s="457" t="n"/>
      <c r="J53" s="326" t="n"/>
      <c r="K53" s="318" t="n"/>
      <c r="L53" s="244" t="n"/>
      <c r="M53" s="244" t="n"/>
      <c r="N53" s="775" t="n"/>
      <c r="O53" s="775" t="n"/>
      <c r="P53" s="304" t="n"/>
      <c r="Q53" s="305" t="n"/>
      <c r="R53" s="305" t="n"/>
      <c r="S53" s="274" t="n"/>
      <c r="T53" s="232" t="n"/>
      <c r="U53" s="232" t="n"/>
      <c r="V53" s="232" t="n"/>
      <c r="W53" s="232" t="n"/>
      <c r="X53" s="233" t="n"/>
      <c r="Y53" s="232" t="n"/>
      <c r="Z53" s="232" t="n"/>
      <c r="AA53" s="232" t="n"/>
      <c r="AB53" s="330" t="n"/>
      <c r="AC53" s="230" t="n"/>
      <c r="AD53" s="331" t="n"/>
      <c r="AE53" s="441" t="n"/>
      <c r="AF53" s="526" t="n"/>
      <c r="AH53" s="391" t="n"/>
    </row>
    <row r="54" customFormat="1" s="141">
      <c r="A54" s="251">
        <f>+A53+1</f>
        <v/>
      </c>
      <c r="B54" s="460" t="n"/>
      <c r="C54" s="306" t="n"/>
      <c r="D54" s="325" t="n"/>
      <c r="E54" s="329" t="n"/>
      <c r="F54" s="459" t="n"/>
      <c r="G54" s="456" t="n"/>
      <c r="H54" s="457" t="n"/>
      <c r="I54" s="457" t="n"/>
      <c r="J54" s="326" t="n"/>
      <c r="K54" s="318" t="n"/>
      <c r="L54" s="244" t="n"/>
      <c r="M54" s="244" t="n"/>
      <c r="N54" s="775" t="n"/>
      <c r="O54" s="775" t="n"/>
      <c r="P54" s="304" t="n"/>
      <c r="Q54" s="305" t="n"/>
      <c r="R54" s="305" t="n"/>
      <c r="S54" s="274" t="n"/>
      <c r="T54" s="232" t="n"/>
      <c r="U54" s="232" t="n"/>
      <c r="V54" s="232" t="n"/>
      <c r="W54" s="232" t="n"/>
      <c r="X54" s="233" t="n"/>
      <c r="Y54" s="232" t="n"/>
      <c r="Z54" s="232" t="n"/>
      <c r="AA54" s="232" t="n"/>
      <c r="AB54" s="330" t="n"/>
      <c r="AC54" s="230" t="n"/>
      <c r="AD54" s="331" t="n"/>
      <c r="AE54" s="441" t="n"/>
      <c r="AF54" s="526" t="n"/>
      <c r="AH54" s="391" t="n"/>
    </row>
    <row r="55" customFormat="1" s="141">
      <c r="A55" s="251">
        <f>+A54+1</f>
        <v/>
      </c>
      <c r="B55" s="460" t="n"/>
      <c r="C55" s="306" t="n"/>
      <c r="D55" s="325" t="n"/>
      <c r="E55" s="329" t="n"/>
      <c r="F55" s="459" t="n"/>
      <c r="G55" s="456" t="n"/>
      <c r="H55" s="457" t="n"/>
      <c r="I55" s="457" t="n"/>
      <c r="J55" s="326" t="n"/>
      <c r="K55" s="318" t="n"/>
      <c r="L55" s="244" t="n"/>
      <c r="M55" s="244" t="n"/>
      <c r="N55" s="775" t="n"/>
      <c r="O55" s="775" t="n"/>
      <c r="P55" s="304" t="n"/>
      <c r="Q55" s="305" t="n"/>
      <c r="R55" s="305" t="n"/>
      <c r="S55" s="274" t="n"/>
      <c r="T55" s="232" t="n"/>
      <c r="U55" s="232" t="n"/>
      <c r="V55" s="232" t="n"/>
      <c r="W55" s="232" t="n"/>
      <c r="X55" s="233" t="n"/>
      <c r="Y55" s="232" t="n"/>
      <c r="Z55" s="232" t="n"/>
      <c r="AA55" s="232" t="n"/>
      <c r="AB55" s="330" t="n"/>
      <c r="AC55" s="230" t="n"/>
      <c r="AD55" s="331" t="n"/>
      <c r="AE55" s="441" t="n"/>
      <c r="AF55" s="526" t="n"/>
      <c r="AH55" s="391" t="n"/>
    </row>
    <row r="56" customFormat="1" s="141">
      <c r="A56" s="251">
        <f>+A55+1</f>
        <v/>
      </c>
      <c r="B56" s="460" t="n"/>
      <c r="C56" s="306" t="n"/>
      <c r="D56" s="325" t="n"/>
      <c r="E56" s="329" t="n"/>
      <c r="F56" s="459" t="n"/>
      <c r="G56" s="456" t="n"/>
      <c r="H56" s="457" t="n"/>
      <c r="I56" s="457" t="n"/>
      <c r="J56" s="326" t="n"/>
      <c r="K56" s="318" t="n"/>
      <c r="L56" s="244" t="n"/>
      <c r="M56" s="244" t="n"/>
      <c r="N56" s="775" t="n"/>
      <c r="O56" s="775" t="n"/>
      <c r="P56" s="304" t="n"/>
      <c r="Q56" s="305" t="n"/>
      <c r="R56" s="305" t="n"/>
      <c r="S56" s="274" t="n"/>
      <c r="T56" s="232" t="n"/>
      <c r="U56" s="232" t="n"/>
      <c r="V56" s="232" t="n"/>
      <c r="W56" s="232" t="n"/>
      <c r="X56" s="233" t="n"/>
      <c r="Y56" s="232" t="n"/>
      <c r="Z56" s="232" t="n"/>
      <c r="AA56" s="232" t="n"/>
      <c r="AB56" s="330" t="n"/>
      <c r="AC56" s="230" t="n"/>
      <c r="AD56" s="331" t="n"/>
      <c r="AE56" s="441" t="n"/>
      <c r="AF56" s="526" t="n"/>
      <c r="AH56" s="391" t="n"/>
    </row>
    <row r="57" customFormat="1" s="141">
      <c r="A57" s="251">
        <f>+A56+1</f>
        <v/>
      </c>
      <c r="B57" s="460" t="n"/>
      <c r="C57" s="306" t="n"/>
      <c r="D57" s="325" t="n"/>
      <c r="E57" s="329" t="n"/>
      <c r="F57" s="459" t="n"/>
      <c r="G57" s="456" t="n"/>
      <c r="H57" s="457" t="n"/>
      <c r="I57" s="457" t="n"/>
      <c r="J57" s="326" t="n"/>
      <c r="K57" s="318" t="n"/>
      <c r="L57" s="244" t="n"/>
      <c r="M57" s="244" t="n"/>
      <c r="N57" s="775" t="n"/>
      <c r="O57" s="775" t="n"/>
      <c r="P57" s="304" t="n"/>
      <c r="Q57" s="305" t="n"/>
      <c r="R57" s="305" t="n"/>
      <c r="S57" s="274" t="n"/>
      <c r="T57" s="232" t="n"/>
      <c r="U57" s="232" t="n"/>
      <c r="V57" s="232" t="n"/>
      <c r="W57" s="232" t="n"/>
      <c r="X57" s="233" t="n"/>
      <c r="Y57" s="232" t="n"/>
      <c r="Z57" s="232" t="n"/>
      <c r="AA57" s="232" t="n"/>
      <c r="AB57" s="330" t="n"/>
      <c r="AC57" s="230" t="n"/>
      <c r="AD57" s="331" t="n"/>
      <c r="AE57" s="441" t="n"/>
      <c r="AF57" s="526" t="n"/>
      <c r="AH57" s="391" t="n"/>
    </row>
    <row r="58" customFormat="1" s="141">
      <c r="A58" s="251">
        <f>+A57+1</f>
        <v/>
      </c>
      <c r="B58" s="460" t="n"/>
      <c r="C58" s="306" t="n"/>
      <c r="D58" s="325" t="n"/>
      <c r="E58" s="329" t="n"/>
      <c r="F58" s="459" t="n"/>
      <c r="G58" s="456" t="n"/>
      <c r="H58" s="457" t="n"/>
      <c r="I58" s="457" t="n"/>
      <c r="J58" s="326" t="n"/>
      <c r="K58" s="318" t="n"/>
      <c r="L58" s="244" t="n"/>
      <c r="M58" s="244" t="n"/>
      <c r="N58" s="775" t="n"/>
      <c r="O58" s="775" t="n"/>
      <c r="P58" s="304" t="n"/>
      <c r="Q58" s="305" t="n"/>
      <c r="R58" s="305" t="n"/>
      <c r="S58" s="274" t="n"/>
      <c r="T58" s="232" t="n"/>
      <c r="U58" s="232" t="n"/>
      <c r="V58" s="232" t="n"/>
      <c r="W58" s="232" t="n"/>
      <c r="X58" s="233" t="n"/>
      <c r="Y58" s="232" t="n"/>
      <c r="Z58" s="232" t="n"/>
      <c r="AA58" s="232" t="n"/>
      <c r="AB58" s="330" t="n"/>
      <c r="AC58" s="230" t="n"/>
      <c r="AD58" s="331" t="n"/>
      <c r="AE58" s="441" t="n"/>
      <c r="AF58" s="526" t="n"/>
      <c r="AH58" s="391" t="n"/>
    </row>
    <row r="59" customFormat="1" s="141">
      <c r="A59" s="251">
        <f>+A58+1</f>
        <v/>
      </c>
      <c r="B59" s="460" t="n"/>
      <c r="C59" s="306" t="n"/>
      <c r="D59" s="325" t="n"/>
      <c r="E59" s="329" t="n"/>
      <c r="F59" s="459" t="n"/>
      <c r="G59" s="456" t="n"/>
      <c r="H59" s="457" t="n"/>
      <c r="I59" s="457" t="n"/>
      <c r="J59" s="326" t="n"/>
      <c r="K59" s="318" t="n"/>
      <c r="L59" s="244" t="n"/>
      <c r="M59" s="244" t="n"/>
      <c r="N59" s="775" t="n"/>
      <c r="O59" s="775" t="n"/>
      <c r="P59" s="304" t="n"/>
      <c r="Q59" s="305" t="n"/>
      <c r="R59" s="305" t="n"/>
      <c r="S59" s="274" t="n"/>
      <c r="T59" s="232" t="n"/>
      <c r="U59" s="232" t="n"/>
      <c r="V59" s="232" t="n"/>
      <c r="W59" s="232" t="n"/>
      <c r="X59" s="233" t="n"/>
      <c r="Y59" s="232" t="n"/>
      <c r="Z59" s="232" t="n"/>
      <c r="AA59" s="232" t="n"/>
      <c r="AB59" s="330" t="n"/>
      <c r="AC59" s="230" t="n"/>
      <c r="AD59" s="331" t="n"/>
      <c r="AE59" s="441" t="n"/>
      <c r="AF59" s="526" t="n"/>
      <c r="AH59" s="391" t="n"/>
    </row>
    <row r="60" customFormat="1" s="141">
      <c r="A60" s="251">
        <f>+A59+1</f>
        <v/>
      </c>
      <c r="B60" s="460" t="n"/>
      <c r="C60" s="306" t="n"/>
      <c r="D60" s="325" t="n"/>
      <c r="E60" s="329" t="n"/>
      <c r="F60" s="459" t="n"/>
      <c r="G60" s="456" t="n"/>
      <c r="H60" s="457" t="n"/>
      <c r="I60" s="457" t="n"/>
      <c r="J60" s="326" t="n"/>
      <c r="K60" s="318" t="n"/>
      <c r="L60" s="244" t="n"/>
      <c r="M60" s="244" t="n"/>
      <c r="N60" s="775" t="n"/>
      <c r="O60" s="775" t="n"/>
      <c r="P60" s="304" t="n"/>
      <c r="Q60" s="305" t="n"/>
      <c r="R60" s="305" t="n"/>
      <c r="S60" s="274" t="n"/>
      <c r="T60" s="232" t="n"/>
      <c r="U60" s="232" t="n"/>
      <c r="V60" s="232" t="n"/>
      <c r="W60" s="232" t="n"/>
      <c r="X60" s="233" t="n"/>
      <c r="Y60" s="232" t="n"/>
      <c r="Z60" s="232" t="n"/>
      <c r="AA60" s="232" t="n"/>
      <c r="AB60" s="330" t="n"/>
      <c r="AC60" s="230" t="n"/>
      <c r="AD60" s="331" t="n"/>
      <c r="AE60" s="441" t="n"/>
      <c r="AF60" s="526" t="n"/>
      <c r="AH60" s="391" t="n"/>
    </row>
    <row r="61" customFormat="1" s="141">
      <c r="A61" s="251">
        <f>+A60+1</f>
        <v/>
      </c>
      <c r="B61" s="460" t="n"/>
      <c r="C61" s="306" t="n"/>
      <c r="D61" s="325" t="n"/>
      <c r="E61" s="329" t="n"/>
      <c r="F61" s="459" t="n"/>
      <c r="G61" s="456" t="n"/>
      <c r="H61" s="457" t="n"/>
      <c r="I61" s="457" t="n"/>
      <c r="J61" s="326" t="n"/>
      <c r="K61" s="318" t="n"/>
      <c r="L61" s="244" t="n"/>
      <c r="M61" s="244" t="n"/>
      <c r="N61" s="775" t="n"/>
      <c r="O61" s="775" t="n"/>
      <c r="P61" s="304" t="n"/>
      <c r="Q61" s="305" t="n"/>
      <c r="R61" s="305" t="n"/>
      <c r="S61" s="274" t="n"/>
      <c r="T61" s="232" t="n"/>
      <c r="U61" s="232" t="n"/>
      <c r="V61" s="232" t="n"/>
      <c r="W61" s="232" t="n"/>
      <c r="X61" s="233" t="n"/>
      <c r="Y61" s="232" t="n"/>
      <c r="Z61" s="232" t="n"/>
      <c r="AA61" s="232" t="n"/>
      <c r="AB61" s="330" t="n"/>
      <c r="AC61" s="230" t="n"/>
      <c r="AD61" s="331" t="n"/>
      <c r="AE61" s="441" t="n"/>
      <c r="AF61" s="526" t="n"/>
      <c r="AH61" s="391" t="n"/>
    </row>
    <row r="62" customFormat="1" s="141">
      <c r="A62" s="251">
        <f>+A61+1</f>
        <v/>
      </c>
      <c r="B62" s="460" t="n"/>
      <c r="C62" s="306" t="n"/>
      <c r="D62" s="325" t="n"/>
      <c r="E62" s="329" t="n"/>
      <c r="F62" s="459" t="n"/>
      <c r="G62" s="456" t="n"/>
      <c r="H62" s="457" t="n"/>
      <c r="I62" s="457" t="n"/>
      <c r="J62" s="326" t="n"/>
      <c r="K62" s="318" t="n"/>
      <c r="L62" s="244" t="n"/>
      <c r="M62" s="244" t="n"/>
      <c r="N62" s="775" t="n"/>
      <c r="O62" s="775" t="n"/>
      <c r="P62" s="304" t="n"/>
      <c r="Q62" s="305" t="n"/>
      <c r="R62" s="305" t="n"/>
      <c r="S62" s="274" t="n"/>
      <c r="T62" s="232" t="n"/>
      <c r="U62" s="232" t="n"/>
      <c r="V62" s="232" t="n"/>
      <c r="W62" s="232" t="n"/>
      <c r="X62" s="233" t="n"/>
      <c r="Y62" s="232" t="n"/>
      <c r="Z62" s="232" t="n"/>
      <c r="AA62" s="232" t="n"/>
      <c r="AB62" s="330" t="n"/>
      <c r="AC62" s="230" t="n"/>
      <c r="AD62" s="331" t="n"/>
      <c r="AE62" s="441" t="n"/>
      <c r="AF62" s="526" t="n"/>
      <c r="AH62" s="391" t="n"/>
    </row>
    <row r="63" customFormat="1" s="141">
      <c r="A63" s="251">
        <f>+A62+1</f>
        <v/>
      </c>
      <c r="B63" s="460" t="n"/>
      <c r="C63" s="306" t="n"/>
      <c r="D63" s="325" t="n"/>
      <c r="E63" s="329" t="n"/>
      <c r="F63" s="459" t="n"/>
      <c r="G63" s="456" t="n"/>
      <c r="H63" s="457" t="n"/>
      <c r="I63" s="457" t="n"/>
      <c r="J63" s="326" t="n"/>
      <c r="K63" s="318" t="n"/>
      <c r="L63" s="244" t="n"/>
      <c r="M63" s="244" t="n"/>
      <c r="N63" s="775" t="n"/>
      <c r="O63" s="775" t="n"/>
      <c r="P63" s="304" t="n"/>
      <c r="Q63" s="305" t="n"/>
      <c r="R63" s="305" t="n"/>
      <c r="S63" s="274" t="n"/>
      <c r="T63" s="232" t="n"/>
      <c r="U63" s="232" t="n"/>
      <c r="V63" s="232" t="n"/>
      <c r="W63" s="232" t="n"/>
      <c r="X63" s="233" t="n"/>
      <c r="Y63" s="232" t="n"/>
      <c r="Z63" s="232" t="n"/>
      <c r="AA63" s="232" t="n"/>
      <c r="AB63" s="330" t="n"/>
      <c r="AC63" s="230" t="n"/>
      <c r="AD63" s="331" t="n"/>
      <c r="AE63" s="441" t="n"/>
      <c r="AF63" s="526" t="n"/>
      <c r="AH63" s="391" t="n"/>
    </row>
    <row r="64" customFormat="1" s="141">
      <c r="A64" s="251">
        <f>+A63+1</f>
        <v/>
      </c>
      <c r="B64" s="460" t="n"/>
      <c r="C64" s="306" t="n"/>
      <c r="D64" s="325" t="n"/>
      <c r="E64" s="329" t="n"/>
      <c r="F64" s="459" t="n"/>
      <c r="G64" s="456" t="n"/>
      <c r="H64" s="457" t="n"/>
      <c r="I64" s="457" t="n"/>
      <c r="J64" s="326" t="n"/>
      <c r="K64" s="318" t="n"/>
      <c r="L64" s="244" t="n"/>
      <c r="M64" s="244" t="n"/>
      <c r="N64" s="775" t="n"/>
      <c r="O64" s="775" t="n"/>
      <c r="P64" s="304" t="n"/>
      <c r="Q64" s="305" t="n"/>
      <c r="R64" s="305" t="n"/>
      <c r="S64" s="274" t="n"/>
      <c r="T64" s="232" t="n"/>
      <c r="U64" s="232" t="n"/>
      <c r="V64" s="232" t="n"/>
      <c r="W64" s="232" t="n"/>
      <c r="X64" s="233" t="n"/>
      <c r="Y64" s="232" t="n"/>
      <c r="Z64" s="232" t="n"/>
      <c r="AA64" s="232" t="n"/>
      <c r="AB64" s="330" t="n"/>
      <c r="AC64" s="230" t="n"/>
      <c r="AD64" s="331" t="n"/>
      <c r="AE64" s="441" t="n"/>
      <c r="AF64" s="526" t="n"/>
      <c r="AH64" s="391" t="n"/>
    </row>
    <row r="65" customFormat="1" s="141">
      <c r="A65" s="251">
        <f>+A64+1</f>
        <v/>
      </c>
      <c r="B65" s="460" t="n"/>
      <c r="C65" s="306" t="n"/>
      <c r="D65" s="325" t="n"/>
      <c r="E65" s="329" t="n"/>
      <c r="F65" s="459" t="n"/>
      <c r="G65" s="456" t="n"/>
      <c r="H65" s="457" t="n"/>
      <c r="I65" s="457" t="n"/>
      <c r="J65" s="326" t="n"/>
      <c r="K65" s="318" t="n"/>
      <c r="L65" s="244" t="n"/>
      <c r="M65" s="244" t="n"/>
      <c r="N65" s="775" t="n"/>
      <c r="O65" s="775" t="n"/>
      <c r="P65" s="304" t="n"/>
      <c r="Q65" s="305" t="n"/>
      <c r="R65" s="305" t="n"/>
      <c r="S65" s="274" t="n"/>
      <c r="T65" s="232" t="n"/>
      <c r="U65" s="232" t="n"/>
      <c r="V65" s="232" t="n"/>
      <c r="W65" s="232" t="n"/>
      <c r="X65" s="233" t="n"/>
      <c r="Y65" s="232" t="n"/>
      <c r="Z65" s="232" t="n"/>
      <c r="AA65" s="232" t="n"/>
      <c r="AB65" s="330" t="n"/>
      <c r="AC65" s="230" t="n"/>
      <c r="AD65" s="331" t="n"/>
      <c r="AE65" s="441" t="n"/>
      <c r="AF65" s="526" t="n"/>
      <c r="AH65" s="391" t="n"/>
    </row>
    <row r="66" customFormat="1" s="141">
      <c r="A66" s="251">
        <f>+A65+1</f>
        <v/>
      </c>
      <c r="B66" s="460" t="n"/>
      <c r="C66" s="306" t="n"/>
      <c r="D66" s="325" t="n"/>
      <c r="E66" s="329" t="n"/>
      <c r="F66" s="459" t="n"/>
      <c r="G66" s="456" t="n"/>
      <c r="H66" s="457" t="n"/>
      <c r="I66" s="457" t="n"/>
      <c r="J66" s="326" t="n"/>
      <c r="K66" s="318" t="n"/>
      <c r="L66" s="244" t="n"/>
      <c r="M66" s="244" t="n"/>
      <c r="N66" s="775" t="n"/>
      <c r="O66" s="775" t="n"/>
      <c r="P66" s="304" t="n"/>
      <c r="Q66" s="305" t="n"/>
      <c r="R66" s="305" t="n"/>
      <c r="S66" s="274" t="n"/>
      <c r="T66" s="232" t="n"/>
      <c r="U66" s="232" t="n"/>
      <c r="V66" s="232" t="n"/>
      <c r="W66" s="232" t="n"/>
      <c r="X66" s="233" t="n"/>
      <c r="Y66" s="232" t="n"/>
      <c r="Z66" s="232" t="n"/>
      <c r="AA66" s="232" t="n"/>
      <c r="AB66" s="330" t="n"/>
      <c r="AC66" s="230" t="n"/>
      <c r="AD66" s="331" t="n"/>
      <c r="AE66" s="441" t="n"/>
      <c r="AF66" s="526" t="n"/>
      <c r="AH66" s="391" t="n"/>
    </row>
    <row r="67" customFormat="1" s="141">
      <c r="A67" s="251">
        <f>+A66+1</f>
        <v/>
      </c>
      <c r="B67" s="460" t="n"/>
      <c r="C67" s="306" t="n"/>
      <c r="D67" s="325" t="n"/>
      <c r="E67" s="329" t="n"/>
      <c r="F67" s="459" t="n"/>
      <c r="G67" s="456" t="n"/>
      <c r="H67" s="457" t="n"/>
      <c r="I67" s="457" t="n"/>
      <c r="J67" s="326" t="n"/>
      <c r="K67" s="318" t="n"/>
      <c r="L67" s="244" t="n"/>
      <c r="M67" s="244" t="n"/>
      <c r="N67" s="775" t="n"/>
      <c r="O67" s="775" t="n"/>
      <c r="P67" s="304" t="n"/>
      <c r="Q67" s="305" t="n"/>
      <c r="R67" s="305" t="n"/>
      <c r="S67" s="274" t="n"/>
      <c r="T67" s="232" t="n"/>
      <c r="U67" s="232" t="n"/>
      <c r="V67" s="232" t="n"/>
      <c r="W67" s="232" t="n"/>
      <c r="X67" s="233" t="n"/>
      <c r="Y67" s="232" t="n"/>
      <c r="Z67" s="232" t="n"/>
      <c r="AA67" s="232" t="n"/>
      <c r="AB67" s="330" t="n"/>
      <c r="AC67" s="230" t="n"/>
      <c r="AD67" s="331" t="n"/>
      <c r="AE67" s="441" t="n"/>
      <c r="AF67" s="526" t="n"/>
      <c r="AH67" s="391" t="n"/>
    </row>
    <row r="68" customFormat="1" s="141">
      <c r="A68" s="251">
        <f>+A67+1</f>
        <v/>
      </c>
      <c r="B68" s="460" t="n"/>
      <c r="C68" s="306" t="n"/>
      <c r="D68" s="325" t="n"/>
      <c r="E68" s="329" t="n"/>
      <c r="F68" s="459" t="n"/>
      <c r="G68" s="456" t="n"/>
      <c r="H68" s="457" t="n"/>
      <c r="I68" s="457" t="n"/>
      <c r="J68" s="326" t="n"/>
      <c r="K68" s="318" t="n"/>
      <c r="L68" s="244" t="n"/>
      <c r="M68" s="244" t="n"/>
      <c r="N68" s="775" t="n"/>
      <c r="O68" s="775" t="n"/>
      <c r="P68" s="304" t="n"/>
      <c r="Q68" s="305" t="n"/>
      <c r="R68" s="305" t="n"/>
      <c r="S68" s="274" t="n"/>
      <c r="T68" s="232" t="n"/>
      <c r="U68" s="232" t="n"/>
      <c r="V68" s="232" t="n"/>
      <c r="W68" s="232" t="n"/>
      <c r="X68" s="233" t="n"/>
      <c r="Y68" s="232" t="n"/>
      <c r="Z68" s="232" t="n"/>
      <c r="AA68" s="232" t="n"/>
      <c r="AB68" s="330" t="n"/>
      <c r="AC68" s="230" t="n"/>
      <c r="AD68" s="331" t="n"/>
      <c r="AE68" s="441" t="n"/>
      <c r="AF68" s="526" t="n"/>
      <c r="AH68" s="391" t="n"/>
    </row>
    <row r="69" customFormat="1" s="141">
      <c r="A69" s="251">
        <f>+A68+1</f>
        <v/>
      </c>
      <c r="B69" s="460" t="n"/>
      <c r="C69" s="306" t="n"/>
      <c r="D69" s="325" t="n"/>
      <c r="E69" s="329" t="n"/>
      <c r="F69" s="459" t="n"/>
      <c r="G69" s="456" t="n"/>
      <c r="H69" s="457" t="n"/>
      <c r="I69" s="457" t="n"/>
      <c r="J69" s="326" t="n"/>
      <c r="K69" s="318" t="n"/>
      <c r="L69" s="244" t="n"/>
      <c r="M69" s="244" t="n"/>
      <c r="N69" s="775" t="n"/>
      <c r="O69" s="775" t="n"/>
      <c r="P69" s="304" t="n"/>
      <c r="Q69" s="305" t="n"/>
      <c r="R69" s="305" t="n"/>
      <c r="S69" s="274" t="n"/>
      <c r="T69" s="232" t="n"/>
      <c r="U69" s="232" t="n"/>
      <c r="V69" s="232" t="n"/>
      <c r="W69" s="232" t="n"/>
      <c r="X69" s="233" t="n"/>
      <c r="Y69" s="232" t="n"/>
      <c r="Z69" s="232" t="n"/>
      <c r="AA69" s="232" t="n"/>
      <c r="AB69" s="330" t="n"/>
      <c r="AC69" s="230" t="n"/>
      <c r="AD69" s="331" t="n"/>
      <c r="AE69" s="441" t="n"/>
      <c r="AF69" s="526" t="n"/>
      <c r="AH69" s="391" t="n"/>
    </row>
    <row r="70" customFormat="1" s="141">
      <c r="A70" s="251">
        <f>+A69+1</f>
        <v/>
      </c>
      <c r="B70" s="460" t="n"/>
      <c r="C70" s="306" t="n"/>
      <c r="D70" s="325" t="n"/>
      <c r="E70" s="329" t="n"/>
      <c r="F70" s="459" t="n"/>
      <c r="G70" s="456" t="n"/>
      <c r="H70" s="457" t="n"/>
      <c r="I70" s="457" t="n"/>
      <c r="J70" s="326" t="n"/>
      <c r="K70" s="318" t="n"/>
      <c r="L70" s="244" t="n"/>
      <c r="M70" s="244" t="n"/>
      <c r="N70" s="775" t="n"/>
      <c r="O70" s="775" t="n"/>
      <c r="P70" s="304" t="n"/>
      <c r="Q70" s="305" t="n"/>
      <c r="R70" s="305" t="n"/>
      <c r="S70" s="274" t="n"/>
      <c r="T70" s="232" t="n"/>
      <c r="U70" s="232" t="n"/>
      <c r="V70" s="232" t="n"/>
      <c r="W70" s="232" t="n"/>
      <c r="X70" s="233" t="n"/>
      <c r="Y70" s="232" t="n"/>
      <c r="Z70" s="232" t="n"/>
      <c r="AA70" s="232" t="n"/>
      <c r="AB70" s="330" t="n"/>
      <c r="AC70" s="230" t="n"/>
      <c r="AD70" s="331" t="n"/>
      <c r="AE70" s="441" t="n"/>
      <c r="AF70" s="526" t="n"/>
      <c r="AH70" s="391" t="n"/>
    </row>
    <row r="71" customFormat="1" s="141">
      <c r="A71" s="251">
        <f>+A70+1</f>
        <v/>
      </c>
      <c r="B71" s="460" t="n"/>
      <c r="C71" s="306" t="n"/>
      <c r="D71" s="325" t="n"/>
      <c r="E71" s="329" t="n"/>
      <c r="F71" s="459" t="n"/>
      <c r="G71" s="456" t="n"/>
      <c r="H71" s="457" t="n"/>
      <c r="I71" s="457" t="n"/>
      <c r="J71" s="326" t="n"/>
      <c r="K71" s="318" t="n"/>
      <c r="L71" s="244" t="n"/>
      <c r="M71" s="244" t="n"/>
      <c r="N71" s="775" t="n"/>
      <c r="O71" s="775" t="n"/>
      <c r="P71" s="304" t="n"/>
      <c r="Q71" s="305" t="n"/>
      <c r="R71" s="305" t="n"/>
      <c r="S71" s="274" t="n"/>
      <c r="T71" s="232" t="n"/>
      <c r="U71" s="232" t="n"/>
      <c r="V71" s="232" t="n"/>
      <c r="W71" s="232" t="n"/>
      <c r="X71" s="233" t="n"/>
      <c r="Y71" s="232" t="n"/>
      <c r="Z71" s="232" t="n"/>
      <c r="AA71" s="232" t="n"/>
      <c r="AB71" s="330" t="n"/>
      <c r="AC71" s="230" t="n"/>
      <c r="AD71" s="331" t="n"/>
      <c r="AE71" s="441" t="n"/>
      <c r="AF71" s="526" t="n"/>
      <c r="AH71" s="391" t="n"/>
    </row>
    <row r="72" customFormat="1" s="141">
      <c r="A72" s="251">
        <f>+A71+1</f>
        <v/>
      </c>
      <c r="B72" s="460" t="n"/>
      <c r="C72" s="306" t="n"/>
      <c r="D72" s="325" t="n"/>
      <c r="E72" s="329" t="n"/>
      <c r="F72" s="459" t="n"/>
      <c r="G72" s="456" t="n"/>
      <c r="H72" s="457" t="n"/>
      <c r="I72" s="457" t="n"/>
      <c r="J72" s="326" t="n"/>
      <c r="K72" s="318" t="n"/>
      <c r="L72" s="244" t="n"/>
      <c r="M72" s="244" t="n"/>
      <c r="N72" s="775" t="n"/>
      <c r="O72" s="775" t="n"/>
      <c r="P72" s="304" t="n"/>
      <c r="Q72" s="305" t="n"/>
      <c r="R72" s="305" t="n"/>
      <c r="S72" s="274" t="n"/>
      <c r="T72" s="232" t="n"/>
      <c r="U72" s="232" t="n"/>
      <c r="V72" s="232" t="n"/>
      <c r="W72" s="232" t="n"/>
      <c r="X72" s="233" t="n"/>
      <c r="Y72" s="232" t="n"/>
      <c r="Z72" s="232" t="n"/>
      <c r="AA72" s="232" t="n"/>
      <c r="AB72" s="330" t="n"/>
      <c r="AC72" s="230" t="n"/>
      <c r="AD72" s="331" t="n"/>
      <c r="AE72" s="441" t="n"/>
      <c r="AF72" s="526" t="n"/>
      <c r="AH72" s="391" t="n"/>
    </row>
    <row r="73" customFormat="1" s="141">
      <c r="A73" s="251">
        <f>+A72+1</f>
        <v/>
      </c>
      <c r="B73" s="460" t="n"/>
      <c r="C73" s="306" t="n"/>
      <c r="D73" s="325" t="n"/>
      <c r="E73" s="329" t="n"/>
      <c r="F73" s="459" t="n"/>
      <c r="G73" s="456" t="n"/>
      <c r="H73" s="457" t="n"/>
      <c r="I73" s="457" t="n"/>
      <c r="J73" s="326" t="n"/>
      <c r="K73" s="318" t="n"/>
      <c r="L73" s="244" t="n"/>
      <c r="M73" s="244" t="n"/>
      <c r="N73" s="775" t="n"/>
      <c r="O73" s="775" t="n"/>
      <c r="P73" s="304" t="n"/>
      <c r="Q73" s="305" t="n"/>
      <c r="R73" s="305" t="n"/>
      <c r="S73" s="274" t="n"/>
      <c r="T73" s="232" t="n"/>
      <c r="U73" s="232" t="n"/>
      <c r="V73" s="232" t="n"/>
      <c r="W73" s="232" t="n"/>
      <c r="X73" s="233" t="n"/>
      <c r="Y73" s="232" t="n"/>
      <c r="Z73" s="232" t="n"/>
      <c r="AA73" s="232" t="n"/>
      <c r="AB73" s="330" t="n"/>
      <c r="AC73" s="230" t="n"/>
      <c r="AD73" s="331" t="n"/>
      <c r="AE73" s="441" t="n"/>
      <c r="AF73" s="526" t="n"/>
      <c r="AH73" s="391" t="n"/>
    </row>
    <row r="74" customFormat="1" s="141">
      <c r="A74" s="251">
        <f>+A73+1</f>
        <v/>
      </c>
      <c r="B74" s="460" t="n"/>
      <c r="C74" s="306" t="n"/>
      <c r="D74" s="325" t="n"/>
      <c r="E74" s="329" t="n"/>
      <c r="F74" s="459" t="n"/>
      <c r="G74" s="456" t="n"/>
      <c r="H74" s="457" t="n"/>
      <c r="I74" s="457" t="n"/>
      <c r="J74" s="326" t="n"/>
      <c r="K74" s="318" t="n"/>
      <c r="L74" s="244" t="n"/>
      <c r="M74" s="244" t="n"/>
      <c r="N74" s="775" t="n"/>
      <c r="O74" s="775" t="n"/>
      <c r="P74" s="304" t="n"/>
      <c r="Q74" s="305" t="n"/>
      <c r="R74" s="305" t="n"/>
      <c r="S74" s="274" t="n"/>
      <c r="T74" s="232" t="n"/>
      <c r="U74" s="232" t="n"/>
      <c r="V74" s="232" t="n"/>
      <c r="W74" s="232" t="n"/>
      <c r="X74" s="233" t="n"/>
      <c r="Y74" s="232" t="n"/>
      <c r="Z74" s="232" t="n"/>
      <c r="AA74" s="232" t="n"/>
      <c r="AB74" s="330" t="n"/>
      <c r="AC74" s="230" t="n"/>
      <c r="AD74" s="331" t="n"/>
      <c r="AE74" s="441" t="n"/>
      <c r="AF74" s="526" t="n"/>
      <c r="AH74" s="391" t="n"/>
    </row>
    <row r="75" customFormat="1" s="141">
      <c r="A75" s="251">
        <f>+A74+1</f>
        <v/>
      </c>
      <c r="B75" s="460" t="n"/>
      <c r="C75" s="306" t="n"/>
      <c r="D75" s="325" t="n"/>
      <c r="E75" s="329" t="n"/>
      <c r="F75" s="459" t="n"/>
      <c r="G75" s="456" t="n"/>
      <c r="H75" s="457" t="n"/>
      <c r="I75" s="457" t="n"/>
      <c r="J75" s="326" t="n"/>
      <c r="K75" s="318" t="n"/>
      <c r="L75" s="244" t="n"/>
      <c r="M75" s="244" t="n"/>
      <c r="N75" s="775" t="n"/>
      <c r="O75" s="775" t="n"/>
      <c r="P75" s="304" t="n"/>
      <c r="Q75" s="305" t="n"/>
      <c r="R75" s="305" t="n"/>
      <c r="S75" s="274" t="n"/>
      <c r="T75" s="232" t="n"/>
      <c r="U75" s="232" t="n"/>
      <c r="V75" s="232" t="n"/>
      <c r="W75" s="232" t="n"/>
      <c r="X75" s="233" t="n"/>
      <c r="Y75" s="232" t="n"/>
      <c r="Z75" s="232" t="n"/>
      <c r="AA75" s="232" t="n"/>
      <c r="AB75" s="330" t="n"/>
      <c r="AC75" s="230" t="n"/>
      <c r="AD75" s="331" t="n"/>
      <c r="AE75" s="441" t="n"/>
      <c r="AF75" s="526" t="n"/>
      <c r="AH75" s="391" t="n"/>
    </row>
    <row r="76" customFormat="1" s="141">
      <c r="A76" s="251">
        <f>+A75+1</f>
        <v/>
      </c>
      <c r="B76" s="460" t="n"/>
      <c r="C76" s="306" t="n"/>
      <c r="D76" s="325" t="n"/>
      <c r="E76" s="329" t="n"/>
      <c r="F76" s="459" t="n"/>
      <c r="G76" s="456" t="n"/>
      <c r="H76" s="457" t="n"/>
      <c r="I76" s="457" t="n"/>
      <c r="J76" s="326" t="n"/>
      <c r="K76" s="318" t="n"/>
      <c r="L76" s="244" t="n"/>
      <c r="M76" s="244" t="n"/>
      <c r="N76" s="775" t="n"/>
      <c r="O76" s="775" t="n"/>
      <c r="P76" s="304" t="n"/>
      <c r="Q76" s="305" t="n"/>
      <c r="R76" s="305" t="n"/>
      <c r="S76" s="274" t="n"/>
      <c r="T76" s="232" t="n"/>
      <c r="U76" s="232" t="n"/>
      <c r="V76" s="232" t="n"/>
      <c r="W76" s="232" t="n"/>
      <c r="X76" s="233" t="n"/>
      <c r="Y76" s="232" t="n"/>
      <c r="Z76" s="232" t="n"/>
      <c r="AA76" s="232" t="n"/>
      <c r="AB76" s="330" t="n"/>
      <c r="AC76" s="230" t="n"/>
      <c r="AD76" s="331" t="n"/>
      <c r="AE76" s="441" t="n"/>
      <c r="AF76" s="526" t="n"/>
      <c r="AH76" s="391" t="n"/>
    </row>
    <row r="77" customFormat="1" s="141">
      <c r="A77" s="251">
        <f>+A76+1</f>
        <v/>
      </c>
      <c r="B77" s="460" t="n"/>
      <c r="C77" s="306" t="n"/>
      <c r="D77" s="325" t="n"/>
      <c r="E77" s="329" t="n"/>
      <c r="F77" s="459" t="n"/>
      <c r="G77" s="456" t="n"/>
      <c r="H77" s="457" t="n"/>
      <c r="I77" s="457" t="n"/>
      <c r="J77" s="326" t="n"/>
      <c r="K77" s="318" t="n"/>
      <c r="L77" s="244" t="n"/>
      <c r="M77" s="244" t="n"/>
      <c r="N77" s="775" t="n"/>
      <c r="O77" s="775" t="n"/>
      <c r="P77" s="304" t="n"/>
      <c r="Q77" s="305" t="n"/>
      <c r="R77" s="305" t="n"/>
      <c r="S77" s="274" t="n"/>
      <c r="T77" s="232" t="n"/>
      <c r="U77" s="232" t="n"/>
      <c r="V77" s="232" t="n"/>
      <c r="W77" s="232" t="n"/>
      <c r="X77" s="233" t="n"/>
      <c r="Y77" s="232" t="n"/>
      <c r="Z77" s="232" t="n"/>
      <c r="AA77" s="232" t="n"/>
      <c r="AB77" s="330" t="n"/>
      <c r="AC77" s="230" t="n"/>
      <c r="AD77" s="331" t="n"/>
      <c r="AE77" s="441" t="n"/>
      <c r="AF77" s="526" t="n"/>
      <c r="AH77" s="391" t="n"/>
    </row>
    <row r="78" customFormat="1" s="141">
      <c r="A78" s="251">
        <f>+A77+1</f>
        <v/>
      </c>
      <c r="B78" s="460" t="n"/>
      <c r="C78" s="306" t="n"/>
      <c r="D78" s="325" t="n"/>
      <c r="E78" s="329" t="n"/>
      <c r="F78" s="459" t="n"/>
      <c r="G78" s="456" t="n"/>
      <c r="H78" s="457" t="n"/>
      <c r="I78" s="457" t="n"/>
      <c r="J78" s="326" t="n"/>
      <c r="K78" s="318" t="n"/>
      <c r="L78" s="244" t="n"/>
      <c r="M78" s="244" t="n"/>
      <c r="N78" s="775" t="n"/>
      <c r="O78" s="775" t="n"/>
      <c r="P78" s="304" t="n"/>
      <c r="Q78" s="305" t="n"/>
      <c r="R78" s="305" t="n"/>
      <c r="S78" s="274" t="n"/>
      <c r="T78" s="232" t="n"/>
      <c r="U78" s="232" t="n"/>
      <c r="V78" s="232" t="n"/>
      <c r="W78" s="232" t="n"/>
      <c r="X78" s="233" t="n"/>
      <c r="Y78" s="232" t="n"/>
      <c r="Z78" s="232" t="n"/>
      <c r="AA78" s="232" t="n"/>
      <c r="AB78" s="330" t="n"/>
      <c r="AC78" s="230" t="n"/>
      <c r="AD78" s="331" t="n"/>
      <c r="AE78" s="441" t="n"/>
      <c r="AF78" s="526" t="n"/>
      <c r="AH78" s="391" t="n"/>
    </row>
    <row r="79" customFormat="1" s="141">
      <c r="A79" s="251">
        <f>+A78+1</f>
        <v/>
      </c>
      <c r="B79" s="460" t="n"/>
      <c r="C79" s="306" t="n"/>
      <c r="D79" s="325" t="n"/>
      <c r="E79" s="329" t="n"/>
      <c r="F79" s="459" t="n"/>
      <c r="G79" s="456" t="n"/>
      <c r="H79" s="457" t="n"/>
      <c r="I79" s="457" t="n"/>
      <c r="J79" s="326" t="n"/>
      <c r="K79" s="318" t="n"/>
      <c r="L79" s="244" t="n"/>
      <c r="M79" s="244" t="n"/>
      <c r="N79" s="775" t="n"/>
      <c r="O79" s="775" t="n"/>
      <c r="P79" s="304" t="n"/>
      <c r="Q79" s="305" t="n"/>
      <c r="R79" s="305" t="n"/>
      <c r="S79" s="274" t="n"/>
      <c r="T79" s="232" t="n"/>
      <c r="U79" s="232" t="n"/>
      <c r="V79" s="232" t="n"/>
      <c r="W79" s="232" t="n"/>
      <c r="X79" s="233" t="n"/>
      <c r="Y79" s="232" t="n"/>
      <c r="Z79" s="232" t="n"/>
      <c r="AA79" s="232" t="n"/>
      <c r="AB79" s="330" t="n"/>
      <c r="AC79" s="230" t="n"/>
      <c r="AD79" s="331" t="n"/>
      <c r="AE79" s="441" t="n"/>
      <c r="AF79" s="526" t="n"/>
      <c r="AH79" s="391" t="n"/>
    </row>
    <row r="80" customFormat="1" s="141">
      <c r="A80" s="251">
        <f>+A79+1</f>
        <v/>
      </c>
      <c r="B80" s="460" t="n"/>
      <c r="C80" s="306" t="n"/>
      <c r="D80" s="325" t="n"/>
      <c r="E80" s="329" t="n"/>
      <c r="F80" s="459" t="n"/>
      <c r="G80" s="456" t="n"/>
      <c r="H80" s="457" t="n"/>
      <c r="I80" s="457" t="n"/>
      <c r="J80" s="326" t="n"/>
      <c r="K80" s="318" t="n"/>
      <c r="L80" s="244" t="n"/>
      <c r="M80" s="244" t="n"/>
      <c r="N80" s="775" t="n"/>
      <c r="O80" s="775" t="n"/>
      <c r="P80" s="304" t="n"/>
      <c r="Q80" s="305" t="n"/>
      <c r="R80" s="305" t="n"/>
      <c r="S80" s="274" t="n"/>
      <c r="T80" s="232" t="n"/>
      <c r="U80" s="232" t="n"/>
      <c r="V80" s="232" t="n"/>
      <c r="W80" s="232" t="n"/>
      <c r="X80" s="233" t="n"/>
      <c r="Y80" s="232" t="n"/>
      <c r="Z80" s="232" t="n"/>
      <c r="AA80" s="232" t="n"/>
      <c r="AB80" s="330" t="n"/>
      <c r="AC80" s="230" t="n"/>
      <c r="AD80" s="331" t="n"/>
      <c r="AE80" s="441" t="n"/>
      <c r="AF80" s="526" t="n"/>
      <c r="AH80" s="391" t="n"/>
    </row>
    <row r="81" customFormat="1" s="141">
      <c r="A81" s="251">
        <f>+A80+1</f>
        <v/>
      </c>
      <c r="B81" s="460" t="n"/>
      <c r="C81" s="306" t="n"/>
      <c r="D81" s="325" t="n"/>
      <c r="E81" s="329" t="n"/>
      <c r="F81" s="459" t="n"/>
      <c r="G81" s="456" t="n"/>
      <c r="H81" s="457" t="n"/>
      <c r="I81" s="457" t="n"/>
      <c r="J81" s="326" t="n"/>
      <c r="K81" s="318" t="n"/>
      <c r="L81" s="244" t="n"/>
      <c r="M81" s="244" t="n"/>
      <c r="N81" s="775" t="n"/>
      <c r="O81" s="775" t="n"/>
      <c r="P81" s="304" t="n"/>
      <c r="Q81" s="305" t="n"/>
      <c r="R81" s="305" t="n"/>
      <c r="S81" s="274" t="n"/>
      <c r="T81" s="232" t="n"/>
      <c r="U81" s="232" t="n"/>
      <c r="V81" s="232" t="n"/>
      <c r="W81" s="232" t="n"/>
      <c r="X81" s="233" t="n"/>
      <c r="Y81" s="232" t="n"/>
      <c r="Z81" s="232" t="n"/>
      <c r="AA81" s="232" t="n"/>
      <c r="AB81" s="330" t="n"/>
      <c r="AC81" s="230" t="n"/>
      <c r="AD81" s="331" t="n"/>
      <c r="AE81" s="441" t="n"/>
      <c r="AF81" s="526" t="n"/>
      <c r="AH81" s="391" t="n"/>
    </row>
    <row r="82" customFormat="1" s="141">
      <c r="A82" s="251">
        <f>+A81+1</f>
        <v/>
      </c>
      <c r="B82" s="460" t="n"/>
      <c r="C82" s="306" t="n"/>
      <c r="D82" s="325" t="n"/>
      <c r="E82" s="329" t="n"/>
      <c r="F82" s="459" t="n"/>
      <c r="G82" s="456" t="n"/>
      <c r="H82" s="457" t="n"/>
      <c r="I82" s="457" t="n"/>
      <c r="J82" s="326" t="n"/>
      <c r="K82" s="318" t="n"/>
      <c r="L82" s="244" t="n"/>
      <c r="M82" s="244" t="n"/>
      <c r="N82" s="775" t="n"/>
      <c r="O82" s="775" t="n"/>
      <c r="P82" s="304" t="n"/>
      <c r="Q82" s="305" t="n"/>
      <c r="R82" s="305" t="n"/>
      <c r="S82" s="274" t="n"/>
      <c r="T82" s="232" t="n"/>
      <c r="U82" s="232" t="n"/>
      <c r="V82" s="232" t="n"/>
      <c r="W82" s="232" t="n"/>
      <c r="X82" s="233" t="n"/>
      <c r="Y82" s="232" t="n"/>
      <c r="Z82" s="232" t="n"/>
      <c r="AA82" s="232" t="n"/>
      <c r="AB82" s="330" t="n"/>
      <c r="AC82" s="230" t="n"/>
      <c r="AD82" s="331" t="n"/>
      <c r="AE82" s="441" t="n"/>
      <c r="AF82" s="526" t="n"/>
      <c r="AH82" s="391" t="n"/>
    </row>
    <row r="83" customFormat="1" s="141">
      <c r="A83" s="251">
        <f>+A82+1</f>
        <v/>
      </c>
      <c r="B83" s="460" t="n"/>
      <c r="C83" s="306" t="n"/>
      <c r="D83" s="325" t="n"/>
      <c r="E83" s="329" t="n"/>
      <c r="F83" s="459" t="n"/>
      <c r="G83" s="456" t="n"/>
      <c r="H83" s="457" t="n"/>
      <c r="I83" s="457" t="n"/>
      <c r="J83" s="326" t="n"/>
      <c r="K83" s="318" t="n"/>
      <c r="L83" s="244" t="n"/>
      <c r="M83" s="244" t="n"/>
      <c r="N83" s="775" t="n"/>
      <c r="O83" s="775" t="n"/>
      <c r="P83" s="304" t="n"/>
      <c r="Q83" s="305" t="n"/>
      <c r="R83" s="305" t="n"/>
      <c r="S83" s="274" t="n"/>
      <c r="T83" s="232" t="n"/>
      <c r="U83" s="232" t="n"/>
      <c r="V83" s="232" t="n"/>
      <c r="W83" s="232" t="n"/>
      <c r="X83" s="233" t="n"/>
      <c r="Y83" s="232" t="n"/>
      <c r="Z83" s="232" t="n"/>
      <c r="AA83" s="232" t="n"/>
      <c r="AB83" s="330" t="n"/>
      <c r="AC83" s="230" t="n"/>
      <c r="AD83" s="331" t="n"/>
      <c r="AE83" s="441" t="n"/>
      <c r="AF83" s="526" t="n"/>
      <c r="AH83" s="391" t="n"/>
    </row>
    <row r="84" customFormat="1" s="141">
      <c r="A84" s="251">
        <f>+A83+1</f>
        <v/>
      </c>
      <c r="B84" s="460" t="n"/>
      <c r="C84" s="306" t="n"/>
      <c r="D84" s="325" t="n"/>
      <c r="E84" s="329" t="n"/>
      <c r="F84" s="459" t="n"/>
      <c r="G84" s="456" t="n"/>
      <c r="H84" s="457" t="n"/>
      <c r="I84" s="457" t="n"/>
      <c r="J84" s="326" t="n"/>
      <c r="K84" s="318" t="n"/>
      <c r="L84" s="244" t="n"/>
      <c r="M84" s="244" t="n"/>
      <c r="N84" s="775" t="n"/>
      <c r="O84" s="775" t="n"/>
      <c r="P84" s="304" t="n"/>
      <c r="Q84" s="305" t="n"/>
      <c r="R84" s="305" t="n"/>
      <c r="S84" s="274" t="n"/>
      <c r="T84" s="232" t="n"/>
      <c r="U84" s="232" t="n"/>
      <c r="V84" s="232" t="n"/>
      <c r="W84" s="232" t="n"/>
      <c r="X84" s="233" t="n"/>
      <c r="Y84" s="232" t="n"/>
      <c r="Z84" s="232" t="n"/>
      <c r="AA84" s="232" t="n"/>
      <c r="AB84" s="330" t="n"/>
      <c r="AC84" s="230" t="n"/>
      <c r="AD84" s="331" t="n"/>
      <c r="AE84" s="441" t="n"/>
      <c r="AF84" s="526" t="n"/>
      <c r="AH84" s="391" t="n"/>
    </row>
    <row r="85" customFormat="1" s="141">
      <c r="A85" s="251">
        <f>+A84+1</f>
        <v/>
      </c>
      <c r="B85" s="460" t="n"/>
      <c r="C85" s="306" t="n"/>
      <c r="D85" s="325" t="n"/>
      <c r="E85" s="329" t="n"/>
      <c r="F85" s="459" t="n"/>
      <c r="G85" s="456" t="n"/>
      <c r="H85" s="457" t="n"/>
      <c r="I85" s="457" t="n"/>
      <c r="J85" s="326" t="n"/>
      <c r="K85" s="318" t="n"/>
      <c r="L85" s="244" t="n"/>
      <c r="M85" s="244" t="n"/>
      <c r="N85" s="775" t="n"/>
      <c r="O85" s="775" t="n"/>
      <c r="P85" s="304" t="n"/>
      <c r="Q85" s="305" t="n"/>
      <c r="R85" s="305" t="n"/>
      <c r="S85" s="274" t="n"/>
      <c r="T85" s="232" t="n"/>
      <c r="U85" s="232" t="n"/>
      <c r="V85" s="232" t="n"/>
      <c r="W85" s="232" t="n"/>
      <c r="X85" s="233" t="n"/>
      <c r="Y85" s="232" t="n"/>
      <c r="Z85" s="232" t="n"/>
      <c r="AA85" s="232" t="n"/>
      <c r="AB85" s="330" t="n"/>
      <c r="AC85" s="230" t="n"/>
      <c r="AD85" s="331" t="n"/>
      <c r="AE85" s="441" t="n"/>
      <c r="AF85" s="526" t="n"/>
      <c r="AH85" s="391" t="n"/>
    </row>
    <row r="86" customFormat="1" s="141">
      <c r="A86" s="251">
        <f>+A85+1</f>
        <v/>
      </c>
      <c r="B86" s="460" t="n"/>
      <c r="C86" s="306" t="n"/>
      <c r="D86" s="325" t="n"/>
      <c r="E86" s="329" t="n"/>
      <c r="F86" s="459" t="n"/>
      <c r="G86" s="456" t="n"/>
      <c r="H86" s="457" t="n"/>
      <c r="I86" s="457" t="n"/>
      <c r="J86" s="326" t="n"/>
      <c r="K86" s="318" t="n"/>
      <c r="L86" s="244" t="n"/>
      <c r="M86" s="244" t="n"/>
      <c r="N86" s="775" t="n"/>
      <c r="O86" s="775" t="n"/>
      <c r="P86" s="304" t="n"/>
      <c r="Q86" s="305" t="n"/>
      <c r="R86" s="305" t="n"/>
      <c r="S86" s="274" t="n"/>
      <c r="T86" s="232" t="n"/>
      <c r="U86" s="232" t="n"/>
      <c r="V86" s="232" t="n"/>
      <c r="W86" s="232" t="n"/>
      <c r="X86" s="233" t="n"/>
      <c r="Y86" s="232" t="n"/>
      <c r="Z86" s="232" t="n"/>
      <c r="AA86" s="232" t="n"/>
      <c r="AB86" s="330" t="n"/>
      <c r="AC86" s="230" t="n"/>
      <c r="AD86" s="331" t="n"/>
      <c r="AE86" s="441" t="n"/>
      <c r="AF86" s="526" t="n"/>
      <c r="AH86" s="391" t="n"/>
    </row>
    <row r="87" customFormat="1" s="141">
      <c r="A87" s="251">
        <f>+A86+1</f>
        <v/>
      </c>
      <c r="B87" s="460" t="n"/>
      <c r="C87" s="306" t="n"/>
      <c r="D87" s="325" t="n"/>
      <c r="E87" s="329" t="n"/>
      <c r="F87" s="459" t="n"/>
      <c r="G87" s="456" t="n"/>
      <c r="H87" s="457" t="n"/>
      <c r="I87" s="457" t="n"/>
      <c r="J87" s="326" t="n"/>
      <c r="K87" s="318" t="n"/>
      <c r="L87" s="244" t="n"/>
      <c r="M87" s="244" t="n"/>
      <c r="N87" s="775" t="n"/>
      <c r="O87" s="775" t="n"/>
      <c r="P87" s="304" t="n"/>
      <c r="Q87" s="305" t="n"/>
      <c r="R87" s="305" t="n"/>
      <c r="S87" s="274" t="n"/>
      <c r="T87" s="232" t="n"/>
      <c r="U87" s="232" t="n"/>
      <c r="V87" s="232" t="n"/>
      <c r="W87" s="232" t="n"/>
      <c r="X87" s="233" t="n"/>
      <c r="Y87" s="232" t="n"/>
      <c r="Z87" s="232" t="n"/>
      <c r="AA87" s="232" t="n"/>
      <c r="AB87" s="330" t="n"/>
      <c r="AC87" s="230" t="n"/>
      <c r="AD87" s="331" t="n"/>
      <c r="AE87" s="441" t="n"/>
      <c r="AF87" s="526" t="n"/>
      <c r="AH87" s="391" t="n"/>
    </row>
    <row r="88" customFormat="1" s="141">
      <c r="A88" s="251">
        <f>+A87+1</f>
        <v/>
      </c>
      <c r="B88" s="460" t="n"/>
      <c r="C88" s="306" t="n"/>
      <c r="D88" s="325" t="n"/>
      <c r="E88" s="329" t="n"/>
      <c r="F88" s="459" t="n"/>
      <c r="G88" s="456" t="n"/>
      <c r="H88" s="457" t="n"/>
      <c r="I88" s="457" t="n"/>
      <c r="J88" s="326" t="n"/>
      <c r="K88" s="318" t="n"/>
      <c r="L88" s="244" t="n"/>
      <c r="M88" s="244" t="n"/>
      <c r="N88" s="775" t="n"/>
      <c r="O88" s="775" t="n"/>
      <c r="P88" s="304" t="n"/>
      <c r="Q88" s="305" t="n"/>
      <c r="R88" s="305" t="n"/>
      <c r="S88" s="274" t="n"/>
      <c r="T88" s="232" t="n"/>
      <c r="U88" s="232" t="n"/>
      <c r="V88" s="232" t="n"/>
      <c r="W88" s="232" t="n"/>
      <c r="X88" s="233" t="n"/>
      <c r="Y88" s="232" t="n"/>
      <c r="Z88" s="232" t="n"/>
      <c r="AA88" s="232" t="n"/>
      <c r="AB88" s="330" t="n"/>
      <c r="AC88" s="230" t="n"/>
      <c r="AD88" s="331" t="n"/>
      <c r="AE88" s="441" t="n"/>
      <c r="AF88" s="526" t="n"/>
      <c r="AH88" s="391" t="n"/>
    </row>
    <row r="89" customFormat="1" s="141">
      <c r="A89" s="251">
        <f>+A88+1</f>
        <v/>
      </c>
      <c r="B89" s="460" t="n"/>
      <c r="C89" s="306" t="n"/>
      <c r="D89" s="325" t="n"/>
      <c r="E89" s="329" t="n"/>
      <c r="F89" s="459" t="n"/>
      <c r="G89" s="456" t="n"/>
      <c r="H89" s="457" t="n"/>
      <c r="I89" s="457" t="n"/>
      <c r="J89" s="326" t="n"/>
      <c r="K89" s="318" t="n"/>
      <c r="L89" s="244" t="n"/>
      <c r="M89" s="244" t="n"/>
      <c r="N89" s="775" t="n"/>
      <c r="O89" s="775" t="n"/>
      <c r="P89" s="304" t="n"/>
      <c r="Q89" s="305" t="n"/>
      <c r="R89" s="305" t="n"/>
      <c r="S89" s="274" t="n"/>
      <c r="T89" s="232" t="n"/>
      <c r="U89" s="232" t="n"/>
      <c r="V89" s="232" t="n"/>
      <c r="W89" s="232" t="n"/>
      <c r="X89" s="233" t="n"/>
      <c r="Y89" s="232" t="n"/>
      <c r="Z89" s="232" t="n"/>
      <c r="AA89" s="232" t="n"/>
      <c r="AB89" s="330" t="n"/>
      <c r="AC89" s="230" t="n"/>
      <c r="AD89" s="331" t="n"/>
      <c r="AE89" s="441" t="n"/>
      <c r="AF89" s="526" t="n"/>
      <c r="AH89" s="391" t="n"/>
    </row>
    <row r="90" customFormat="1" s="141">
      <c r="A90" s="251">
        <f>+A89+1</f>
        <v/>
      </c>
      <c r="B90" s="460" t="n"/>
      <c r="C90" s="306" t="n"/>
      <c r="D90" s="325" t="n"/>
      <c r="E90" s="329" t="n"/>
      <c r="F90" s="459" t="n"/>
      <c r="G90" s="456" t="n"/>
      <c r="H90" s="457" t="n"/>
      <c r="I90" s="457" t="n"/>
      <c r="J90" s="326" t="n"/>
      <c r="K90" s="318" t="n"/>
      <c r="L90" s="244" t="n"/>
      <c r="M90" s="244" t="n"/>
      <c r="N90" s="775" t="n"/>
      <c r="O90" s="775" t="n"/>
      <c r="P90" s="304" t="n"/>
      <c r="Q90" s="305" t="n"/>
      <c r="R90" s="305" t="n"/>
      <c r="S90" s="274" t="n"/>
      <c r="T90" s="232" t="n"/>
      <c r="U90" s="232" t="n"/>
      <c r="V90" s="232" t="n"/>
      <c r="W90" s="232" t="n"/>
      <c r="X90" s="233" t="n"/>
      <c r="Y90" s="232" t="n"/>
      <c r="Z90" s="232" t="n"/>
      <c r="AA90" s="232" t="n"/>
      <c r="AB90" s="330" t="n"/>
      <c r="AC90" s="230" t="n"/>
      <c r="AD90" s="331" t="n"/>
      <c r="AE90" s="441" t="n"/>
      <c r="AF90" s="526" t="n"/>
      <c r="AH90" s="391" t="n"/>
    </row>
    <row r="91" customFormat="1" s="141">
      <c r="A91" s="251">
        <f>+A90+1</f>
        <v/>
      </c>
      <c r="B91" s="460" t="n"/>
      <c r="C91" s="306" t="n"/>
      <c r="D91" s="325" t="n"/>
      <c r="E91" s="329" t="n"/>
      <c r="F91" s="459" t="n"/>
      <c r="G91" s="456" t="n"/>
      <c r="H91" s="457" t="n"/>
      <c r="I91" s="457" t="n"/>
      <c r="J91" s="326" t="n"/>
      <c r="K91" s="318" t="n"/>
      <c r="L91" s="244" t="n"/>
      <c r="M91" s="244" t="n"/>
      <c r="N91" s="775" t="n"/>
      <c r="O91" s="775" t="n"/>
      <c r="P91" s="304" t="n"/>
      <c r="Q91" s="305" t="n"/>
      <c r="R91" s="305" t="n"/>
      <c r="S91" s="274" t="n"/>
      <c r="T91" s="232" t="n"/>
      <c r="U91" s="232" t="n"/>
      <c r="V91" s="232" t="n"/>
      <c r="W91" s="232" t="n"/>
      <c r="X91" s="233" t="n"/>
      <c r="Y91" s="232" t="n"/>
      <c r="Z91" s="232" t="n"/>
      <c r="AA91" s="232" t="n"/>
      <c r="AB91" s="330" t="n"/>
      <c r="AC91" s="230" t="n"/>
      <c r="AD91" s="331" t="n"/>
      <c r="AE91" s="441" t="n"/>
      <c r="AF91" s="526" t="n"/>
      <c r="AH91" s="391" t="n"/>
    </row>
    <row r="92" customFormat="1" s="141">
      <c r="A92" s="251">
        <f>+A91+1</f>
        <v/>
      </c>
      <c r="B92" s="460" t="n"/>
      <c r="C92" s="306" t="n"/>
      <c r="D92" s="325" t="n"/>
      <c r="E92" s="329" t="n"/>
      <c r="F92" s="459" t="n"/>
      <c r="G92" s="456" t="n"/>
      <c r="H92" s="457" t="n"/>
      <c r="I92" s="457" t="n"/>
      <c r="J92" s="326" t="n"/>
      <c r="K92" s="318" t="n"/>
      <c r="L92" s="244" t="n"/>
      <c r="M92" s="244" t="n"/>
      <c r="N92" s="775" t="n"/>
      <c r="O92" s="775" t="n"/>
      <c r="P92" s="304" t="n"/>
      <c r="Q92" s="305" t="n"/>
      <c r="R92" s="305" t="n"/>
      <c r="S92" s="274" t="n"/>
      <c r="T92" s="232" t="n"/>
      <c r="U92" s="232" t="n"/>
      <c r="V92" s="232" t="n"/>
      <c r="W92" s="232" t="n"/>
      <c r="X92" s="233" t="n"/>
      <c r="Y92" s="232" t="n"/>
      <c r="Z92" s="232" t="n"/>
      <c r="AA92" s="232" t="n"/>
      <c r="AB92" s="330" t="n"/>
      <c r="AC92" s="230" t="n"/>
      <c r="AD92" s="331" t="n"/>
      <c r="AE92" s="441" t="n"/>
      <c r="AF92" s="526" t="n"/>
      <c r="AH92" s="391" t="n"/>
    </row>
    <row r="93" customFormat="1" s="141">
      <c r="A93" s="251">
        <f>+A92+1</f>
        <v/>
      </c>
      <c r="B93" s="460" t="n"/>
      <c r="C93" s="306" t="n"/>
      <c r="D93" s="325" t="n"/>
      <c r="E93" s="329" t="n"/>
      <c r="F93" s="459" t="n"/>
      <c r="G93" s="456" t="n"/>
      <c r="H93" s="457" t="n"/>
      <c r="I93" s="457" t="n"/>
      <c r="J93" s="326" t="n"/>
      <c r="K93" s="318" t="n"/>
      <c r="L93" s="244" t="n"/>
      <c r="M93" s="244" t="n"/>
      <c r="N93" s="775" t="n"/>
      <c r="O93" s="775" t="n"/>
      <c r="P93" s="304" t="n"/>
      <c r="Q93" s="305" t="n"/>
      <c r="R93" s="305" t="n"/>
      <c r="S93" s="274" t="n"/>
      <c r="T93" s="232" t="n"/>
      <c r="U93" s="232" t="n"/>
      <c r="V93" s="232" t="n"/>
      <c r="W93" s="232" t="n"/>
      <c r="X93" s="233" t="n"/>
      <c r="Y93" s="232" t="n"/>
      <c r="Z93" s="232" t="n"/>
      <c r="AA93" s="232" t="n"/>
      <c r="AB93" s="330" t="n"/>
      <c r="AC93" s="230" t="n"/>
      <c r="AD93" s="331" t="n"/>
      <c r="AE93" s="441" t="n"/>
      <c r="AF93" s="526" t="n"/>
      <c r="AH93" s="391" t="n"/>
    </row>
    <row r="94" customFormat="1" s="141">
      <c r="A94" s="251">
        <f>+A93+1</f>
        <v/>
      </c>
      <c r="B94" s="460" t="n"/>
      <c r="C94" s="306" t="n"/>
      <c r="D94" s="325" t="n"/>
      <c r="E94" s="329" t="n"/>
      <c r="F94" s="459" t="n"/>
      <c r="G94" s="456" t="n"/>
      <c r="H94" s="457" t="n"/>
      <c r="I94" s="457" t="n"/>
      <c r="J94" s="326" t="n"/>
      <c r="K94" s="318" t="n"/>
      <c r="L94" s="244" t="n"/>
      <c r="M94" s="244" t="n"/>
      <c r="N94" s="775" t="n"/>
      <c r="O94" s="775" t="n"/>
      <c r="P94" s="304" t="n"/>
      <c r="Q94" s="305" t="n"/>
      <c r="R94" s="305" t="n"/>
      <c r="S94" s="274" t="n"/>
      <c r="T94" s="232" t="n"/>
      <c r="U94" s="232" t="n"/>
      <c r="V94" s="232" t="n"/>
      <c r="W94" s="232" t="n"/>
      <c r="X94" s="233" t="n"/>
      <c r="Y94" s="232" t="n"/>
      <c r="Z94" s="232" t="n"/>
      <c r="AA94" s="232" t="n"/>
      <c r="AB94" s="330" t="n"/>
      <c r="AC94" s="230" t="n"/>
      <c r="AD94" s="331" t="n"/>
      <c r="AE94" s="441" t="n"/>
      <c r="AF94" s="526" t="n"/>
      <c r="AH94" s="391" t="n"/>
    </row>
    <row r="95" customFormat="1" s="141">
      <c r="A95" s="251">
        <f>+A94+1</f>
        <v/>
      </c>
      <c r="B95" s="460" t="n"/>
      <c r="C95" s="306" t="n"/>
      <c r="D95" s="325" t="n"/>
      <c r="E95" s="329" t="n"/>
      <c r="F95" s="459" t="n"/>
      <c r="G95" s="456" t="n"/>
      <c r="H95" s="457" t="n"/>
      <c r="I95" s="457" t="n"/>
      <c r="J95" s="326" t="n"/>
      <c r="K95" s="318" t="n"/>
      <c r="L95" s="244" t="n"/>
      <c r="M95" s="244" t="n"/>
      <c r="N95" s="775" t="n"/>
      <c r="O95" s="775" t="n"/>
      <c r="P95" s="304" t="n"/>
      <c r="Q95" s="305" t="n"/>
      <c r="R95" s="305" t="n"/>
      <c r="S95" s="274" t="n"/>
      <c r="T95" s="232" t="n"/>
      <c r="U95" s="232" t="n"/>
      <c r="V95" s="232" t="n"/>
      <c r="W95" s="232" t="n"/>
      <c r="X95" s="233" t="n"/>
      <c r="Y95" s="232" t="n"/>
      <c r="Z95" s="232" t="n"/>
      <c r="AA95" s="232" t="n"/>
      <c r="AB95" s="330" t="n"/>
      <c r="AC95" s="230" t="n"/>
      <c r="AD95" s="331" t="n"/>
      <c r="AE95" s="441" t="n"/>
      <c r="AF95" s="526" t="n"/>
      <c r="AH95" s="391" t="n"/>
    </row>
    <row r="96" customFormat="1" s="141">
      <c r="A96" s="251">
        <f>+A95+1</f>
        <v/>
      </c>
      <c r="B96" s="460" t="n"/>
      <c r="C96" s="306" t="n"/>
      <c r="D96" s="325" t="n"/>
      <c r="E96" s="329" t="n"/>
      <c r="F96" s="459" t="n"/>
      <c r="G96" s="456" t="n"/>
      <c r="H96" s="457" t="n"/>
      <c r="I96" s="457" t="n"/>
      <c r="J96" s="326" t="n"/>
      <c r="K96" s="318" t="n"/>
      <c r="L96" s="244" t="n"/>
      <c r="M96" s="244" t="n"/>
      <c r="N96" s="775" t="n"/>
      <c r="O96" s="775" t="n"/>
      <c r="P96" s="304" t="n"/>
      <c r="Q96" s="305" t="n"/>
      <c r="R96" s="305" t="n"/>
      <c r="S96" s="274" t="n"/>
      <c r="T96" s="232" t="n"/>
      <c r="U96" s="232" t="n"/>
      <c r="V96" s="232" t="n"/>
      <c r="W96" s="232" t="n"/>
      <c r="X96" s="233" t="n"/>
      <c r="Y96" s="232" t="n"/>
      <c r="Z96" s="232" t="n"/>
      <c r="AA96" s="232" t="n"/>
      <c r="AB96" s="330" t="n"/>
      <c r="AC96" s="230" t="n"/>
      <c r="AD96" s="331" t="n"/>
      <c r="AE96" s="441" t="n"/>
      <c r="AF96" s="526" t="n"/>
      <c r="AH96" s="391" t="n"/>
    </row>
    <row r="97" customFormat="1" s="141">
      <c r="A97" s="251">
        <f>+A96+1</f>
        <v/>
      </c>
      <c r="B97" s="460" t="n"/>
      <c r="C97" s="306" t="n"/>
      <c r="D97" s="325" t="n"/>
      <c r="E97" s="329" t="n"/>
      <c r="F97" s="459" t="n"/>
      <c r="G97" s="456" t="n"/>
      <c r="H97" s="457" t="n"/>
      <c r="I97" s="457" t="n"/>
      <c r="J97" s="326" t="n"/>
      <c r="K97" s="318" t="n"/>
      <c r="L97" s="244" t="n"/>
      <c r="M97" s="244" t="n"/>
      <c r="N97" s="775" t="n"/>
      <c r="O97" s="775" t="n"/>
      <c r="P97" s="304" t="n"/>
      <c r="Q97" s="305" t="n"/>
      <c r="R97" s="305" t="n"/>
      <c r="S97" s="274" t="n"/>
      <c r="T97" s="232" t="n"/>
      <c r="U97" s="232" t="n"/>
      <c r="V97" s="232" t="n"/>
      <c r="W97" s="232" t="n"/>
      <c r="X97" s="233" t="n"/>
      <c r="Y97" s="232" t="n"/>
      <c r="Z97" s="232" t="n"/>
      <c r="AA97" s="232" t="n"/>
      <c r="AB97" s="330" t="n"/>
      <c r="AC97" s="230" t="n"/>
      <c r="AD97" s="331" t="n"/>
      <c r="AE97" s="441" t="n"/>
      <c r="AF97" s="526" t="n"/>
      <c r="AH97" s="391" t="n"/>
    </row>
    <row r="98" customFormat="1" s="141">
      <c r="A98" s="251">
        <f>+A97+1</f>
        <v/>
      </c>
      <c r="B98" s="460" t="n"/>
      <c r="C98" s="306" t="n"/>
      <c r="D98" s="325" t="n"/>
      <c r="E98" s="329" t="n"/>
      <c r="F98" s="459" t="n"/>
      <c r="G98" s="456" t="n"/>
      <c r="H98" s="457" t="n"/>
      <c r="I98" s="457" t="n"/>
      <c r="J98" s="326" t="n"/>
      <c r="K98" s="318" t="n"/>
      <c r="L98" s="244" t="n"/>
      <c r="M98" s="244" t="n"/>
      <c r="N98" s="775" t="n"/>
      <c r="O98" s="775" t="n"/>
      <c r="P98" s="304" t="n"/>
      <c r="Q98" s="305" t="n"/>
      <c r="R98" s="305" t="n"/>
      <c r="S98" s="274" t="n"/>
      <c r="T98" s="232" t="n"/>
      <c r="U98" s="232" t="n"/>
      <c r="V98" s="232" t="n"/>
      <c r="W98" s="232" t="n"/>
      <c r="X98" s="233" t="n"/>
      <c r="Y98" s="232" t="n"/>
      <c r="Z98" s="232" t="n"/>
      <c r="AA98" s="232" t="n"/>
      <c r="AB98" s="330" t="n"/>
      <c r="AC98" s="230" t="n"/>
      <c r="AD98" s="331" t="n"/>
      <c r="AE98" s="441" t="n"/>
      <c r="AF98" s="526" t="n"/>
      <c r="AH98" s="391" t="n"/>
    </row>
    <row r="99" customFormat="1" s="141">
      <c r="A99" s="251">
        <f>+A98+1</f>
        <v/>
      </c>
      <c r="B99" s="460" t="n"/>
      <c r="C99" s="306" t="n"/>
      <c r="D99" s="325" t="n"/>
      <c r="E99" s="329" t="n"/>
      <c r="F99" s="459" t="n"/>
      <c r="G99" s="456" t="n"/>
      <c r="H99" s="457" t="n"/>
      <c r="I99" s="457" t="n"/>
      <c r="J99" s="326" t="n"/>
      <c r="K99" s="318" t="n"/>
      <c r="L99" s="244" t="n"/>
      <c r="M99" s="244" t="n"/>
      <c r="N99" s="775" t="n"/>
      <c r="O99" s="775" t="n"/>
      <c r="P99" s="304" t="n"/>
      <c r="Q99" s="305" t="n"/>
      <c r="R99" s="305" t="n"/>
      <c r="S99" s="274" t="n"/>
      <c r="T99" s="232" t="n"/>
      <c r="U99" s="232" t="n"/>
      <c r="V99" s="232" t="n"/>
      <c r="W99" s="232" t="n"/>
      <c r="X99" s="233" t="n"/>
      <c r="Y99" s="232" t="n"/>
      <c r="Z99" s="232" t="n"/>
      <c r="AA99" s="232" t="n"/>
      <c r="AB99" s="330" t="n"/>
      <c r="AC99" s="230" t="n"/>
      <c r="AD99" s="331" t="n"/>
      <c r="AE99" s="441" t="n"/>
      <c r="AF99" s="526" t="n"/>
      <c r="AH99" s="391" t="n"/>
    </row>
    <row r="100" customFormat="1" s="141">
      <c r="A100" s="251">
        <f>+A99+1</f>
        <v/>
      </c>
      <c r="B100" s="460" t="n"/>
      <c r="C100" s="306" t="n"/>
      <c r="D100" s="325" t="n"/>
      <c r="E100" s="329" t="n"/>
      <c r="F100" s="459" t="n"/>
      <c r="G100" s="456" t="n"/>
      <c r="H100" s="457" t="n"/>
      <c r="I100" s="457" t="n"/>
      <c r="J100" s="326" t="n"/>
      <c r="K100" s="318" t="n"/>
      <c r="L100" s="244" t="n"/>
      <c r="M100" s="244" t="n"/>
      <c r="N100" s="775" t="n"/>
      <c r="O100" s="775" t="n"/>
      <c r="P100" s="304" t="n"/>
      <c r="Q100" s="305" t="n"/>
      <c r="R100" s="305" t="n"/>
      <c r="S100" s="274" t="n"/>
      <c r="T100" s="232" t="n"/>
      <c r="U100" s="232" t="n"/>
      <c r="V100" s="232" t="n"/>
      <c r="W100" s="232" t="n"/>
      <c r="X100" s="233" t="n"/>
      <c r="Y100" s="232" t="n"/>
      <c r="Z100" s="232" t="n"/>
      <c r="AA100" s="232" t="n"/>
      <c r="AB100" s="330" t="n"/>
      <c r="AC100" s="230" t="n"/>
      <c r="AD100" s="331" t="n"/>
      <c r="AE100" s="441" t="n"/>
      <c r="AF100" s="526" t="n"/>
      <c r="AH100" s="391" t="n"/>
    </row>
    <row r="101" customFormat="1" s="141">
      <c r="A101" s="251" t="n"/>
      <c r="B101" s="429" t="n"/>
      <c r="C101" s="306" t="n"/>
      <c r="D101" s="420" t="n"/>
      <c r="E101" s="273" t="n"/>
      <c r="F101" s="273" t="n"/>
      <c r="G101" s="231" t="n"/>
      <c r="H101" s="429" t="n"/>
      <c r="I101" s="429" t="n"/>
      <c r="J101" s="430" t="n"/>
      <c r="K101" s="431" t="n"/>
      <c r="L101" s="316" t="n"/>
      <c r="M101" s="316" t="n"/>
      <c r="N101" s="325" t="n"/>
      <c r="O101" s="325" t="n"/>
      <c r="P101" s="432" t="n"/>
      <c r="Q101" s="325" t="n"/>
      <c r="R101" s="325" t="n"/>
      <c r="S101" s="429" t="n"/>
      <c r="T101" s="232" t="n"/>
      <c r="U101" s="232" t="n"/>
      <c r="V101" s="232" t="n"/>
      <c r="W101" s="232" t="n"/>
      <c r="X101" s="233" t="n"/>
      <c r="Y101" s="232" t="n"/>
      <c r="Z101" s="232" t="n"/>
      <c r="AA101" s="232" t="n"/>
      <c r="AB101" s="330" t="n"/>
      <c r="AC101" s="230" t="n"/>
      <c r="AD101" s="331" t="n"/>
      <c r="AE101" s="441" t="n"/>
      <c r="AF101" s="526" t="n"/>
      <c r="AH101" s="391" t="n"/>
    </row>
    <row r="102" customFormat="1" s="141">
      <c r="A102" s="251" t="n"/>
      <c r="B102" s="429" t="n"/>
      <c r="C102" s="306" t="n"/>
      <c r="D102" s="420" t="n"/>
      <c r="E102" s="273" t="n"/>
      <c r="F102" s="273" t="n"/>
      <c r="G102" s="231" t="n"/>
      <c r="H102" s="429" t="n"/>
      <c r="I102" s="429" t="n"/>
      <c r="J102" s="430" t="n"/>
      <c r="K102" s="431" t="n"/>
      <c r="L102" s="316" t="n"/>
      <c r="M102" s="316" t="n"/>
      <c r="N102" s="325" t="n"/>
      <c r="O102" s="325" t="n"/>
      <c r="P102" s="432" t="n"/>
      <c r="Q102" s="325" t="n"/>
      <c r="R102" s="325" t="n"/>
      <c r="S102" s="429" t="n"/>
      <c r="T102" s="232" t="n"/>
      <c r="U102" s="232" t="n"/>
      <c r="V102" s="232" t="n"/>
      <c r="W102" s="232" t="n"/>
      <c r="X102" s="233" t="n"/>
      <c r="Y102" s="232" t="n"/>
      <c r="Z102" s="232" t="n"/>
      <c r="AA102" s="232" t="n"/>
      <c r="AB102" s="330" t="n"/>
      <c r="AC102" s="230" t="n"/>
      <c r="AD102" s="331" t="n"/>
      <c r="AE102" s="441" t="n"/>
      <c r="AF102" s="526" t="n"/>
      <c r="AH102" s="391" t="n"/>
    </row>
    <row r="103" customFormat="1" s="141">
      <c r="A103" s="251" t="n"/>
      <c r="B103" s="429" t="n"/>
      <c r="C103" s="306" t="n"/>
      <c r="D103" s="420" t="n"/>
      <c r="E103" s="273" t="n"/>
      <c r="F103" s="273" t="n"/>
      <c r="G103" s="231" t="n"/>
      <c r="H103" s="429" t="n"/>
      <c r="I103" s="429" t="n"/>
      <c r="J103" s="430" t="n"/>
      <c r="K103" s="431" t="n"/>
      <c r="L103" s="316" t="n"/>
      <c r="M103" s="316" t="n"/>
      <c r="N103" s="325" t="n"/>
      <c r="O103" s="325" t="n"/>
      <c r="P103" s="432" t="n"/>
      <c r="Q103" s="325" t="n"/>
      <c r="R103" s="325" t="n"/>
      <c r="S103" s="429" t="n"/>
      <c r="T103" s="232" t="n"/>
      <c r="U103" s="232" t="n"/>
      <c r="V103" s="232" t="n"/>
      <c r="W103" s="232" t="n"/>
      <c r="X103" s="233" t="n"/>
      <c r="Y103" s="232" t="n"/>
      <c r="Z103" s="232" t="n"/>
      <c r="AA103" s="232" t="n"/>
      <c r="AB103" s="330" t="n"/>
      <c r="AC103" s="230" t="n"/>
      <c r="AD103" s="331" t="n"/>
      <c r="AE103" s="441" t="n"/>
      <c r="AF103" s="526" t="n"/>
      <c r="AH103" s="391" t="n"/>
    </row>
    <row r="104" customFormat="1" s="141">
      <c r="A104" s="251" t="n"/>
      <c r="B104" s="429" t="n"/>
      <c r="C104" s="306" t="n"/>
      <c r="D104" s="420" t="n"/>
      <c r="E104" s="273" t="n"/>
      <c r="F104" s="273" t="n"/>
      <c r="G104" s="231" t="n"/>
      <c r="H104" s="429" t="n"/>
      <c r="I104" s="429" t="n"/>
      <c r="J104" s="430" t="n"/>
      <c r="K104" s="431" t="n"/>
      <c r="L104" s="316" t="n"/>
      <c r="M104" s="316" t="n"/>
      <c r="N104" s="325" t="n"/>
      <c r="O104" s="325" t="n"/>
      <c r="P104" s="432" t="n"/>
      <c r="Q104" s="325" t="n"/>
      <c r="R104" s="325" t="n"/>
      <c r="S104" s="429" t="n"/>
      <c r="T104" s="232" t="n"/>
      <c r="U104" s="232" t="n"/>
      <c r="V104" s="232" t="n"/>
      <c r="W104" s="232" t="n"/>
      <c r="X104" s="233" t="n"/>
      <c r="Y104" s="232" t="n"/>
      <c r="Z104" s="232" t="n"/>
      <c r="AA104" s="232" t="n"/>
      <c r="AB104" s="330" t="n"/>
      <c r="AC104" s="230" t="n"/>
      <c r="AD104" s="331" t="n"/>
      <c r="AE104" s="441" t="n"/>
      <c r="AF104" s="526" t="n"/>
      <c r="AH104" s="391" t="n"/>
    </row>
    <row r="105" customFormat="1" s="141">
      <c r="A105" s="251" t="n"/>
      <c r="B105" s="429" t="n"/>
      <c r="C105" s="306" t="n"/>
      <c r="D105" s="420" t="n"/>
      <c r="E105" s="273" t="n"/>
      <c r="F105" s="273" t="n"/>
      <c r="G105" s="231" t="n"/>
      <c r="H105" s="429" t="n"/>
      <c r="I105" s="429" t="n"/>
      <c r="J105" s="430" t="n"/>
      <c r="K105" s="431" t="n"/>
      <c r="L105" s="316" t="n"/>
      <c r="M105" s="316" t="n"/>
      <c r="N105" s="325" t="n"/>
      <c r="O105" s="325" t="n"/>
      <c r="P105" s="432" t="n"/>
      <c r="Q105" s="325" t="n"/>
      <c r="R105" s="325" t="n"/>
      <c r="S105" s="429" t="n"/>
      <c r="T105" s="232" t="n"/>
      <c r="U105" s="232" t="n"/>
      <c r="V105" s="232" t="n"/>
      <c r="W105" s="232" t="n"/>
      <c r="X105" s="233" t="n"/>
      <c r="Y105" s="232" t="n"/>
      <c r="Z105" s="232" t="n"/>
      <c r="AA105" s="232" t="n"/>
      <c r="AB105" s="330" t="n"/>
      <c r="AC105" s="230" t="n"/>
      <c r="AD105" s="331" t="n"/>
      <c r="AE105" s="441" t="n"/>
      <c r="AF105" s="526" t="n"/>
      <c r="AH105" s="391" t="n"/>
    </row>
    <row r="106" customFormat="1" s="141">
      <c r="A106" s="251" t="n"/>
      <c r="B106" s="429" t="n"/>
      <c r="C106" s="306" t="n"/>
      <c r="D106" s="420" t="n"/>
      <c r="E106" s="273" t="n"/>
      <c r="F106" s="273" t="n"/>
      <c r="G106" s="231" t="n"/>
      <c r="H106" s="429" t="n"/>
      <c r="I106" s="429" t="n"/>
      <c r="J106" s="430" t="n"/>
      <c r="K106" s="431" t="n"/>
      <c r="L106" s="316" t="n"/>
      <c r="M106" s="316" t="n"/>
      <c r="N106" s="325" t="n"/>
      <c r="O106" s="325" t="n"/>
      <c r="P106" s="432" t="n"/>
      <c r="Q106" s="325" t="n"/>
      <c r="R106" s="325" t="n"/>
      <c r="S106" s="429" t="n"/>
      <c r="T106" s="232" t="n"/>
      <c r="U106" s="232" t="n"/>
      <c r="V106" s="232" t="n"/>
      <c r="W106" s="232" t="n"/>
      <c r="X106" s="233" t="n"/>
      <c r="Y106" s="232" t="n"/>
      <c r="Z106" s="232" t="n"/>
      <c r="AA106" s="232" t="n"/>
      <c r="AB106" s="330" t="n"/>
      <c r="AC106" s="230" t="n"/>
      <c r="AD106" s="331" t="n"/>
      <c r="AE106" s="441" t="n"/>
      <c r="AF106" s="526" t="n"/>
      <c r="AH106" s="391" t="n"/>
    </row>
    <row r="107" customFormat="1" s="141">
      <c r="A107" s="251" t="n"/>
      <c r="B107" s="429" t="n"/>
      <c r="C107" s="306" t="n"/>
      <c r="D107" s="420" t="n"/>
      <c r="E107" s="273" t="n"/>
      <c r="F107" s="273" t="n"/>
      <c r="G107" s="231" t="n"/>
      <c r="H107" s="429" t="n"/>
      <c r="I107" s="429" t="n"/>
      <c r="J107" s="430" t="n"/>
      <c r="K107" s="431" t="n"/>
      <c r="L107" s="316" t="n"/>
      <c r="M107" s="316" t="n"/>
      <c r="N107" s="325" t="n"/>
      <c r="O107" s="325" t="n"/>
      <c r="P107" s="432" t="n"/>
      <c r="Q107" s="325" t="n"/>
      <c r="R107" s="325" t="n"/>
      <c r="S107" s="429" t="n"/>
      <c r="T107" s="232" t="n"/>
      <c r="U107" s="232" t="n"/>
      <c r="V107" s="232" t="n"/>
      <c r="W107" s="232" t="n"/>
      <c r="X107" s="233" t="n"/>
      <c r="Y107" s="232" t="n"/>
      <c r="Z107" s="232" t="n"/>
      <c r="AA107" s="232" t="n"/>
      <c r="AB107" s="330" t="n"/>
      <c r="AC107" s="230" t="n"/>
      <c r="AD107" s="331" t="n"/>
      <c r="AE107" s="441" t="n"/>
      <c r="AF107" s="526" t="n"/>
      <c r="AH107" s="391" t="n"/>
    </row>
    <row r="108" customFormat="1" s="141">
      <c r="A108" s="251" t="n"/>
      <c r="B108" s="429" t="n"/>
      <c r="C108" s="306" t="n"/>
      <c r="D108" s="420" t="n"/>
      <c r="E108" s="273" t="n"/>
      <c r="F108" s="273" t="n"/>
      <c r="G108" s="231" t="n"/>
      <c r="H108" s="429" t="n"/>
      <c r="I108" s="429" t="n"/>
      <c r="J108" s="430" t="n"/>
      <c r="K108" s="431" t="n"/>
      <c r="L108" s="316" t="n"/>
      <c r="M108" s="316" t="n"/>
      <c r="N108" s="325" t="n"/>
      <c r="O108" s="325" t="n"/>
      <c r="P108" s="432" t="n"/>
      <c r="Q108" s="325" t="n"/>
      <c r="R108" s="325" t="n"/>
      <c r="S108" s="429" t="n"/>
      <c r="T108" s="232" t="n"/>
      <c r="U108" s="232" t="n"/>
      <c r="V108" s="232" t="n"/>
      <c r="W108" s="232" t="n"/>
      <c r="X108" s="233" t="n"/>
      <c r="Y108" s="232" t="n"/>
      <c r="Z108" s="232" t="n"/>
      <c r="AA108" s="232" t="n"/>
      <c r="AB108" s="330" t="n"/>
      <c r="AC108" s="230" t="n"/>
      <c r="AD108" s="331" t="n"/>
      <c r="AE108" s="441" t="n"/>
      <c r="AF108" s="526" t="n"/>
      <c r="AH108" s="391" t="n"/>
    </row>
    <row r="109" customFormat="1" s="141">
      <c r="A109" s="251" t="n"/>
      <c r="B109" s="429" t="n"/>
      <c r="C109" s="306" t="n"/>
      <c r="D109" s="420" t="n"/>
      <c r="E109" s="273" t="n"/>
      <c r="F109" s="273" t="n"/>
      <c r="G109" s="231" t="n"/>
      <c r="H109" s="429" t="n"/>
      <c r="I109" s="429" t="n"/>
      <c r="J109" s="430" t="n"/>
      <c r="K109" s="431" t="n"/>
      <c r="L109" s="316" t="n"/>
      <c r="M109" s="316" t="n"/>
      <c r="N109" s="325" t="n"/>
      <c r="O109" s="325" t="n"/>
      <c r="P109" s="432" t="n"/>
      <c r="Q109" s="325" t="n"/>
      <c r="R109" s="325" t="n"/>
      <c r="S109" s="429" t="n"/>
      <c r="T109" s="232" t="n"/>
      <c r="U109" s="232" t="n"/>
      <c r="V109" s="232" t="n"/>
      <c r="W109" s="232" t="n"/>
      <c r="X109" s="233" t="n"/>
      <c r="Y109" s="232" t="n"/>
      <c r="Z109" s="232" t="n"/>
      <c r="AA109" s="232" t="n"/>
      <c r="AB109" s="330" t="n"/>
      <c r="AC109" s="230" t="n"/>
      <c r="AD109" s="331" t="n"/>
      <c r="AE109" s="441" t="n"/>
      <c r="AF109" s="526" t="n"/>
      <c r="AH109" s="391" t="n"/>
    </row>
    <row r="110" customFormat="1" s="141">
      <c r="A110" s="251" t="n"/>
      <c r="B110" s="429" t="n"/>
      <c r="C110" s="306" t="n"/>
      <c r="D110" s="420" t="n"/>
      <c r="E110" s="273" t="n"/>
      <c r="F110" s="273" t="n"/>
      <c r="G110" s="231" t="n"/>
      <c r="H110" s="429" t="n"/>
      <c r="I110" s="429" t="n"/>
      <c r="J110" s="430" t="n"/>
      <c r="K110" s="431" t="n"/>
      <c r="L110" s="316" t="n"/>
      <c r="M110" s="316" t="n"/>
      <c r="N110" s="325" t="n"/>
      <c r="O110" s="325" t="n"/>
      <c r="P110" s="432" t="n"/>
      <c r="Q110" s="325" t="n"/>
      <c r="R110" s="325" t="n"/>
      <c r="S110" s="429" t="n"/>
      <c r="T110" s="232" t="n"/>
      <c r="U110" s="232" t="n"/>
      <c r="V110" s="232" t="n"/>
      <c r="W110" s="232" t="n"/>
      <c r="X110" s="233" t="n"/>
      <c r="Y110" s="232" t="n"/>
      <c r="Z110" s="232" t="n"/>
      <c r="AA110" s="232" t="n"/>
      <c r="AB110" s="330" t="n"/>
      <c r="AC110" s="230" t="n"/>
      <c r="AD110" s="331" t="n"/>
      <c r="AE110" s="441" t="n"/>
      <c r="AF110" s="526" t="n"/>
      <c r="AH110" s="391" t="n"/>
    </row>
    <row r="111" customFormat="1" s="141">
      <c r="A111" s="251" t="n"/>
      <c r="B111" s="429" t="n"/>
      <c r="C111" s="306" t="n"/>
      <c r="D111" s="420" t="n"/>
      <c r="E111" s="273" t="n"/>
      <c r="F111" s="273" t="n"/>
      <c r="G111" s="231" t="n"/>
      <c r="H111" s="429" t="n"/>
      <c r="I111" s="429" t="n"/>
      <c r="J111" s="430" t="n"/>
      <c r="K111" s="431" t="n"/>
      <c r="L111" s="316" t="n"/>
      <c r="M111" s="316" t="n"/>
      <c r="N111" s="325" t="n"/>
      <c r="O111" s="325" t="n"/>
      <c r="P111" s="432" t="n"/>
      <c r="Q111" s="325" t="n"/>
      <c r="R111" s="325" t="n"/>
      <c r="S111" s="429" t="n"/>
      <c r="T111" s="232" t="n"/>
      <c r="U111" s="232" t="n"/>
      <c r="V111" s="232" t="n"/>
      <c r="W111" s="232" t="n"/>
      <c r="X111" s="233" t="n"/>
      <c r="Y111" s="232" t="n"/>
      <c r="Z111" s="232" t="n"/>
      <c r="AA111" s="232" t="n"/>
      <c r="AB111" s="330" t="n"/>
      <c r="AC111" s="230" t="n"/>
      <c r="AD111" s="331" t="n"/>
      <c r="AE111" s="441" t="n"/>
      <c r="AF111" s="526" t="n"/>
      <c r="AH111" s="391" t="n"/>
    </row>
    <row r="112" customFormat="1" s="141">
      <c r="A112" s="251" t="n"/>
      <c r="B112" s="429" t="n"/>
      <c r="C112" s="306" t="n"/>
      <c r="D112" s="420" t="n"/>
      <c r="E112" s="273" t="n"/>
      <c r="F112" s="273" t="n"/>
      <c r="G112" s="231" t="n"/>
      <c r="H112" s="429" t="n"/>
      <c r="I112" s="429" t="n"/>
      <c r="J112" s="430" t="n"/>
      <c r="K112" s="431" t="n"/>
      <c r="L112" s="316" t="n"/>
      <c r="M112" s="316" t="n"/>
      <c r="N112" s="325" t="n"/>
      <c r="O112" s="325" t="n"/>
      <c r="P112" s="432" t="n"/>
      <c r="Q112" s="325" t="n"/>
      <c r="R112" s="325" t="n"/>
      <c r="S112" s="429" t="n"/>
      <c r="T112" s="232" t="n"/>
      <c r="U112" s="232" t="n"/>
      <c r="V112" s="232" t="n"/>
      <c r="W112" s="232" t="n"/>
      <c r="X112" s="233" t="n"/>
      <c r="Y112" s="232" t="n"/>
      <c r="Z112" s="232" t="n"/>
      <c r="AA112" s="232" t="n"/>
      <c r="AB112" s="330" t="n"/>
      <c r="AC112" s="230" t="n"/>
      <c r="AD112" s="331" t="n"/>
      <c r="AE112" s="441" t="n"/>
      <c r="AF112" s="526" t="n"/>
      <c r="AH112" s="391" t="n"/>
    </row>
    <row r="113" customFormat="1" s="141">
      <c r="A113" s="251" t="n"/>
      <c r="B113" s="429" t="n"/>
      <c r="C113" s="306" t="n"/>
      <c r="D113" s="420" t="n"/>
      <c r="E113" s="273" t="n"/>
      <c r="F113" s="273" t="n"/>
      <c r="G113" s="231" t="n"/>
      <c r="H113" s="429" t="n"/>
      <c r="I113" s="429" t="n"/>
      <c r="J113" s="430" t="n"/>
      <c r="K113" s="431" t="n"/>
      <c r="L113" s="316" t="n"/>
      <c r="M113" s="316" t="n"/>
      <c r="N113" s="325" t="n"/>
      <c r="O113" s="325" t="n"/>
      <c r="P113" s="432" t="n"/>
      <c r="Q113" s="325" t="n"/>
      <c r="R113" s="325" t="n"/>
      <c r="S113" s="429" t="n"/>
      <c r="T113" s="232" t="n"/>
      <c r="U113" s="232" t="n"/>
      <c r="V113" s="232" t="n"/>
      <c r="W113" s="232" t="n"/>
      <c r="X113" s="233" t="n"/>
      <c r="Y113" s="232" t="n"/>
      <c r="Z113" s="232" t="n"/>
      <c r="AA113" s="232" t="n"/>
      <c r="AB113" s="330" t="n"/>
      <c r="AC113" s="230" t="n"/>
      <c r="AD113" s="331" t="n"/>
      <c r="AE113" s="441" t="n"/>
      <c r="AF113" s="526" t="n"/>
      <c r="AH113" s="391" t="n"/>
    </row>
    <row r="114" customFormat="1" s="141">
      <c r="A114" s="251" t="n"/>
      <c r="B114" s="429" t="n"/>
      <c r="C114" s="306" t="n"/>
      <c r="D114" s="420" t="n"/>
      <c r="E114" s="273" t="n"/>
      <c r="F114" s="273" t="n"/>
      <c r="G114" s="231" t="n"/>
      <c r="H114" s="429" t="n"/>
      <c r="I114" s="429" t="n"/>
      <c r="J114" s="430" t="n"/>
      <c r="K114" s="431" t="n"/>
      <c r="L114" s="316" t="n"/>
      <c r="M114" s="316" t="n"/>
      <c r="N114" s="325" t="n"/>
      <c r="O114" s="325" t="n"/>
      <c r="P114" s="432" t="n"/>
      <c r="Q114" s="325" t="n"/>
      <c r="R114" s="325" t="n"/>
      <c r="S114" s="429" t="n"/>
      <c r="T114" s="232" t="n"/>
      <c r="U114" s="232" t="n"/>
      <c r="V114" s="232" t="n"/>
      <c r="W114" s="232" t="n"/>
      <c r="X114" s="233" t="n"/>
      <c r="Y114" s="232" t="n"/>
      <c r="Z114" s="232" t="n"/>
      <c r="AA114" s="232" t="n"/>
      <c r="AB114" s="330" t="n"/>
      <c r="AC114" s="230" t="n"/>
      <c r="AD114" s="331" t="n"/>
      <c r="AE114" s="441" t="n"/>
      <c r="AF114" s="526" t="n"/>
      <c r="AH114" s="391" t="n"/>
    </row>
    <row r="115" customFormat="1" s="141">
      <c r="A115" s="251" t="n"/>
      <c r="B115" s="429" t="n"/>
      <c r="C115" s="306" t="n"/>
      <c r="D115" s="420" t="n"/>
      <c r="E115" s="273" t="n"/>
      <c r="F115" s="273" t="n"/>
      <c r="G115" s="231" t="n"/>
      <c r="H115" s="429" t="n"/>
      <c r="I115" s="429" t="n"/>
      <c r="J115" s="430" t="n"/>
      <c r="K115" s="431" t="n"/>
      <c r="L115" s="316" t="n"/>
      <c r="M115" s="316" t="n"/>
      <c r="N115" s="325" t="n"/>
      <c r="O115" s="325" t="n"/>
      <c r="P115" s="432" t="n"/>
      <c r="Q115" s="325" t="n"/>
      <c r="R115" s="325" t="n"/>
      <c r="S115" s="429" t="n"/>
      <c r="T115" s="232" t="n"/>
      <c r="U115" s="232" t="n"/>
      <c r="V115" s="232" t="n"/>
      <c r="W115" s="232" t="n"/>
      <c r="X115" s="233" t="n"/>
      <c r="Y115" s="232" t="n"/>
      <c r="Z115" s="232" t="n"/>
      <c r="AA115" s="232" t="n"/>
      <c r="AB115" s="330" t="n"/>
      <c r="AC115" s="230" t="n"/>
      <c r="AD115" s="331" t="n"/>
      <c r="AE115" s="441" t="n"/>
      <c r="AF115" s="526" t="n"/>
      <c r="AH115" s="391" t="n"/>
    </row>
    <row r="116" customFormat="1" s="141">
      <c r="A116" s="251" t="n"/>
      <c r="B116" s="429" t="n"/>
      <c r="C116" s="306" t="n"/>
      <c r="D116" s="420" t="n"/>
      <c r="E116" s="273" t="n"/>
      <c r="F116" s="273" t="n"/>
      <c r="G116" s="231" t="n"/>
      <c r="H116" s="429" t="n"/>
      <c r="I116" s="429" t="n"/>
      <c r="J116" s="430" t="n"/>
      <c r="K116" s="431" t="n"/>
      <c r="L116" s="316" t="n"/>
      <c r="M116" s="316" t="n"/>
      <c r="N116" s="325" t="n"/>
      <c r="O116" s="325" t="n"/>
      <c r="P116" s="432" t="n"/>
      <c r="Q116" s="325" t="n"/>
      <c r="R116" s="325" t="n"/>
      <c r="S116" s="429" t="n"/>
      <c r="T116" s="232" t="n"/>
      <c r="U116" s="232" t="n"/>
      <c r="V116" s="232" t="n"/>
      <c r="W116" s="232" t="n"/>
      <c r="X116" s="233" t="n"/>
      <c r="Y116" s="232" t="n"/>
      <c r="Z116" s="232" t="n"/>
      <c r="AA116" s="232" t="n"/>
      <c r="AB116" s="330" t="n"/>
      <c r="AC116" s="230" t="n"/>
      <c r="AD116" s="331" t="n"/>
      <c r="AE116" s="441" t="n"/>
      <c r="AF116" s="526" t="n"/>
      <c r="AH116" s="391" t="n"/>
    </row>
    <row r="117" customFormat="1" s="141">
      <c r="A117" s="251" t="n"/>
      <c r="B117" s="429" t="n"/>
      <c r="C117" s="306" t="n"/>
      <c r="D117" s="420" t="n"/>
      <c r="E117" s="273" t="n"/>
      <c r="F117" s="273" t="n"/>
      <c r="G117" s="231" t="n"/>
      <c r="H117" s="429" t="n"/>
      <c r="I117" s="429" t="n"/>
      <c r="J117" s="430" t="n"/>
      <c r="K117" s="431" t="n"/>
      <c r="L117" s="316" t="n"/>
      <c r="M117" s="316" t="n"/>
      <c r="N117" s="325" t="n"/>
      <c r="O117" s="325" t="n"/>
      <c r="P117" s="432" t="n"/>
      <c r="Q117" s="325" t="n"/>
      <c r="R117" s="325" t="n"/>
      <c r="S117" s="429" t="n"/>
      <c r="T117" s="232" t="n"/>
      <c r="U117" s="232" t="n"/>
      <c r="V117" s="232" t="n"/>
      <c r="W117" s="232" t="n"/>
      <c r="X117" s="233" t="n"/>
      <c r="Y117" s="232" t="n"/>
      <c r="Z117" s="232" t="n"/>
      <c r="AA117" s="232" t="n"/>
      <c r="AB117" s="330" t="n"/>
      <c r="AC117" s="230" t="n"/>
      <c r="AD117" s="331" t="n"/>
      <c r="AE117" s="441" t="n"/>
      <c r="AF117" s="526" t="n"/>
      <c r="AH117" s="391" t="n"/>
    </row>
    <row r="118" customFormat="1" s="141">
      <c r="A118" s="251" t="n"/>
      <c r="B118" s="429" t="n"/>
      <c r="C118" s="306" t="n"/>
      <c r="D118" s="420" t="n"/>
      <c r="E118" s="273" t="n"/>
      <c r="F118" s="273" t="n"/>
      <c r="G118" s="231" t="n"/>
      <c r="H118" s="429" t="n"/>
      <c r="I118" s="429" t="n"/>
      <c r="J118" s="430" t="n"/>
      <c r="K118" s="431" t="n"/>
      <c r="L118" s="316" t="n"/>
      <c r="M118" s="316" t="n"/>
      <c r="N118" s="325" t="n"/>
      <c r="O118" s="325" t="n"/>
      <c r="P118" s="432" t="n"/>
      <c r="Q118" s="325" t="n"/>
      <c r="R118" s="325" t="n"/>
      <c r="S118" s="429" t="n"/>
      <c r="T118" s="232" t="n"/>
      <c r="U118" s="232" t="n"/>
      <c r="V118" s="232" t="n"/>
      <c r="W118" s="232" t="n"/>
      <c r="X118" s="233" t="n"/>
      <c r="Y118" s="232" t="n"/>
      <c r="Z118" s="232" t="n"/>
      <c r="AA118" s="232" t="n"/>
      <c r="AB118" s="330" t="n"/>
      <c r="AC118" s="230" t="n"/>
      <c r="AD118" s="331" t="n"/>
      <c r="AE118" s="441" t="n"/>
      <c r="AF118" s="526" t="n"/>
      <c r="AH118" s="391" t="n"/>
    </row>
    <row r="119" customFormat="1" s="141">
      <c r="A119" s="251" t="n"/>
      <c r="B119" s="429" t="n"/>
      <c r="C119" s="306" t="n"/>
      <c r="D119" s="420" t="n"/>
      <c r="E119" s="273" t="n"/>
      <c r="F119" s="273" t="n"/>
      <c r="G119" s="231" t="n"/>
      <c r="H119" s="429" t="n"/>
      <c r="I119" s="429" t="n"/>
      <c r="J119" s="430" t="n"/>
      <c r="K119" s="431" t="n"/>
      <c r="L119" s="316" t="n"/>
      <c r="M119" s="316" t="n"/>
      <c r="N119" s="325" t="n"/>
      <c r="O119" s="325" t="n"/>
      <c r="P119" s="432" t="n"/>
      <c r="Q119" s="325" t="n"/>
      <c r="R119" s="325" t="n"/>
      <c r="S119" s="429" t="n"/>
      <c r="T119" s="232" t="n"/>
      <c r="U119" s="232" t="n"/>
      <c r="V119" s="232" t="n"/>
      <c r="W119" s="232" t="n"/>
      <c r="X119" s="233" t="n"/>
      <c r="Y119" s="232" t="n"/>
      <c r="Z119" s="232" t="n"/>
      <c r="AA119" s="232" t="n"/>
      <c r="AB119" s="330" t="n"/>
      <c r="AC119" s="230" t="n"/>
      <c r="AD119" s="331" t="n"/>
      <c r="AE119" s="441" t="n"/>
      <c r="AF119" s="526" t="n"/>
      <c r="AH119" s="391" t="n"/>
    </row>
    <row r="120" customFormat="1" s="141">
      <c r="A120" s="251" t="n"/>
      <c r="B120" s="429" t="n"/>
      <c r="C120" s="306" t="n"/>
      <c r="D120" s="420" t="n"/>
      <c r="E120" s="273" t="n"/>
      <c r="F120" s="273" t="n"/>
      <c r="G120" s="231" t="n"/>
      <c r="H120" s="429" t="n"/>
      <c r="I120" s="429" t="n"/>
      <c r="J120" s="430" t="n"/>
      <c r="K120" s="431" t="n"/>
      <c r="L120" s="316" t="n"/>
      <c r="M120" s="316" t="n"/>
      <c r="N120" s="325" t="n"/>
      <c r="O120" s="325" t="n"/>
      <c r="P120" s="432" t="n"/>
      <c r="Q120" s="325" t="n"/>
      <c r="R120" s="325" t="n"/>
      <c r="S120" s="429" t="n"/>
      <c r="T120" s="232" t="n"/>
      <c r="U120" s="232" t="n"/>
      <c r="V120" s="232" t="n"/>
      <c r="W120" s="232" t="n"/>
      <c r="X120" s="233" t="n"/>
      <c r="Y120" s="232" t="n"/>
      <c r="Z120" s="232" t="n"/>
      <c r="AA120" s="232" t="n"/>
      <c r="AB120" s="330" t="n"/>
      <c r="AC120" s="230" t="n"/>
      <c r="AD120" s="331" t="n"/>
      <c r="AE120" s="441" t="n"/>
      <c r="AF120" s="526" t="n"/>
      <c r="AH120" s="391" t="n"/>
    </row>
    <row r="121" customFormat="1" s="141">
      <c r="A121" s="251" t="n"/>
      <c r="B121" s="429" t="n"/>
      <c r="C121" s="306" t="n"/>
      <c r="D121" s="420" t="n"/>
      <c r="E121" s="273" t="n"/>
      <c r="F121" s="273" t="n"/>
      <c r="G121" s="231" t="n"/>
      <c r="H121" s="429" t="n"/>
      <c r="I121" s="429" t="n"/>
      <c r="J121" s="430" t="n"/>
      <c r="K121" s="431" t="n"/>
      <c r="L121" s="316" t="n"/>
      <c r="M121" s="316" t="n"/>
      <c r="N121" s="325" t="n"/>
      <c r="O121" s="325" t="n"/>
      <c r="P121" s="432" t="n"/>
      <c r="Q121" s="325" t="n"/>
      <c r="R121" s="325" t="n"/>
      <c r="S121" s="429" t="n"/>
      <c r="T121" s="232" t="n"/>
      <c r="U121" s="232" t="n"/>
      <c r="V121" s="232" t="n"/>
      <c r="W121" s="232" t="n"/>
      <c r="X121" s="233" t="n"/>
      <c r="Y121" s="232" t="n"/>
      <c r="Z121" s="232" t="n"/>
      <c r="AA121" s="232" t="n"/>
      <c r="AB121" s="330" t="n"/>
      <c r="AC121" s="230" t="n"/>
      <c r="AD121" s="331" t="n"/>
      <c r="AE121" s="441" t="n"/>
      <c r="AF121" s="526" t="n"/>
      <c r="AH121" s="391" t="n"/>
    </row>
    <row r="122" customFormat="1" s="141">
      <c r="A122" s="251" t="n"/>
      <c r="B122" s="429" t="n"/>
      <c r="C122" s="306" t="n"/>
      <c r="D122" s="420" t="n"/>
      <c r="E122" s="273" t="n"/>
      <c r="F122" s="273" t="n"/>
      <c r="G122" s="231" t="n"/>
      <c r="H122" s="429" t="n"/>
      <c r="I122" s="429" t="n"/>
      <c r="J122" s="430" t="n"/>
      <c r="K122" s="431" t="n"/>
      <c r="L122" s="316" t="n"/>
      <c r="M122" s="316" t="n"/>
      <c r="N122" s="325" t="n"/>
      <c r="O122" s="325" t="n"/>
      <c r="P122" s="432" t="n"/>
      <c r="Q122" s="325" t="n"/>
      <c r="R122" s="325" t="n"/>
      <c r="S122" s="429" t="n"/>
      <c r="T122" s="232" t="n"/>
      <c r="U122" s="232" t="n"/>
      <c r="V122" s="232" t="n"/>
      <c r="W122" s="232" t="n"/>
      <c r="X122" s="233" t="n"/>
      <c r="Y122" s="232" t="n"/>
      <c r="Z122" s="232" t="n"/>
      <c r="AA122" s="232" t="n"/>
      <c r="AB122" s="330" t="n"/>
      <c r="AC122" s="230" t="n"/>
      <c r="AD122" s="331" t="n"/>
      <c r="AE122" s="441" t="n"/>
      <c r="AF122" s="526" t="n"/>
      <c r="AH122" s="391" t="n"/>
    </row>
    <row r="123" customFormat="1" s="141">
      <c r="A123" s="251" t="n"/>
      <c r="B123" s="429" t="n"/>
      <c r="C123" s="306" t="n"/>
      <c r="D123" s="420" t="n"/>
      <c r="E123" s="273" t="n"/>
      <c r="F123" s="273" t="n"/>
      <c r="G123" s="231" t="n"/>
      <c r="H123" s="429" t="n"/>
      <c r="I123" s="429" t="n"/>
      <c r="J123" s="430" t="n"/>
      <c r="K123" s="431" t="n"/>
      <c r="L123" s="316" t="n"/>
      <c r="M123" s="316" t="n"/>
      <c r="N123" s="325" t="n"/>
      <c r="O123" s="325" t="n"/>
      <c r="P123" s="432" t="n"/>
      <c r="Q123" s="325" t="n"/>
      <c r="R123" s="325" t="n"/>
      <c r="S123" s="429" t="n"/>
      <c r="T123" s="232" t="n"/>
      <c r="U123" s="232" t="n"/>
      <c r="V123" s="232" t="n"/>
      <c r="W123" s="232" t="n"/>
      <c r="X123" s="233" t="n"/>
      <c r="Y123" s="232" t="n"/>
      <c r="Z123" s="232" t="n"/>
      <c r="AA123" s="232" t="n"/>
      <c r="AB123" s="330" t="n"/>
      <c r="AC123" s="230" t="n"/>
      <c r="AD123" s="331" t="n"/>
      <c r="AE123" s="441" t="n"/>
      <c r="AF123" s="526" t="n"/>
      <c r="AH123" s="391" t="n"/>
    </row>
    <row r="124" customFormat="1" s="141">
      <c r="A124" s="251" t="n"/>
      <c r="B124" s="429" t="n"/>
      <c r="C124" s="306" t="n"/>
      <c r="D124" s="420" t="n"/>
      <c r="E124" s="273" t="n"/>
      <c r="F124" s="273" t="n"/>
      <c r="G124" s="231" t="n"/>
      <c r="H124" s="429" t="n"/>
      <c r="I124" s="429" t="n"/>
      <c r="J124" s="430" t="n"/>
      <c r="K124" s="431" t="n"/>
      <c r="L124" s="316" t="n"/>
      <c r="M124" s="316" t="n"/>
      <c r="N124" s="325" t="n"/>
      <c r="O124" s="325" t="n"/>
      <c r="P124" s="432" t="n"/>
      <c r="Q124" s="325" t="n"/>
      <c r="R124" s="325" t="n"/>
      <c r="S124" s="429" t="n"/>
      <c r="T124" s="232" t="n"/>
      <c r="U124" s="232" t="n"/>
      <c r="V124" s="232" t="n"/>
      <c r="W124" s="232" t="n"/>
      <c r="X124" s="233" t="n"/>
      <c r="Y124" s="232" t="n"/>
      <c r="Z124" s="232" t="n"/>
      <c r="AA124" s="232" t="n"/>
      <c r="AB124" s="330" t="n"/>
      <c r="AC124" s="230" t="n"/>
      <c r="AD124" s="331" t="n"/>
      <c r="AE124" s="441" t="n"/>
      <c r="AF124" s="526" t="n"/>
      <c r="AH124" s="391" t="n"/>
    </row>
    <row r="125" customFormat="1" s="141">
      <c r="A125" s="251" t="n"/>
      <c r="B125" s="429" t="n"/>
      <c r="C125" s="306" t="n"/>
      <c r="D125" s="420" t="n"/>
      <c r="E125" s="273" t="n"/>
      <c r="F125" s="273" t="n"/>
      <c r="G125" s="231" t="n"/>
      <c r="H125" s="429" t="n"/>
      <c r="I125" s="429" t="n"/>
      <c r="J125" s="430" t="n"/>
      <c r="K125" s="431" t="n"/>
      <c r="L125" s="316" t="n"/>
      <c r="M125" s="316" t="n"/>
      <c r="N125" s="325" t="n"/>
      <c r="O125" s="325" t="n"/>
      <c r="P125" s="432" t="n"/>
      <c r="Q125" s="325" t="n"/>
      <c r="R125" s="325" t="n"/>
      <c r="S125" s="429" t="n"/>
      <c r="T125" s="232" t="n"/>
      <c r="U125" s="232" t="n"/>
      <c r="V125" s="232" t="n"/>
      <c r="W125" s="232" t="n"/>
      <c r="X125" s="233" t="n"/>
      <c r="Y125" s="232" t="n"/>
      <c r="Z125" s="232" t="n"/>
      <c r="AA125" s="232" t="n"/>
      <c r="AB125" s="330" t="n"/>
      <c r="AC125" s="230" t="n"/>
      <c r="AD125" s="331" t="n"/>
      <c r="AE125" s="441" t="n"/>
      <c r="AF125" s="526" t="n"/>
      <c r="AH125" s="391" t="n"/>
    </row>
    <row r="126" customFormat="1" s="141">
      <c r="A126" s="251" t="n"/>
      <c r="B126" s="429" t="n"/>
      <c r="C126" s="306" t="n"/>
      <c r="D126" s="420" t="n"/>
      <c r="E126" s="273" t="n"/>
      <c r="F126" s="273" t="n"/>
      <c r="G126" s="231" t="n"/>
      <c r="H126" s="429" t="n"/>
      <c r="I126" s="429" t="n"/>
      <c r="J126" s="430" t="n"/>
      <c r="K126" s="431" t="n"/>
      <c r="L126" s="316" t="n"/>
      <c r="M126" s="316" t="n"/>
      <c r="N126" s="325" t="n"/>
      <c r="O126" s="325" t="n"/>
      <c r="P126" s="432" t="n"/>
      <c r="Q126" s="325" t="n"/>
      <c r="R126" s="325" t="n"/>
      <c r="S126" s="429" t="n"/>
      <c r="T126" s="232" t="n"/>
      <c r="U126" s="232" t="n"/>
      <c r="V126" s="232" t="n"/>
      <c r="W126" s="232" t="n"/>
      <c r="X126" s="233" t="n"/>
      <c r="Y126" s="232" t="n"/>
      <c r="Z126" s="232" t="n"/>
      <c r="AA126" s="232" t="n"/>
      <c r="AB126" s="330" t="n"/>
      <c r="AC126" s="230" t="n"/>
      <c r="AD126" s="331" t="n"/>
      <c r="AE126" s="441" t="n"/>
      <c r="AF126" s="526" t="n"/>
      <c r="AH126" s="391" t="n"/>
    </row>
    <row r="127" customFormat="1" s="141">
      <c r="A127" s="251" t="n"/>
      <c r="B127" s="429" t="n"/>
      <c r="C127" s="306" t="n"/>
      <c r="D127" s="420" t="n"/>
      <c r="E127" s="273" t="n"/>
      <c r="F127" s="273" t="n"/>
      <c r="G127" s="231" t="n"/>
      <c r="H127" s="429" t="n"/>
      <c r="I127" s="429" t="n"/>
      <c r="J127" s="430" t="n"/>
      <c r="K127" s="431" t="n"/>
      <c r="L127" s="316" t="n"/>
      <c r="M127" s="316" t="n"/>
      <c r="N127" s="325" t="n"/>
      <c r="O127" s="325" t="n"/>
      <c r="P127" s="432" t="n"/>
      <c r="Q127" s="325" t="n"/>
      <c r="R127" s="325" t="n"/>
      <c r="S127" s="429" t="n"/>
      <c r="T127" s="232" t="n"/>
      <c r="U127" s="232" t="n"/>
      <c r="V127" s="232" t="n"/>
      <c r="W127" s="232" t="n"/>
      <c r="X127" s="233" t="n"/>
      <c r="Y127" s="232" t="n"/>
      <c r="Z127" s="232" t="n"/>
      <c r="AA127" s="232" t="n"/>
      <c r="AB127" s="330" t="n"/>
      <c r="AC127" s="230" t="n"/>
      <c r="AD127" s="331" t="n"/>
      <c r="AE127" s="441" t="n"/>
      <c r="AF127" s="526" t="n"/>
      <c r="AH127" s="391" t="n"/>
    </row>
    <row r="128" customFormat="1" s="141">
      <c r="A128" s="251" t="n"/>
      <c r="B128" s="429" t="n"/>
      <c r="C128" s="306" t="n"/>
      <c r="D128" s="420" t="n"/>
      <c r="E128" s="273" t="n"/>
      <c r="F128" s="273" t="n"/>
      <c r="G128" s="231" t="n"/>
      <c r="H128" s="429" t="n"/>
      <c r="I128" s="429" t="n"/>
      <c r="J128" s="430" t="n"/>
      <c r="K128" s="431" t="n"/>
      <c r="L128" s="316" t="n"/>
      <c r="M128" s="316" t="n"/>
      <c r="N128" s="325" t="n"/>
      <c r="O128" s="325" t="n"/>
      <c r="P128" s="432" t="n"/>
      <c r="Q128" s="325" t="n"/>
      <c r="R128" s="325" t="n"/>
      <c r="S128" s="429" t="n"/>
      <c r="T128" s="232" t="n"/>
      <c r="U128" s="232" t="n"/>
      <c r="V128" s="232" t="n"/>
      <c r="W128" s="232" t="n"/>
      <c r="X128" s="233" t="n"/>
      <c r="Y128" s="232" t="n"/>
      <c r="Z128" s="232" t="n"/>
      <c r="AA128" s="232" t="n"/>
      <c r="AB128" s="330" t="n"/>
      <c r="AC128" s="230" t="n"/>
      <c r="AD128" s="331" t="n"/>
      <c r="AE128" s="441" t="n"/>
      <c r="AF128" s="526" t="n"/>
      <c r="AH128" s="391" t="n"/>
    </row>
    <row r="129" customFormat="1" s="141">
      <c r="A129" s="251" t="n"/>
      <c r="B129" s="429" t="n"/>
      <c r="C129" s="306" t="n"/>
      <c r="D129" s="420" t="n"/>
      <c r="E129" s="273" t="n"/>
      <c r="F129" s="273" t="n"/>
      <c r="G129" s="231" t="n"/>
      <c r="H129" s="429" t="n"/>
      <c r="I129" s="429" t="n"/>
      <c r="J129" s="430" t="n"/>
      <c r="K129" s="431" t="n"/>
      <c r="L129" s="316" t="n"/>
      <c r="M129" s="316" t="n"/>
      <c r="N129" s="325" t="n"/>
      <c r="O129" s="325" t="n"/>
      <c r="P129" s="432" t="n"/>
      <c r="Q129" s="325" t="n"/>
      <c r="R129" s="325" t="n"/>
      <c r="S129" s="429" t="n"/>
      <c r="T129" s="232" t="n"/>
      <c r="U129" s="232" t="n"/>
      <c r="V129" s="232" t="n"/>
      <c r="W129" s="232" t="n"/>
      <c r="X129" s="233" t="n"/>
      <c r="Y129" s="232" t="n"/>
      <c r="Z129" s="232" t="n"/>
      <c r="AA129" s="232" t="n"/>
      <c r="AB129" s="330" t="n"/>
      <c r="AC129" s="230" t="n"/>
      <c r="AD129" s="331" t="n"/>
      <c r="AE129" s="441" t="n"/>
      <c r="AF129" s="526" t="n"/>
      <c r="AH129" s="391" t="n"/>
    </row>
    <row r="130" customFormat="1" s="141">
      <c r="A130" s="251" t="n"/>
      <c r="B130" s="429" t="n"/>
      <c r="C130" s="306" t="n"/>
      <c r="D130" s="420" t="n"/>
      <c r="E130" s="273" t="n"/>
      <c r="F130" s="273" t="n"/>
      <c r="G130" s="231" t="n"/>
      <c r="H130" s="429" t="n"/>
      <c r="I130" s="429" t="n"/>
      <c r="J130" s="430" t="n"/>
      <c r="K130" s="431" t="n"/>
      <c r="L130" s="316" t="n"/>
      <c r="M130" s="316" t="n"/>
      <c r="N130" s="325" t="n"/>
      <c r="O130" s="325" t="n"/>
      <c r="P130" s="432" t="n"/>
      <c r="Q130" s="325" t="n"/>
      <c r="R130" s="325" t="n"/>
      <c r="S130" s="429" t="n"/>
      <c r="T130" s="232" t="n"/>
      <c r="U130" s="232" t="n"/>
      <c r="V130" s="232" t="n"/>
      <c r="W130" s="232" t="n"/>
      <c r="X130" s="233" t="n"/>
      <c r="Y130" s="232" t="n"/>
      <c r="Z130" s="232" t="n"/>
      <c r="AA130" s="232" t="n"/>
      <c r="AB130" s="330" t="n"/>
      <c r="AC130" s="230" t="n"/>
      <c r="AD130" s="331" t="n"/>
      <c r="AE130" s="441" t="n"/>
      <c r="AF130" s="526" t="n"/>
      <c r="AH130" s="391" t="n"/>
    </row>
    <row r="131" customFormat="1" s="141">
      <c r="A131" s="251" t="n"/>
      <c r="B131" s="429" t="n"/>
      <c r="C131" s="306" t="n"/>
      <c r="D131" s="420" t="n"/>
      <c r="E131" s="273" t="n"/>
      <c r="F131" s="273" t="n"/>
      <c r="G131" s="231" t="n"/>
      <c r="H131" s="429" t="n"/>
      <c r="I131" s="429" t="n"/>
      <c r="J131" s="430" t="n"/>
      <c r="K131" s="431" t="n"/>
      <c r="L131" s="316" t="n"/>
      <c r="M131" s="316" t="n"/>
      <c r="N131" s="325" t="n"/>
      <c r="O131" s="325" t="n"/>
      <c r="P131" s="432" t="n"/>
      <c r="Q131" s="325" t="n"/>
      <c r="R131" s="325" t="n"/>
      <c r="S131" s="429" t="n"/>
      <c r="T131" s="232" t="n"/>
      <c r="U131" s="232" t="n"/>
      <c r="V131" s="232" t="n"/>
      <c r="W131" s="232" t="n"/>
      <c r="X131" s="233" t="n"/>
      <c r="Y131" s="232" t="n"/>
      <c r="Z131" s="232" t="n"/>
      <c r="AA131" s="232" t="n"/>
      <c r="AB131" s="330" t="n"/>
      <c r="AC131" s="230" t="n"/>
      <c r="AD131" s="331" t="n"/>
      <c r="AE131" s="441" t="n"/>
      <c r="AF131" s="526" t="n"/>
      <c r="AH131" s="391" t="n"/>
    </row>
    <row r="132" customFormat="1" s="141">
      <c r="A132" s="251" t="n"/>
      <c r="B132" s="429" t="n"/>
      <c r="C132" s="306" t="n"/>
      <c r="D132" s="420" t="n"/>
      <c r="E132" s="273" t="n"/>
      <c r="F132" s="273" t="n"/>
      <c r="G132" s="231" t="n"/>
      <c r="H132" s="429" t="n"/>
      <c r="I132" s="429" t="n"/>
      <c r="J132" s="430" t="n"/>
      <c r="K132" s="431" t="n"/>
      <c r="L132" s="316" t="n"/>
      <c r="M132" s="316" t="n"/>
      <c r="N132" s="325" t="n"/>
      <c r="O132" s="325" t="n"/>
      <c r="P132" s="432" t="n"/>
      <c r="Q132" s="325" t="n"/>
      <c r="R132" s="325" t="n"/>
      <c r="S132" s="429" t="n"/>
      <c r="T132" s="232" t="n"/>
      <c r="U132" s="232" t="n"/>
      <c r="V132" s="232" t="n"/>
      <c r="W132" s="232" t="n"/>
      <c r="X132" s="233" t="n"/>
      <c r="Y132" s="232" t="n"/>
      <c r="Z132" s="232" t="n"/>
      <c r="AA132" s="232" t="n"/>
      <c r="AB132" s="330" t="n"/>
      <c r="AC132" s="230" t="n"/>
      <c r="AD132" s="331" t="n"/>
      <c r="AE132" s="441" t="n"/>
      <c r="AF132" s="526" t="n"/>
      <c r="AH132" s="391" t="n"/>
    </row>
    <row r="133" customFormat="1" s="141">
      <c r="A133" s="251" t="n"/>
      <c r="B133" s="429" t="n"/>
      <c r="C133" s="306" t="n"/>
      <c r="D133" s="420" t="n"/>
      <c r="E133" s="273" t="n"/>
      <c r="F133" s="273" t="n"/>
      <c r="G133" s="231" t="n"/>
      <c r="H133" s="429" t="n"/>
      <c r="I133" s="429" t="n"/>
      <c r="J133" s="430" t="n"/>
      <c r="K133" s="431" t="n"/>
      <c r="L133" s="316" t="n"/>
      <c r="M133" s="316" t="n"/>
      <c r="N133" s="325" t="n"/>
      <c r="O133" s="325" t="n"/>
      <c r="P133" s="432" t="n"/>
      <c r="Q133" s="325" t="n"/>
      <c r="R133" s="325" t="n"/>
      <c r="S133" s="429" t="n"/>
      <c r="T133" s="232" t="n"/>
      <c r="U133" s="232" t="n"/>
      <c r="V133" s="232" t="n"/>
      <c r="W133" s="232" t="n"/>
      <c r="X133" s="233" t="n"/>
      <c r="Y133" s="232" t="n"/>
      <c r="Z133" s="232" t="n"/>
      <c r="AA133" s="232" t="n"/>
      <c r="AB133" s="330" t="n"/>
      <c r="AC133" s="230" t="n"/>
      <c r="AD133" s="331" t="n"/>
      <c r="AE133" s="441" t="n"/>
      <c r="AF133" s="526" t="n"/>
      <c r="AH133" s="391" t="n"/>
    </row>
    <row r="134" customFormat="1" s="141">
      <c r="A134" s="251" t="n"/>
      <c r="B134" s="429" t="n"/>
      <c r="C134" s="306" t="n"/>
      <c r="D134" s="420" t="n"/>
      <c r="E134" s="273" t="n"/>
      <c r="F134" s="273" t="n"/>
      <c r="G134" s="231" t="n"/>
      <c r="H134" s="429" t="n"/>
      <c r="I134" s="429" t="n"/>
      <c r="J134" s="430" t="n"/>
      <c r="K134" s="431" t="n"/>
      <c r="L134" s="316" t="n"/>
      <c r="M134" s="316" t="n"/>
      <c r="N134" s="325" t="n"/>
      <c r="O134" s="325" t="n"/>
      <c r="P134" s="432" t="n"/>
      <c r="Q134" s="325" t="n"/>
      <c r="R134" s="325" t="n"/>
      <c r="S134" s="429" t="n"/>
      <c r="T134" s="232" t="n"/>
      <c r="U134" s="232" t="n"/>
      <c r="V134" s="232" t="n"/>
      <c r="W134" s="232" t="n"/>
      <c r="X134" s="233" t="n"/>
      <c r="Y134" s="232" t="n"/>
      <c r="Z134" s="232" t="n"/>
      <c r="AA134" s="232" t="n"/>
      <c r="AB134" s="330" t="n"/>
      <c r="AC134" s="230" t="n"/>
      <c r="AD134" s="331" t="n"/>
      <c r="AE134" s="441" t="n"/>
      <c r="AF134" s="526" t="n"/>
      <c r="AH134" s="391" t="n"/>
    </row>
    <row r="135" customFormat="1" s="141">
      <c r="A135" s="251" t="n"/>
      <c r="B135" s="429" t="n"/>
      <c r="C135" s="306" t="n"/>
      <c r="D135" s="420" t="n"/>
      <c r="E135" s="273" t="n"/>
      <c r="F135" s="273" t="n"/>
      <c r="G135" s="231" t="n"/>
      <c r="H135" s="429" t="n"/>
      <c r="I135" s="429" t="n"/>
      <c r="J135" s="430" t="n"/>
      <c r="K135" s="431" t="n"/>
      <c r="L135" s="316" t="n"/>
      <c r="M135" s="316" t="n"/>
      <c r="N135" s="325" t="n"/>
      <c r="O135" s="325" t="n"/>
      <c r="P135" s="432" t="n"/>
      <c r="Q135" s="325" t="n"/>
      <c r="R135" s="325" t="n"/>
      <c r="S135" s="429" t="n"/>
      <c r="T135" s="232" t="n"/>
      <c r="U135" s="232" t="n"/>
      <c r="V135" s="232" t="n"/>
      <c r="W135" s="232" t="n"/>
      <c r="X135" s="233" t="n"/>
      <c r="Y135" s="232" t="n"/>
      <c r="Z135" s="232" t="n"/>
      <c r="AA135" s="232" t="n"/>
      <c r="AB135" s="330" t="n"/>
      <c r="AC135" s="230" t="n"/>
      <c r="AD135" s="331" t="n"/>
      <c r="AE135" s="441" t="n"/>
      <c r="AF135" s="526" t="n"/>
      <c r="AH135" s="391" t="n"/>
    </row>
    <row r="136" customFormat="1" s="141">
      <c r="A136" s="251" t="n"/>
      <c r="B136" s="429" t="n"/>
      <c r="C136" s="306" t="n"/>
      <c r="D136" s="420" t="n"/>
      <c r="E136" s="273" t="n"/>
      <c r="F136" s="273" t="n"/>
      <c r="G136" s="231" t="n"/>
      <c r="H136" s="429" t="n"/>
      <c r="I136" s="429" t="n"/>
      <c r="J136" s="430" t="n"/>
      <c r="K136" s="431" t="n"/>
      <c r="L136" s="316" t="n"/>
      <c r="M136" s="316" t="n"/>
      <c r="N136" s="325" t="n"/>
      <c r="O136" s="325" t="n"/>
      <c r="P136" s="432" t="n"/>
      <c r="Q136" s="325" t="n"/>
      <c r="R136" s="325" t="n"/>
      <c r="S136" s="429" t="n"/>
      <c r="T136" s="232" t="n"/>
      <c r="U136" s="232" t="n"/>
      <c r="V136" s="232" t="n"/>
      <c r="W136" s="232" t="n"/>
      <c r="X136" s="233" t="n"/>
      <c r="Y136" s="232" t="n"/>
      <c r="Z136" s="232" t="n"/>
      <c r="AA136" s="232" t="n"/>
      <c r="AB136" s="330" t="n"/>
      <c r="AC136" s="230" t="n"/>
      <c r="AD136" s="331" t="n"/>
      <c r="AE136" s="441" t="n"/>
      <c r="AF136" s="526" t="n"/>
      <c r="AH136" s="391" t="n"/>
    </row>
    <row r="137" customFormat="1" s="141">
      <c r="A137" s="251" t="n"/>
      <c r="B137" s="429" t="n"/>
      <c r="C137" s="306" t="n"/>
      <c r="D137" s="420" t="n"/>
      <c r="E137" s="273" t="n"/>
      <c r="F137" s="273" t="n"/>
      <c r="G137" s="231" t="n"/>
      <c r="H137" s="429" t="n"/>
      <c r="I137" s="429" t="n"/>
      <c r="J137" s="430" t="n"/>
      <c r="K137" s="431" t="n"/>
      <c r="L137" s="316" t="n"/>
      <c r="M137" s="316" t="n"/>
      <c r="N137" s="325" t="n"/>
      <c r="O137" s="325" t="n"/>
      <c r="P137" s="432" t="n"/>
      <c r="Q137" s="325" t="n"/>
      <c r="R137" s="325" t="n"/>
      <c r="S137" s="429" t="n"/>
      <c r="T137" s="232" t="n"/>
      <c r="U137" s="232" t="n"/>
      <c r="V137" s="232" t="n"/>
      <c r="W137" s="232" t="n"/>
      <c r="X137" s="233" t="n"/>
      <c r="Y137" s="232" t="n"/>
      <c r="Z137" s="232" t="n"/>
      <c r="AA137" s="232" t="n"/>
      <c r="AB137" s="330" t="n"/>
      <c r="AC137" s="230" t="n"/>
      <c r="AD137" s="331" t="n"/>
      <c r="AE137" s="441" t="n"/>
      <c r="AF137" s="526" t="n"/>
      <c r="AH137" s="391" t="n"/>
    </row>
    <row r="138" customFormat="1" s="141">
      <c r="A138" s="251" t="n"/>
      <c r="B138" s="429" t="n"/>
      <c r="C138" s="306" t="n"/>
      <c r="D138" s="420" t="n"/>
      <c r="E138" s="273" t="n"/>
      <c r="F138" s="273" t="n"/>
      <c r="G138" s="231" t="n"/>
      <c r="H138" s="429" t="n"/>
      <c r="I138" s="429" t="n"/>
      <c r="J138" s="430" t="n"/>
      <c r="K138" s="431" t="n"/>
      <c r="L138" s="316" t="n"/>
      <c r="M138" s="316" t="n"/>
      <c r="N138" s="325" t="n"/>
      <c r="O138" s="325" t="n"/>
      <c r="P138" s="432" t="n"/>
      <c r="Q138" s="325" t="n"/>
      <c r="R138" s="325" t="n"/>
      <c r="S138" s="429" t="n"/>
      <c r="T138" s="232" t="n"/>
      <c r="U138" s="232" t="n"/>
      <c r="V138" s="232" t="n"/>
      <c r="W138" s="232" t="n"/>
      <c r="X138" s="233" t="n"/>
      <c r="Y138" s="232" t="n"/>
      <c r="Z138" s="232" t="n"/>
      <c r="AA138" s="232" t="n"/>
      <c r="AB138" s="330" t="n"/>
      <c r="AC138" s="230" t="n"/>
      <c r="AD138" s="331" t="n"/>
      <c r="AE138" s="441" t="n"/>
      <c r="AF138" s="526" t="n"/>
      <c r="AH138" s="391" t="n"/>
    </row>
    <row r="139" customFormat="1" s="141">
      <c r="A139" s="251" t="n"/>
      <c r="B139" s="429" t="n"/>
      <c r="C139" s="306" t="n"/>
      <c r="D139" s="420" t="n"/>
      <c r="E139" s="273" t="n"/>
      <c r="F139" s="273" t="n"/>
      <c r="G139" s="231" t="n"/>
      <c r="H139" s="429" t="n"/>
      <c r="I139" s="429" t="n"/>
      <c r="J139" s="430" t="n"/>
      <c r="K139" s="431" t="n"/>
      <c r="L139" s="316" t="n"/>
      <c r="M139" s="316" t="n"/>
      <c r="N139" s="325" t="n"/>
      <c r="O139" s="325" t="n"/>
      <c r="P139" s="432" t="n"/>
      <c r="Q139" s="325" t="n"/>
      <c r="R139" s="325" t="n"/>
      <c r="S139" s="429" t="n"/>
      <c r="T139" s="232" t="n"/>
      <c r="U139" s="232" t="n"/>
      <c r="V139" s="232" t="n"/>
      <c r="W139" s="232" t="n"/>
      <c r="X139" s="233" t="n"/>
      <c r="Y139" s="232" t="n"/>
      <c r="Z139" s="232" t="n"/>
      <c r="AA139" s="232" t="n"/>
      <c r="AB139" s="330" t="n"/>
      <c r="AC139" s="230" t="n"/>
      <c r="AD139" s="331" t="n"/>
      <c r="AE139" s="441" t="n"/>
      <c r="AF139" s="526" t="n"/>
      <c r="AH139" s="391" t="n"/>
    </row>
    <row r="140" customFormat="1" s="141">
      <c r="A140" s="251" t="n"/>
      <c r="B140" s="429" t="n"/>
      <c r="C140" s="306" t="n"/>
      <c r="D140" s="420" t="n"/>
      <c r="E140" s="273" t="n"/>
      <c r="F140" s="273" t="n"/>
      <c r="G140" s="231" t="n"/>
      <c r="H140" s="429" t="n"/>
      <c r="I140" s="429" t="n"/>
      <c r="J140" s="430" t="n"/>
      <c r="K140" s="431" t="n"/>
      <c r="L140" s="316" t="n"/>
      <c r="M140" s="316" t="n"/>
      <c r="N140" s="325" t="n"/>
      <c r="O140" s="325" t="n"/>
      <c r="P140" s="432" t="n"/>
      <c r="Q140" s="325" t="n"/>
      <c r="R140" s="325" t="n"/>
      <c r="S140" s="429" t="n"/>
      <c r="T140" s="232" t="n"/>
      <c r="U140" s="232" t="n"/>
      <c r="V140" s="232" t="n"/>
      <c r="W140" s="232" t="n"/>
      <c r="X140" s="233" t="n"/>
      <c r="Y140" s="232" t="n"/>
      <c r="Z140" s="232" t="n"/>
      <c r="AA140" s="232" t="n"/>
      <c r="AB140" s="330" t="n"/>
      <c r="AC140" s="230" t="n"/>
      <c r="AD140" s="331" t="n"/>
      <c r="AE140" s="441" t="n"/>
      <c r="AF140" s="526" t="n"/>
      <c r="AH140" s="391" t="n"/>
    </row>
    <row r="141" customFormat="1" s="141">
      <c r="A141" s="251" t="n"/>
      <c r="B141" s="429" t="n"/>
      <c r="C141" s="306" t="n"/>
      <c r="D141" s="420" t="n"/>
      <c r="E141" s="273" t="n"/>
      <c r="F141" s="273" t="n"/>
      <c r="G141" s="231" t="n"/>
      <c r="H141" s="429" t="n"/>
      <c r="I141" s="429" t="n"/>
      <c r="J141" s="430" t="n"/>
      <c r="K141" s="431" t="n"/>
      <c r="L141" s="316" t="n"/>
      <c r="M141" s="316" t="n"/>
      <c r="N141" s="325" t="n"/>
      <c r="O141" s="325" t="n"/>
      <c r="P141" s="432" t="n"/>
      <c r="Q141" s="325" t="n"/>
      <c r="R141" s="325" t="n"/>
      <c r="S141" s="429" t="n"/>
      <c r="T141" s="232" t="n"/>
      <c r="U141" s="232" t="n"/>
      <c r="V141" s="232" t="n"/>
      <c r="W141" s="232" t="n"/>
      <c r="X141" s="233" t="n"/>
      <c r="Y141" s="232" t="n"/>
      <c r="Z141" s="232" t="n"/>
      <c r="AA141" s="232" t="n"/>
      <c r="AB141" s="330" t="n"/>
      <c r="AC141" s="230" t="n"/>
      <c r="AD141" s="331" t="n"/>
      <c r="AE141" s="441" t="n"/>
      <c r="AF141" s="526" t="n"/>
      <c r="AH141" s="391" t="n"/>
    </row>
    <row r="142" customFormat="1" s="141">
      <c r="A142" s="251" t="n"/>
      <c r="B142" s="429" t="n"/>
      <c r="C142" s="306" t="n"/>
      <c r="D142" s="420" t="n"/>
      <c r="E142" s="273" t="n"/>
      <c r="F142" s="273" t="n"/>
      <c r="G142" s="231" t="n"/>
      <c r="H142" s="429" t="n"/>
      <c r="I142" s="429" t="n"/>
      <c r="J142" s="430" t="n"/>
      <c r="K142" s="431" t="n"/>
      <c r="L142" s="316" t="n"/>
      <c r="M142" s="316" t="n"/>
      <c r="N142" s="325" t="n"/>
      <c r="O142" s="325" t="n"/>
      <c r="P142" s="432" t="n"/>
      <c r="Q142" s="325" t="n"/>
      <c r="R142" s="325" t="n"/>
      <c r="S142" s="429" t="n"/>
      <c r="T142" s="232" t="n"/>
      <c r="U142" s="232" t="n"/>
      <c r="V142" s="232" t="n"/>
      <c r="W142" s="232" t="n"/>
      <c r="X142" s="233" t="n"/>
      <c r="Y142" s="232" t="n"/>
      <c r="Z142" s="232" t="n"/>
      <c r="AA142" s="232" t="n"/>
      <c r="AB142" s="330" t="n"/>
      <c r="AC142" s="230" t="n"/>
      <c r="AD142" s="331" t="n"/>
      <c r="AE142" s="441" t="n"/>
      <c r="AF142" s="526" t="n"/>
      <c r="AH142" s="391" t="n"/>
    </row>
    <row r="143" customFormat="1" s="141">
      <c r="A143" s="251" t="n"/>
      <c r="B143" s="429" t="n"/>
      <c r="C143" s="306" t="n"/>
      <c r="D143" s="420" t="n"/>
      <c r="E143" s="273" t="n"/>
      <c r="F143" s="273" t="n"/>
      <c r="G143" s="231" t="n"/>
      <c r="H143" s="429" t="n"/>
      <c r="I143" s="429" t="n"/>
      <c r="J143" s="430" t="n"/>
      <c r="K143" s="431" t="n"/>
      <c r="L143" s="316" t="n"/>
      <c r="M143" s="316" t="n"/>
      <c r="N143" s="325" t="n"/>
      <c r="O143" s="325" t="n"/>
      <c r="P143" s="432" t="n"/>
      <c r="Q143" s="325" t="n"/>
      <c r="R143" s="325" t="n"/>
      <c r="S143" s="429" t="n"/>
      <c r="T143" s="232" t="n"/>
      <c r="U143" s="232" t="n"/>
      <c r="V143" s="232" t="n"/>
      <c r="W143" s="232" t="n"/>
      <c r="X143" s="233" t="n"/>
      <c r="Y143" s="232" t="n"/>
      <c r="Z143" s="232" t="n"/>
      <c r="AA143" s="232" t="n"/>
      <c r="AB143" s="330" t="n"/>
      <c r="AC143" s="230" t="n"/>
      <c r="AD143" s="331" t="n"/>
      <c r="AE143" s="441" t="n"/>
      <c r="AF143" s="526" t="n"/>
      <c r="AH143" s="391" t="n"/>
    </row>
    <row r="144" customFormat="1" s="141">
      <c r="A144" s="251" t="n"/>
      <c r="B144" s="429" t="n"/>
      <c r="C144" s="306" t="n"/>
      <c r="D144" s="420" t="n"/>
      <c r="E144" s="273" t="n"/>
      <c r="F144" s="273" t="n"/>
      <c r="G144" s="231" t="n"/>
      <c r="H144" s="429" t="n"/>
      <c r="I144" s="429" t="n"/>
      <c r="J144" s="430" t="n"/>
      <c r="K144" s="431" t="n"/>
      <c r="L144" s="316" t="n"/>
      <c r="M144" s="316" t="n"/>
      <c r="N144" s="325" t="n"/>
      <c r="O144" s="325" t="n"/>
      <c r="P144" s="432" t="n"/>
      <c r="Q144" s="325" t="n"/>
      <c r="R144" s="325" t="n"/>
      <c r="S144" s="429" t="n"/>
      <c r="T144" s="232" t="n"/>
      <c r="U144" s="232" t="n"/>
      <c r="V144" s="232" t="n"/>
      <c r="W144" s="232" t="n"/>
      <c r="X144" s="233" t="n"/>
      <c r="Y144" s="232" t="n"/>
      <c r="Z144" s="232" t="n"/>
      <c r="AA144" s="232" t="n"/>
      <c r="AB144" s="330" t="n"/>
      <c r="AC144" s="230" t="n"/>
      <c r="AD144" s="331" t="n"/>
      <c r="AE144" s="441" t="n"/>
      <c r="AF144" s="526" t="n"/>
      <c r="AH144" s="391" t="n"/>
    </row>
    <row r="145" customFormat="1" s="141">
      <c r="A145" s="251" t="n"/>
      <c r="B145" s="429" t="n"/>
      <c r="C145" s="306" t="n"/>
      <c r="D145" s="420" t="n"/>
      <c r="E145" s="273" t="n"/>
      <c r="F145" s="273" t="n"/>
      <c r="G145" s="231" t="n"/>
      <c r="H145" s="429" t="n"/>
      <c r="I145" s="429" t="n"/>
      <c r="J145" s="430" t="n"/>
      <c r="K145" s="431" t="n"/>
      <c r="L145" s="316" t="n"/>
      <c r="M145" s="316" t="n"/>
      <c r="N145" s="325" t="n"/>
      <c r="O145" s="325" t="n"/>
      <c r="P145" s="432" t="n"/>
      <c r="Q145" s="325" t="n"/>
      <c r="R145" s="325" t="n"/>
      <c r="S145" s="429" t="n"/>
      <c r="T145" s="232" t="n"/>
      <c r="U145" s="232" t="n"/>
      <c r="V145" s="232" t="n"/>
      <c r="W145" s="232" t="n"/>
      <c r="X145" s="233" t="n"/>
      <c r="Y145" s="232" t="n"/>
      <c r="Z145" s="232" t="n"/>
      <c r="AA145" s="232" t="n"/>
      <c r="AB145" s="330" t="n"/>
      <c r="AC145" s="230" t="n"/>
      <c r="AD145" s="331" t="n"/>
      <c r="AE145" s="441" t="n"/>
      <c r="AF145" s="526" t="n"/>
      <c r="AH145" s="391" t="n"/>
    </row>
    <row r="146" customFormat="1" s="141">
      <c r="A146" s="251" t="n"/>
      <c r="B146" s="429" t="n"/>
      <c r="C146" s="306" t="n"/>
      <c r="D146" s="420" t="n"/>
      <c r="E146" s="273" t="n"/>
      <c r="F146" s="273" t="n"/>
      <c r="G146" s="231" t="n"/>
      <c r="H146" s="429" t="n"/>
      <c r="I146" s="429" t="n"/>
      <c r="J146" s="430" t="n"/>
      <c r="K146" s="431" t="n"/>
      <c r="L146" s="316" t="n"/>
      <c r="M146" s="316" t="n"/>
      <c r="N146" s="325" t="n"/>
      <c r="O146" s="325" t="n"/>
      <c r="P146" s="432" t="n"/>
      <c r="Q146" s="325" t="n"/>
      <c r="R146" s="325" t="n"/>
      <c r="S146" s="429" t="n"/>
      <c r="T146" s="232" t="n"/>
      <c r="U146" s="232" t="n"/>
      <c r="V146" s="232" t="n"/>
      <c r="W146" s="232" t="n"/>
      <c r="X146" s="233" t="n"/>
      <c r="Y146" s="232" t="n"/>
      <c r="Z146" s="232" t="n"/>
      <c r="AA146" s="232" t="n"/>
      <c r="AB146" s="330" t="n"/>
      <c r="AC146" s="230" t="n"/>
      <c r="AD146" s="331" t="n"/>
      <c r="AE146" s="441" t="n"/>
      <c r="AF146" s="526" t="n"/>
      <c r="AH146" s="391" t="n"/>
    </row>
    <row r="147" customFormat="1" s="141">
      <c r="A147" s="251" t="n"/>
      <c r="B147" s="429" t="n"/>
      <c r="C147" s="306" t="n"/>
      <c r="D147" s="420" t="n"/>
      <c r="E147" s="273" t="n"/>
      <c r="F147" s="273" t="n"/>
      <c r="G147" s="231" t="n"/>
      <c r="H147" s="429" t="n"/>
      <c r="I147" s="429" t="n"/>
      <c r="J147" s="430" t="n"/>
      <c r="K147" s="431" t="n"/>
      <c r="L147" s="316" t="n"/>
      <c r="M147" s="316" t="n"/>
      <c r="N147" s="325" t="n"/>
      <c r="O147" s="325" t="n"/>
      <c r="P147" s="432" t="n"/>
      <c r="Q147" s="325" t="n"/>
      <c r="R147" s="325" t="n"/>
      <c r="S147" s="429" t="n"/>
      <c r="T147" s="232" t="n"/>
      <c r="U147" s="232" t="n"/>
      <c r="V147" s="232" t="n"/>
      <c r="W147" s="232" t="n"/>
      <c r="X147" s="233" t="n"/>
      <c r="Y147" s="232" t="n"/>
      <c r="Z147" s="232" t="n"/>
      <c r="AA147" s="232" t="n"/>
      <c r="AB147" s="330" t="n"/>
      <c r="AC147" s="230" t="n"/>
      <c r="AD147" s="331" t="n"/>
      <c r="AE147" s="441" t="n"/>
      <c r="AF147" s="526" t="n"/>
      <c r="AH147" s="391" t="n"/>
    </row>
    <row r="148" customFormat="1" s="141">
      <c r="A148" s="251" t="n"/>
      <c r="B148" s="429" t="n"/>
      <c r="C148" s="306" t="n"/>
      <c r="D148" s="420" t="n"/>
      <c r="E148" s="273" t="n"/>
      <c r="F148" s="273" t="n"/>
      <c r="G148" s="231" t="n"/>
      <c r="H148" s="429" t="n"/>
      <c r="I148" s="429" t="n"/>
      <c r="J148" s="430" t="n"/>
      <c r="K148" s="431" t="n"/>
      <c r="L148" s="316" t="n"/>
      <c r="M148" s="316" t="n"/>
      <c r="N148" s="325" t="n"/>
      <c r="O148" s="325" t="n"/>
      <c r="P148" s="432" t="n"/>
      <c r="Q148" s="325" t="n"/>
      <c r="R148" s="325" t="n"/>
      <c r="S148" s="429" t="n"/>
      <c r="T148" s="232" t="n"/>
      <c r="U148" s="232" t="n"/>
      <c r="V148" s="232" t="n"/>
      <c r="W148" s="232" t="n"/>
      <c r="X148" s="233" t="n"/>
      <c r="Y148" s="232" t="n"/>
      <c r="Z148" s="232" t="n"/>
      <c r="AA148" s="232" t="n"/>
      <c r="AB148" s="330" t="n"/>
      <c r="AC148" s="230" t="n"/>
      <c r="AD148" s="331" t="n"/>
      <c r="AE148" s="441" t="n"/>
      <c r="AF148" s="526" t="n"/>
      <c r="AH148" s="391" t="n"/>
    </row>
    <row r="149" customFormat="1" s="141">
      <c r="A149" s="251" t="n"/>
      <c r="B149" s="429" t="n"/>
      <c r="C149" s="306" t="n"/>
      <c r="D149" s="420" t="n"/>
      <c r="E149" s="273" t="n"/>
      <c r="F149" s="273" t="n"/>
      <c r="G149" s="231" t="n"/>
      <c r="H149" s="429" t="n"/>
      <c r="I149" s="429" t="n"/>
      <c r="J149" s="430" t="n"/>
      <c r="K149" s="431" t="n"/>
      <c r="L149" s="316" t="n"/>
      <c r="M149" s="316" t="n"/>
      <c r="N149" s="325" t="n"/>
      <c r="O149" s="325" t="n"/>
      <c r="P149" s="432" t="n"/>
      <c r="Q149" s="325" t="n"/>
      <c r="R149" s="325" t="n"/>
      <c r="S149" s="429" t="n"/>
      <c r="T149" s="232" t="n"/>
      <c r="U149" s="232" t="n"/>
      <c r="V149" s="232" t="n"/>
      <c r="W149" s="232" t="n"/>
      <c r="X149" s="233" t="n"/>
      <c r="Y149" s="232" t="n"/>
      <c r="Z149" s="232" t="n"/>
      <c r="AA149" s="232" t="n"/>
      <c r="AB149" s="330" t="n"/>
      <c r="AC149" s="230" t="n"/>
      <c r="AD149" s="331" t="n"/>
      <c r="AE149" s="441" t="n"/>
      <c r="AF149" s="526" t="n"/>
      <c r="AH149" s="391" t="n"/>
    </row>
    <row r="150" customFormat="1" s="141">
      <c r="A150" s="251" t="n"/>
      <c r="B150" s="429" t="n"/>
      <c r="C150" s="306" t="n"/>
      <c r="D150" s="420" t="n"/>
      <c r="E150" s="273" t="n"/>
      <c r="F150" s="273" t="n"/>
      <c r="G150" s="231" t="n"/>
      <c r="H150" s="429" t="n"/>
      <c r="I150" s="429" t="n"/>
      <c r="J150" s="430" t="n"/>
      <c r="K150" s="431" t="n"/>
      <c r="L150" s="316" t="n"/>
      <c r="M150" s="316" t="n"/>
      <c r="N150" s="325" t="n"/>
      <c r="O150" s="325" t="n"/>
      <c r="P150" s="432" t="n"/>
      <c r="Q150" s="325" t="n"/>
      <c r="R150" s="325" t="n"/>
      <c r="S150" s="429" t="n"/>
      <c r="T150" s="232" t="n"/>
      <c r="U150" s="232" t="n"/>
      <c r="V150" s="232" t="n"/>
      <c r="W150" s="232" t="n"/>
      <c r="X150" s="233" t="n"/>
      <c r="Y150" s="232" t="n"/>
      <c r="Z150" s="232" t="n"/>
      <c r="AA150" s="232" t="n"/>
      <c r="AB150" s="330" t="n"/>
      <c r="AC150" s="230" t="n"/>
      <c r="AD150" s="331" t="n"/>
      <c r="AE150" s="441" t="n"/>
      <c r="AF150" s="526" t="n"/>
      <c r="AH150" s="391" t="n"/>
    </row>
    <row r="151" customFormat="1" s="141">
      <c r="A151" s="251" t="n"/>
      <c r="B151" s="429" t="n"/>
      <c r="C151" s="306" t="n"/>
      <c r="D151" s="420" t="n"/>
      <c r="E151" s="273" t="n"/>
      <c r="F151" s="273" t="n"/>
      <c r="G151" s="231" t="n"/>
      <c r="H151" s="429" t="n"/>
      <c r="I151" s="429" t="n"/>
      <c r="J151" s="430" t="n"/>
      <c r="K151" s="431" t="n"/>
      <c r="L151" s="316" t="n"/>
      <c r="M151" s="316" t="n"/>
      <c r="N151" s="325" t="n"/>
      <c r="O151" s="325" t="n"/>
      <c r="P151" s="432" t="n"/>
      <c r="Q151" s="325" t="n"/>
      <c r="R151" s="325" t="n"/>
      <c r="S151" s="429" t="n"/>
      <c r="T151" s="232" t="n"/>
      <c r="U151" s="232" t="n"/>
      <c r="V151" s="232" t="n"/>
      <c r="W151" s="232" t="n"/>
      <c r="X151" s="233" t="n"/>
      <c r="Y151" s="232" t="n"/>
      <c r="Z151" s="232" t="n"/>
      <c r="AA151" s="232" t="n"/>
      <c r="AB151" s="330" t="n"/>
      <c r="AC151" s="230" t="n"/>
      <c r="AD151" s="331" t="n"/>
      <c r="AE151" s="441" t="n"/>
      <c r="AF151" s="526" t="n"/>
      <c r="AH151" s="391" t="n"/>
    </row>
    <row r="152" customFormat="1" s="141">
      <c r="A152" s="251" t="n"/>
      <c r="B152" s="429" t="n"/>
      <c r="C152" s="306" t="n"/>
      <c r="D152" s="420" t="n"/>
      <c r="E152" s="273" t="n"/>
      <c r="F152" s="273" t="n"/>
      <c r="G152" s="231" t="n"/>
      <c r="H152" s="429" t="n"/>
      <c r="I152" s="429" t="n"/>
      <c r="J152" s="430" t="n"/>
      <c r="K152" s="431" t="n"/>
      <c r="L152" s="316" t="n"/>
      <c r="M152" s="316" t="n"/>
      <c r="N152" s="325" t="n"/>
      <c r="O152" s="325" t="n"/>
      <c r="P152" s="432" t="n"/>
      <c r="Q152" s="325" t="n"/>
      <c r="R152" s="325" t="n"/>
      <c r="S152" s="429" t="n"/>
      <c r="T152" s="232" t="n"/>
      <c r="U152" s="232" t="n"/>
      <c r="V152" s="232" t="n"/>
      <c r="W152" s="232" t="n"/>
      <c r="X152" s="233" t="n"/>
      <c r="Y152" s="232" t="n"/>
      <c r="Z152" s="232" t="n"/>
      <c r="AA152" s="232" t="n"/>
      <c r="AB152" s="330" t="n"/>
      <c r="AC152" s="230" t="n"/>
      <c r="AD152" s="331" t="n"/>
      <c r="AE152" s="441" t="n"/>
      <c r="AF152" s="526" t="n"/>
      <c r="AH152" s="391" t="n"/>
    </row>
    <row r="153" customFormat="1" s="141">
      <c r="A153" s="251" t="n"/>
      <c r="B153" s="429" t="n"/>
      <c r="C153" s="306" t="n"/>
      <c r="D153" s="420" t="n"/>
      <c r="E153" s="273" t="n"/>
      <c r="F153" s="273" t="n"/>
      <c r="G153" s="231" t="n"/>
      <c r="H153" s="429" t="n"/>
      <c r="I153" s="429" t="n"/>
      <c r="J153" s="430" t="n"/>
      <c r="K153" s="431" t="n"/>
      <c r="L153" s="316" t="n"/>
      <c r="M153" s="316" t="n"/>
      <c r="N153" s="325" t="n"/>
      <c r="O153" s="325" t="n"/>
      <c r="P153" s="432" t="n"/>
      <c r="Q153" s="325" t="n"/>
      <c r="R153" s="325" t="n"/>
      <c r="S153" s="429" t="n"/>
      <c r="T153" s="232" t="n"/>
      <c r="U153" s="232" t="n"/>
      <c r="V153" s="232" t="n"/>
      <c r="W153" s="232" t="n"/>
      <c r="X153" s="233" t="n"/>
      <c r="Y153" s="232" t="n"/>
      <c r="Z153" s="232" t="n"/>
      <c r="AA153" s="232" t="n"/>
      <c r="AB153" s="330" t="n"/>
      <c r="AC153" s="230" t="n"/>
      <c r="AD153" s="331" t="n"/>
      <c r="AE153" s="441" t="n"/>
      <c r="AF153" s="526" t="n"/>
      <c r="AH153" s="391" t="n"/>
    </row>
    <row r="154" customFormat="1" s="141">
      <c r="A154" s="251" t="n"/>
      <c r="B154" s="429" t="n"/>
      <c r="C154" s="306" t="n"/>
      <c r="D154" s="420" t="n"/>
      <c r="E154" s="273" t="n"/>
      <c r="F154" s="273" t="n"/>
      <c r="G154" s="231" t="n"/>
      <c r="H154" s="429" t="n"/>
      <c r="I154" s="429" t="n"/>
      <c r="J154" s="430" t="n"/>
      <c r="K154" s="431" t="n"/>
      <c r="L154" s="316" t="n"/>
      <c r="M154" s="316" t="n"/>
      <c r="N154" s="325" t="n"/>
      <c r="O154" s="325" t="n"/>
      <c r="P154" s="432" t="n"/>
      <c r="Q154" s="325" t="n"/>
      <c r="R154" s="325" t="n"/>
      <c r="S154" s="429" t="n"/>
      <c r="T154" s="232" t="n"/>
      <c r="U154" s="232" t="n"/>
      <c r="V154" s="232" t="n"/>
      <c r="W154" s="232" t="n"/>
      <c r="X154" s="233" t="n"/>
      <c r="Y154" s="232" t="n"/>
      <c r="Z154" s="232" t="n"/>
      <c r="AA154" s="232" t="n"/>
      <c r="AB154" s="330" t="n"/>
      <c r="AC154" s="230" t="n"/>
      <c r="AD154" s="331" t="n"/>
      <c r="AE154" s="441" t="n"/>
      <c r="AF154" s="526" t="n"/>
      <c r="AH154" s="391" t="n"/>
    </row>
    <row r="155" customFormat="1" s="141">
      <c r="A155" s="251" t="n"/>
      <c r="B155" s="429" t="n"/>
      <c r="C155" s="306" t="n"/>
      <c r="D155" s="420" t="n"/>
      <c r="E155" s="273" t="n"/>
      <c r="F155" s="273" t="n"/>
      <c r="G155" s="231" t="n"/>
      <c r="H155" s="429" t="n"/>
      <c r="I155" s="429" t="n"/>
      <c r="J155" s="430" t="n"/>
      <c r="K155" s="431" t="n"/>
      <c r="L155" s="316" t="n"/>
      <c r="M155" s="316" t="n"/>
      <c r="N155" s="325" t="n"/>
      <c r="O155" s="325" t="n"/>
      <c r="P155" s="432" t="n"/>
      <c r="Q155" s="325" t="n"/>
      <c r="R155" s="325" t="n"/>
      <c r="S155" s="429" t="n"/>
      <c r="T155" s="232" t="n"/>
      <c r="U155" s="232" t="n"/>
      <c r="V155" s="232" t="n"/>
      <c r="W155" s="232" t="n"/>
      <c r="X155" s="233" t="n"/>
      <c r="Y155" s="232" t="n"/>
      <c r="Z155" s="232" t="n"/>
      <c r="AA155" s="232" t="n"/>
      <c r="AB155" s="330" t="n"/>
      <c r="AC155" s="230" t="n"/>
      <c r="AD155" s="331" t="n"/>
      <c r="AE155" s="441" t="n"/>
      <c r="AF155" s="526" t="n"/>
      <c r="AH155" s="391" t="n"/>
    </row>
    <row r="156" customFormat="1" s="141">
      <c r="A156" s="251" t="n"/>
      <c r="B156" s="429" t="n"/>
      <c r="C156" s="306" t="n"/>
      <c r="D156" s="420" t="n"/>
      <c r="E156" s="273" t="n"/>
      <c r="F156" s="273" t="n"/>
      <c r="G156" s="231" t="n"/>
      <c r="H156" s="429" t="n"/>
      <c r="I156" s="429" t="n"/>
      <c r="J156" s="430" t="n"/>
      <c r="K156" s="431" t="n"/>
      <c r="L156" s="316" t="n"/>
      <c r="M156" s="316" t="n"/>
      <c r="N156" s="325" t="n"/>
      <c r="O156" s="325" t="n"/>
      <c r="P156" s="432" t="n"/>
      <c r="Q156" s="325" t="n"/>
      <c r="R156" s="325" t="n"/>
      <c r="S156" s="429" t="n"/>
      <c r="T156" s="232" t="n"/>
      <c r="U156" s="232" t="n"/>
      <c r="V156" s="232" t="n"/>
      <c r="W156" s="232" t="n"/>
      <c r="X156" s="233" t="n"/>
      <c r="Y156" s="232" t="n"/>
      <c r="Z156" s="232" t="n"/>
      <c r="AA156" s="232" t="n"/>
      <c r="AB156" s="330" t="n"/>
      <c r="AC156" s="230" t="n"/>
      <c r="AD156" s="331" t="n"/>
      <c r="AE156" s="441" t="n"/>
      <c r="AF156" s="526" t="n"/>
      <c r="AH156" s="391" t="n"/>
    </row>
    <row r="157" customFormat="1" s="141">
      <c r="A157" s="251" t="n"/>
      <c r="B157" s="429" t="n"/>
      <c r="C157" s="306" t="n"/>
      <c r="D157" s="420" t="n"/>
      <c r="E157" s="273" t="n"/>
      <c r="F157" s="273" t="n"/>
      <c r="G157" s="231" t="n"/>
      <c r="H157" s="429" t="n"/>
      <c r="I157" s="429" t="n"/>
      <c r="J157" s="430" t="n"/>
      <c r="K157" s="431" t="n"/>
      <c r="L157" s="316" t="n"/>
      <c r="M157" s="316" t="n"/>
      <c r="N157" s="325" t="n"/>
      <c r="O157" s="325" t="n"/>
      <c r="P157" s="432" t="n"/>
      <c r="Q157" s="325" t="n"/>
      <c r="R157" s="325" t="n"/>
      <c r="S157" s="429" t="n"/>
      <c r="T157" s="232" t="n"/>
      <c r="U157" s="232" t="n"/>
      <c r="V157" s="232" t="n"/>
      <c r="W157" s="232" t="n"/>
      <c r="X157" s="233" t="n"/>
      <c r="Y157" s="232" t="n"/>
      <c r="Z157" s="232" t="n"/>
      <c r="AA157" s="232" t="n"/>
      <c r="AB157" s="330" t="n"/>
      <c r="AC157" s="230" t="n"/>
      <c r="AD157" s="331" t="n"/>
      <c r="AE157" s="441" t="n"/>
      <c r="AF157" s="526" t="n"/>
      <c r="AH157" s="391" t="n"/>
    </row>
    <row r="158" customFormat="1" s="141">
      <c r="A158" s="251" t="n"/>
      <c r="B158" s="429" t="n"/>
      <c r="C158" s="306" t="n"/>
      <c r="D158" s="420" t="n"/>
      <c r="E158" s="273" t="n"/>
      <c r="F158" s="273" t="n"/>
      <c r="G158" s="231" t="n"/>
      <c r="H158" s="429" t="n"/>
      <c r="I158" s="429" t="n"/>
      <c r="J158" s="430" t="n"/>
      <c r="K158" s="431" t="n"/>
      <c r="L158" s="316" t="n"/>
      <c r="M158" s="316" t="n"/>
      <c r="N158" s="325" t="n"/>
      <c r="O158" s="325" t="n"/>
      <c r="P158" s="432" t="n"/>
      <c r="Q158" s="325" t="n"/>
      <c r="R158" s="325" t="n"/>
      <c r="S158" s="429" t="n"/>
      <c r="T158" s="232" t="n"/>
      <c r="U158" s="232" t="n"/>
      <c r="V158" s="232" t="n"/>
      <c r="W158" s="232" t="n"/>
      <c r="X158" s="233" t="n"/>
      <c r="Y158" s="232" t="n"/>
      <c r="Z158" s="232" t="n"/>
      <c r="AA158" s="232" t="n"/>
      <c r="AB158" s="330" t="n"/>
      <c r="AC158" s="230" t="n"/>
      <c r="AD158" s="331" t="n"/>
      <c r="AE158" s="441" t="n"/>
      <c r="AF158" s="526" t="n"/>
      <c r="AH158" s="391" t="n"/>
    </row>
    <row r="159" customFormat="1" s="141">
      <c r="A159" s="251" t="n"/>
      <c r="B159" s="429" t="n"/>
      <c r="C159" s="306" t="n"/>
      <c r="D159" s="420" t="n"/>
      <c r="E159" s="273" t="n"/>
      <c r="F159" s="273" t="n"/>
      <c r="G159" s="231" t="n"/>
      <c r="H159" s="429" t="n"/>
      <c r="I159" s="429" t="n"/>
      <c r="J159" s="430" t="n"/>
      <c r="K159" s="431" t="n"/>
      <c r="L159" s="316" t="n"/>
      <c r="M159" s="316" t="n"/>
      <c r="N159" s="325" t="n"/>
      <c r="O159" s="325" t="n"/>
      <c r="P159" s="432" t="n"/>
      <c r="Q159" s="325" t="n"/>
      <c r="R159" s="325" t="n"/>
      <c r="S159" s="429" t="n"/>
      <c r="T159" s="232" t="n"/>
      <c r="U159" s="232" t="n"/>
      <c r="V159" s="232" t="n"/>
      <c r="W159" s="232" t="n"/>
      <c r="X159" s="233" t="n"/>
      <c r="Y159" s="232" t="n"/>
      <c r="Z159" s="232" t="n"/>
      <c r="AA159" s="232" t="n"/>
      <c r="AB159" s="330" t="n"/>
      <c r="AC159" s="230" t="n"/>
      <c r="AD159" s="331" t="n"/>
      <c r="AE159" s="441" t="n"/>
      <c r="AF159" s="526" t="n"/>
      <c r="AH159" s="391" t="n"/>
    </row>
    <row r="160" customFormat="1" s="141">
      <c r="A160" s="251" t="n"/>
      <c r="B160" s="429" t="n"/>
      <c r="C160" s="306" t="n"/>
      <c r="D160" s="420" t="n"/>
      <c r="E160" s="273" t="n"/>
      <c r="F160" s="273" t="n"/>
      <c r="G160" s="231" t="n"/>
      <c r="H160" s="429" t="n"/>
      <c r="I160" s="429" t="n"/>
      <c r="J160" s="430" t="n"/>
      <c r="K160" s="431" t="n"/>
      <c r="L160" s="316" t="n"/>
      <c r="M160" s="316" t="n"/>
      <c r="N160" s="325" t="n"/>
      <c r="O160" s="325" t="n"/>
      <c r="P160" s="432" t="n"/>
      <c r="Q160" s="325" t="n"/>
      <c r="R160" s="325" t="n"/>
      <c r="S160" s="429" t="n"/>
      <c r="T160" s="232" t="n"/>
      <c r="U160" s="232" t="n"/>
      <c r="V160" s="232" t="n"/>
      <c r="W160" s="232" t="n"/>
      <c r="X160" s="233" t="n"/>
      <c r="Y160" s="232" t="n"/>
      <c r="Z160" s="232" t="n"/>
      <c r="AA160" s="232" t="n"/>
      <c r="AB160" s="330" t="n"/>
      <c r="AC160" s="230" t="n"/>
      <c r="AD160" s="331" t="n"/>
      <c r="AE160" s="441" t="n"/>
      <c r="AF160" s="526" t="n"/>
      <c r="AH160" s="391" t="n"/>
    </row>
    <row r="161" customFormat="1" s="141">
      <c r="A161" s="251" t="n"/>
      <c r="B161" s="429" t="n"/>
      <c r="C161" s="306" t="n"/>
      <c r="D161" s="420" t="n"/>
      <c r="E161" s="273" t="n"/>
      <c r="F161" s="273" t="n"/>
      <c r="G161" s="231" t="n"/>
      <c r="H161" s="429" t="n"/>
      <c r="I161" s="429" t="n"/>
      <c r="J161" s="430" t="n"/>
      <c r="K161" s="431" t="n"/>
      <c r="L161" s="316" t="n"/>
      <c r="M161" s="316" t="n"/>
      <c r="N161" s="325" t="n"/>
      <c r="O161" s="325" t="n"/>
      <c r="P161" s="432" t="n"/>
      <c r="Q161" s="325" t="n"/>
      <c r="R161" s="325" t="n"/>
      <c r="S161" s="429" t="n"/>
      <c r="T161" s="232" t="n"/>
      <c r="U161" s="232" t="n"/>
      <c r="V161" s="232" t="n"/>
      <c r="W161" s="232" t="n"/>
      <c r="X161" s="233" t="n"/>
      <c r="Y161" s="232" t="n"/>
      <c r="Z161" s="232" t="n"/>
      <c r="AA161" s="232" t="n"/>
      <c r="AB161" s="330" t="n"/>
      <c r="AC161" s="230" t="n"/>
      <c r="AD161" s="331" t="n"/>
      <c r="AE161" s="441" t="n"/>
      <c r="AF161" s="526" t="n"/>
      <c r="AH161" s="391" t="n"/>
    </row>
    <row r="162" customFormat="1" s="141">
      <c r="A162" s="251" t="n"/>
      <c r="B162" s="429" t="n"/>
      <c r="C162" s="306" t="n"/>
      <c r="D162" s="420" t="n"/>
      <c r="E162" s="273" t="n"/>
      <c r="F162" s="273" t="n"/>
      <c r="G162" s="231" t="n"/>
      <c r="H162" s="429" t="n"/>
      <c r="I162" s="429" t="n"/>
      <c r="J162" s="430" t="n"/>
      <c r="K162" s="431" t="n"/>
      <c r="L162" s="316" t="n"/>
      <c r="M162" s="316" t="n"/>
      <c r="N162" s="325" t="n"/>
      <c r="O162" s="325" t="n"/>
      <c r="P162" s="432" t="n"/>
      <c r="Q162" s="325" t="n"/>
      <c r="R162" s="325" t="n"/>
      <c r="S162" s="429" t="n"/>
      <c r="T162" s="232" t="n"/>
      <c r="U162" s="232" t="n"/>
      <c r="V162" s="232" t="n"/>
      <c r="W162" s="232" t="n"/>
      <c r="X162" s="233" t="n"/>
      <c r="Y162" s="232" t="n"/>
      <c r="Z162" s="232" t="n"/>
      <c r="AA162" s="232" t="n"/>
      <c r="AB162" s="330" t="n"/>
      <c r="AC162" s="230" t="n"/>
      <c r="AD162" s="331" t="n"/>
      <c r="AE162" s="441" t="n"/>
      <c r="AF162" s="526" t="n"/>
      <c r="AH162" s="391" t="n"/>
    </row>
    <row r="163" customFormat="1" s="141">
      <c r="A163" s="251" t="n"/>
      <c r="B163" s="429" t="n"/>
      <c r="C163" s="306" t="n"/>
      <c r="D163" s="420" t="n"/>
      <c r="E163" s="273" t="n"/>
      <c r="F163" s="273" t="n"/>
      <c r="G163" s="231" t="n"/>
      <c r="H163" s="429" t="n"/>
      <c r="I163" s="429" t="n"/>
      <c r="J163" s="430" t="n"/>
      <c r="K163" s="431" t="n"/>
      <c r="L163" s="316" t="n"/>
      <c r="M163" s="316" t="n"/>
      <c r="N163" s="325" t="n"/>
      <c r="O163" s="325" t="n"/>
      <c r="P163" s="432" t="n"/>
      <c r="Q163" s="325" t="n"/>
      <c r="R163" s="325" t="n"/>
      <c r="S163" s="429" t="n"/>
      <c r="T163" s="232" t="n"/>
      <c r="U163" s="232" t="n"/>
      <c r="V163" s="232" t="n"/>
      <c r="W163" s="232" t="n"/>
      <c r="X163" s="233" t="n"/>
      <c r="Y163" s="232" t="n"/>
      <c r="Z163" s="232" t="n"/>
      <c r="AA163" s="232" t="n"/>
      <c r="AB163" s="330" t="n"/>
      <c r="AC163" s="230" t="n"/>
      <c r="AD163" s="331" t="n"/>
      <c r="AE163" s="441" t="n"/>
      <c r="AF163" s="526" t="n"/>
      <c r="AH163" s="391" t="n"/>
    </row>
    <row r="164" customFormat="1" s="141">
      <c r="A164" s="251" t="n"/>
      <c r="B164" s="429" t="n"/>
      <c r="C164" s="306" t="n"/>
      <c r="D164" s="420" t="n"/>
      <c r="E164" s="273" t="n"/>
      <c r="F164" s="273" t="n"/>
      <c r="G164" s="231" t="n"/>
      <c r="H164" s="429" t="n"/>
      <c r="I164" s="429" t="n"/>
      <c r="J164" s="430" t="n"/>
      <c r="K164" s="431" t="n"/>
      <c r="L164" s="316" t="n"/>
      <c r="M164" s="316" t="n"/>
      <c r="N164" s="325" t="n"/>
      <c r="O164" s="325" t="n"/>
      <c r="P164" s="432" t="n"/>
      <c r="Q164" s="325" t="n"/>
      <c r="R164" s="325" t="n"/>
      <c r="S164" s="429" t="n"/>
      <c r="T164" s="232" t="n"/>
      <c r="U164" s="232" t="n"/>
      <c r="V164" s="232" t="n"/>
      <c r="W164" s="232" t="n"/>
      <c r="X164" s="233" t="n"/>
      <c r="Y164" s="232" t="n"/>
      <c r="Z164" s="232" t="n"/>
      <c r="AA164" s="232" t="n"/>
      <c r="AB164" s="330" t="n"/>
      <c r="AC164" s="230" t="n"/>
      <c r="AD164" s="331" t="n"/>
      <c r="AE164" s="441" t="n"/>
      <c r="AF164" s="526" t="n"/>
      <c r="AH164" s="391" t="n"/>
    </row>
    <row r="165" customFormat="1" s="141">
      <c r="A165" s="251" t="n"/>
      <c r="B165" s="429" t="n"/>
      <c r="C165" s="306" t="n"/>
      <c r="D165" s="420" t="n"/>
      <c r="E165" s="273" t="n"/>
      <c r="F165" s="273" t="n"/>
      <c r="G165" s="231" t="n"/>
      <c r="H165" s="429" t="n"/>
      <c r="I165" s="429" t="n"/>
      <c r="J165" s="430" t="n"/>
      <c r="K165" s="431" t="n"/>
      <c r="L165" s="316" t="n"/>
      <c r="M165" s="316" t="n"/>
      <c r="N165" s="325" t="n"/>
      <c r="O165" s="325" t="n"/>
      <c r="P165" s="432" t="n"/>
      <c r="Q165" s="325" t="n"/>
      <c r="R165" s="325" t="n"/>
      <c r="S165" s="429" t="n"/>
      <c r="T165" s="232" t="n"/>
      <c r="U165" s="232" t="n"/>
      <c r="V165" s="232" t="n"/>
      <c r="W165" s="232" t="n"/>
      <c r="X165" s="233" t="n"/>
      <c r="Y165" s="232" t="n"/>
      <c r="Z165" s="232" t="n"/>
      <c r="AA165" s="232" t="n"/>
      <c r="AB165" s="330" t="n"/>
      <c r="AC165" s="230" t="n"/>
      <c r="AD165" s="331" t="n"/>
      <c r="AE165" s="441" t="n"/>
      <c r="AF165" s="526" t="n"/>
      <c r="AH165" s="391" t="n"/>
    </row>
    <row r="166" customFormat="1" s="141">
      <c r="A166" s="251" t="n"/>
      <c r="B166" s="429" t="n"/>
      <c r="C166" s="306" t="n"/>
      <c r="D166" s="420" t="n"/>
      <c r="E166" s="273" t="n"/>
      <c r="F166" s="273" t="n"/>
      <c r="G166" s="231" t="n"/>
      <c r="H166" s="429" t="n"/>
      <c r="I166" s="429" t="n"/>
      <c r="J166" s="430" t="n"/>
      <c r="K166" s="431" t="n"/>
      <c r="L166" s="316" t="n"/>
      <c r="M166" s="316" t="n"/>
      <c r="N166" s="325" t="n"/>
      <c r="O166" s="325" t="n"/>
      <c r="P166" s="432" t="n"/>
      <c r="Q166" s="325" t="n"/>
      <c r="R166" s="325" t="n"/>
      <c r="S166" s="429" t="n"/>
      <c r="T166" s="232" t="n"/>
      <c r="U166" s="232" t="n"/>
      <c r="V166" s="232" t="n"/>
      <c r="W166" s="232" t="n"/>
      <c r="X166" s="233" t="n"/>
      <c r="Y166" s="232" t="n"/>
      <c r="Z166" s="232" t="n"/>
      <c r="AA166" s="232" t="n"/>
      <c r="AB166" s="330" t="n"/>
      <c r="AC166" s="230" t="n"/>
      <c r="AD166" s="331" t="n"/>
      <c r="AE166" s="441" t="n"/>
      <c r="AF166" s="526" t="n"/>
      <c r="AH166" s="391" t="n"/>
    </row>
    <row r="167" customFormat="1" s="141">
      <c r="A167" s="251" t="n"/>
      <c r="B167" s="429" t="n"/>
      <c r="C167" s="306" t="n"/>
      <c r="D167" s="420" t="n"/>
      <c r="E167" s="273" t="n"/>
      <c r="F167" s="273" t="n"/>
      <c r="G167" s="231" t="n"/>
      <c r="H167" s="429" t="n"/>
      <c r="I167" s="429" t="n"/>
      <c r="J167" s="430" t="n"/>
      <c r="K167" s="431" t="n"/>
      <c r="L167" s="316" t="n"/>
      <c r="M167" s="316" t="n"/>
      <c r="N167" s="325" t="n"/>
      <c r="O167" s="325" t="n"/>
      <c r="P167" s="432" t="n"/>
      <c r="Q167" s="325" t="n"/>
      <c r="R167" s="325" t="n"/>
      <c r="S167" s="429" t="n"/>
      <c r="T167" s="232" t="n"/>
      <c r="U167" s="232" t="n"/>
      <c r="V167" s="232" t="n"/>
      <c r="W167" s="232" t="n"/>
      <c r="X167" s="233" t="n"/>
      <c r="Y167" s="232" t="n"/>
      <c r="Z167" s="232" t="n"/>
      <c r="AA167" s="232" t="n"/>
      <c r="AB167" s="330" t="n"/>
      <c r="AC167" s="230" t="n"/>
      <c r="AD167" s="331" t="n"/>
      <c r="AE167" s="441" t="n"/>
      <c r="AF167" s="526" t="n"/>
      <c r="AH167" s="391" t="n"/>
    </row>
    <row r="168" customFormat="1" s="141">
      <c r="A168" s="251" t="n"/>
      <c r="B168" s="429" t="n"/>
      <c r="C168" s="306" t="n"/>
      <c r="D168" s="420" t="n"/>
      <c r="E168" s="273" t="n"/>
      <c r="F168" s="273" t="n"/>
      <c r="G168" s="231" t="n"/>
      <c r="H168" s="429" t="n"/>
      <c r="I168" s="429" t="n"/>
      <c r="J168" s="430" t="n"/>
      <c r="K168" s="431" t="n"/>
      <c r="L168" s="316" t="n"/>
      <c r="M168" s="316" t="n"/>
      <c r="N168" s="325" t="n"/>
      <c r="O168" s="325" t="n"/>
      <c r="P168" s="432" t="n"/>
      <c r="Q168" s="325" t="n"/>
      <c r="R168" s="325" t="n"/>
      <c r="S168" s="429" t="n"/>
      <c r="T168" s="232" t="n"/>
      <c r="U168" s="232" t="n"/>
      <c r="V168" s="232" t="n"/>
      <c r="W168" s="232" t="n"/>
      <c r="X168" s="233" t="n"/>
      <c r="Y168" s="232" t="n"/>
      <c r="Z168" s="232" t="n"/>
      <c r="AA168" s="232" t="n"/>
      <c r="AB168" s="330" t="n"/>
      <c r="AC168" s="230" t="n"/>
      <c r="AD168" s="331" t="n"/>
      <c r="AE168" s="441" t="n"/>
      <c r="AF168" s="526" t="n"/>
      <c r="AH168" s="391" t="n"/>
    </row>
    <row r="169" customFormat="1" s="141">
      <c r="A169" s="251" t="n"/>
      <c r="B169" s="429" t="n"/>
      <c r="C169" s="306" t="n"/>
      <c r="D169" s="420" t="n"/>
      <c r="E169" s="273" t="n"/>
      <c r="F169" s="273" t="n"/>
      <c r="G169" s="231" t="n"/>
      <c r="H169" s="429" t="n"/>
      <c r="I169" s="429" t="n"/>
      <c r="J169" s="430" t="n"/>
      <c r="K169" s="431" t="n"/>
      <c r="L169" s="316" t="n"/>
      <c r="M169" s="316" t="n"/>
      <c r="N169" s="325" t="n"/>
      <c r="O169" s="325" t="n"/>
      <c r="P169" s="432" t="n"/>
      <c r="Q169" s="325" t="n"/>
      <c r="R169" s="325" t="n"/>
      <c r="S169" s="429" t="n"/>
      <c r="T169" s="232" t="n"/>
      <c r="U169" s="232" t="n"/>
      <c r="V169" s="232" t="n"/>
      <c r="W169" s="232" t="n"/>
      <c r="X169" s="233" t="n"/>
      <c r="Y169" s="232" t="n"/>
      <c r="Z169" s="232" t="n"/>
      <c r="AA169" s="232" t="n"/>
      <c r="AB169" s="330" t="n"/>
      <c r="AC169" s="230" t="n"/>
      <c r="AD169" s="331" t="n"/>
      <c r="AE169" s="441" t="n"/>
      <c r="AF169" s="526" t="n"/>
      <c r="AH169" s="391" t="n"/>
    </row>
    <row r="170" customFormat="1" s="141">
      <c r="A170" s="251" t="n"/>
      <c r="B170" s="429" t="n"/>
      <c r="C170" s="306" t="n"/>
      <c r="D170" s="420" t="n"/>
      <c r="E170" s="273" t="n"/>
      <c r="F170" s="273" t="n"/>
      <c r="G170" s="231" t="n"/>
      <c r="H170" s="429" t="n"/>
      <c r="I170" s="429" t="n"/>
      <c r="J170" s="430" t="n"/>
      <c r="K170" s="431" t="n"/>
      <c r="L170" s="316" t="n"/>
      <c r="M170" s="316" t="n"/>
      <c r="N170" s="325" t="n"/>
      <c r="O170" s="325" t="n"/>
      <c r="P170" s="432" t="n"/>
      <c r="Q170" s="325" t="n"/>
      <c r="R170" s="325" t="n"/>
      <c r="S170" s="429" t="n"/>
      <c r="T170" s="232" t="n"/>
      <c r="U170" s="232" t="n"/>
      <c r="V170" s="232" t="n"/>
      <c r="W170" s="232" t="n"/>
      <c r="X170" s="233" t="n"/>
      <c r="Y170" s="232" t="n"/>
      <c r="Z170" s="232" t="n"/>
      <c r="AA170" s="232" t="n"/>
      <c r="AB170" s="330" t="n"/>
      <c r="AC170" s="230" t="n"/>
      <c r="AD170" s="331" t="n"/>
      <c r="AE170" s="441" t="n"/>
      <c r="AF170" s="526" t="n"/>
      <c r="AH170" s="391" t="n"/>
    </row>
    <row r="171" customFormat="1" s="141">
      <c r="A171" s="251" t="n"/>
      <c r="B171" s="429" t="n"/>
      <c r="C171" s="306" t="n"/>
      <c r="D171" s="420" t="n"/>
      <c r="E171" s="273" t="n"/>
      <c r="F171" s="273" t="n"/>
      <c r="G171" s="231" t="n"/>
      <c r="H171" s="429" t="n"/>
      <c r="I171" s="429" t="n"/>
      <c r="J171" s="430" t="n"/>
      <c r="K171" s="431" t="n"/>
      <c r="L171" s="316" t="n"/>
      <c r="M171" s="316" t="n"/>
      <c r="N171" s="325" t="n"/>
      <c r="O171" s="325" t="n"/>
      <c r="P171" s="432" t="n"/>
      <c r="Q171" s="325" t="n"/>
      <c r="R171" s="325" t="n"/>
      <c r="S171" s="429" t="n"/>
      <c r="T171" s="232" t="n"/>
      <c r="U171" s="232" t="n"/>
      <c r="V171" s="232" t="n"/>
      <c r="W171" s="232" t="n"/>
      <c r="X171" s="233" t="n"/>
      <c r="Y171" s="232" t="n"/>
      <c r="Z171" s="232" t="n"/>
      <c r="AA171" s="232" t="n"/>
      <c r="AB171" s="330" t="n"/>
      <c r="AC171" s="230" t="n"/>
      <c r="AD171" s="331" t="n"/>
      <c r="AE171" s="441" t="n"/>
      <c r="AF171" s="526" t="n"/>
      <c r="AH171" s="391" t="n"/>
    </row>
    <row r="172" customFormat="1" s="141">
      <c r="A172" s="251" t="n"/>
      <c r="B172" s="429" t="n"/>
      <c r="C172" s="306" t="n"/>
      <c r="D172" s="420" t="n"/>
      <c r="E172" s="273" t="n"/>
      <c r="F172" s="273" t="n"/>
      <c r="G172" s="231" t="n"/>
      <c r="H172" s="429" t="n"/>
      <c r="I172" s="429" t="n"/>
      <c r="J172" s="430" t="n"/>
      <c r="K172" s="431" t="n"/>
      <c r="L172" s="316" t="n"/>
      <c r="M172" s="316" t="n"/>
      <c r="N172" s="325" t="n"/>
      <c r="O172" s="325" t="n"/>
      <c r="P172" s="432" t="n"/>
      <c r="Q172" s="325" t="n"/>
      <c r="R172" s="325" t="n"/>
      <c r="S172" s="429" t="n"/>
      <c r="T172" s="232" t="n"/>
      <c r="U172" s="232" t="n"/>
      <c r="V172" s="232" t="n"/>
      <c r="W172" s="232" t="n"/>
      <c r="X172" s="233" t="n"/>
      <c r="Y172" s="232" t="n"/>
      <c r="Z172" s="232" t="n"/>
      <c r="AA172" s="232" t="n"/>
      <c r="AB172" s="330" t="n"/>
      <c r="AC172" s="230" t="n"/>
      <c r="AD172" s="331" t="n"/>
      <c r="AE172" s="441" t="n"/>
      <c r="AF172" s="526" t="n"/>
      <c r="AH172" s="391" t="n"/>
    </row>
    <row r="173" customFormat="1" s="141">
      <c r="A173" s="251" t="n"/>
      <c r="B173" s="429" t="n"/>
      <c r="C173" s="306" t="n"/>
      <c r="D173" s="420" t="n"/>
      <c r="E173" s="273" t="n"/>
      <c r="F173" s="273" t="n"/>
      <c r="G173" s="231" t="n"/>
      <c r="H173" s="429" t="n"/>
      <c r="I173" s="429" t="n"/>
      <c r="J173" s="430" t="n"/>
      <c r="K173" s="431" t="n"/>
      <c r="L173" s="316" t="n"/>
      <c r="M173" s="316" t="n"/>
      <c r="N173" s="325" t="n"/>
      <c r="O173" s="325" t="n"/>
      <c r="P173" s="432" t="n"/>
      <c r="Q173" s="325" t="n"/>
      <c r="R173" s="325" t="n"/>
      <c r="S173" s="429" t="n"/>
      <c r="T173" s="232" t="n"/>
      <c r="U173" s="232" t="n"/>
      <c r="V173" s="232" t="n"/>
      <c r="W173" s="232" t="n"/>
      <c r="X173" s="233" t="n"/>
      <c r="Y173" s="232" t="n"/>
      <c r="Z173" s="232" t="n"/>
      <c r="AA173" s="232" t="n"/>
      <c r="AB173" s="330" t="n"/>
      <c r="AC173" s="230" t="n"/>
      <c r="AD173" s="331" t="n"/>
      <c r="AE173" s="441" t="n"/>
      <c r="AF173" s="526" t="n"/>
      <c r="AH173" s="391" t="n"/>
    </row>
    <row r="174" customFormat="1" s="141">
      <c r="A174" s="251" t="n"/>
      <c r="B174" s="429" t="n"/>
      <c r="C174" s="306" t="n"/>
      <c r="D174" s="420" t="n"/>
      <c r="E174" s="273" t="n"/>
      <c r="F174" s="273" t="n"/>
      <c r="G174" s="231" t="n"/>
      <c r="H174" s="429" t="n"/>
      <c r="I174" s="429" t="n"/>
      <c r="J174" s="430" t="n"/>
      <c r="K174" s="431" t="n"/>
      <c r="L174" s="316" t="n"/>
      <c r="M174" s="316" t="n"/>
      <c r="N174" s="325" t="n"/>
      <c r="O174" s="325" t="n"/>
      <c r="P174" s="432" t="n"/>
      <c r="Q174" s="325" t="n"/>
      <c r="R174" s="325" t="n"/>
      <c r="S174" s="429" t="n"/>
      <c r="T174" s="232" t="n"/>
      <c r="U174" s="232" t="n"/>
      <c r="V174" s="232" t="n"/>
      <c r="W174" s="232" t="n"/>
      <c r="X174" s="233" t="n"/>
      <c r="Y174" s="232" t="n"/>
      <c r="Z174" s="232" t="n"/>
      <c r="AA174" s="232" t="n"/>
      <c r="AB174" s="330" t="n"/>
      <c r="AC174" s="230" t="n"/>
      <c r="AD174" s="331" t="n"/>
      <c r="AE174" s="441" t="n"/>
      <c r="AF174" s="526" t="n"/>
      <c r="AH174" s="391" t="n"/>
    </row>
    <row r="175" customFormat="1" s="141">
      <c r="A175" s="251" t="n"/>
      <c r="B175" s="429" t="n"/>
      <c r="C175" s="306" t="n"/>
      <c r="D175" s="420" t="n"/>
      <c r="E175" s="273" t="n"/>
      <c r="F175" s="273" t="n"/>
      <c r="G175" s="231" t="n"/>
      <c r="H175" s="429" t="n"/>
      <c r="I175" s="429" t="n"/>
      <c r="J175" s="430" t="n"/>
      <c r="K175" s="431" t="n"/>
      <c r="L175" s="316" t="n"/>
      <c r="M175" s="316" t="n"/>
      <c r="N175" s="325" t="n"/>
      <c r="O175" s="325" t="n"/>
      <c r="P175" s="432" t="n"/>
      <c r="Q175" s="325" t="n"/>
      <c r="R175" s="325" t="n"/>
      <c r="S175" s="429" t="n"/>
      <c r="T175" s="232" t="n"/>
      <c r="U175" s="232" t="n"/>
      <c r="V175" s="232" t="n"/>
      <c r="W175" s="232" t="n"/>
      <c r="X175" s="233" t="n"/>
      <c r="Y175" s="232" t="n"/>
      <c r="Z175" s="232" t="n"/>
      <c r="AA175" s="232" t="n"/>
      <c r="AB175" s="330" t="n"/>
      <c r="AC175" s="230" t="n"/>
      <c r="AD175" s="331" t="n"/>
      <c r="AE175" s="441" t="n"/>
      <c r="AF175" s="526" t="n"/>
      <c r="AH175" s="391" t="n"/>
    </row>
    <row r="176" customFormat="1" s="141">
      <c r="A176" s="251" t="n"/>
      <c r="B176" s="429" t="n"/>
      <c r="C176" s="306" t="n"/>
      <c r="D176" s="420" t="n"/>
      <c r="E176" s="273" t="n"/>
      <c r="F176" s="273" t="n"/>
      <c r="G176" s="231" t="n"/>
      <c r="H176" s="429" t="n"/>
      <c r="I176" s="429" t="n"/>
      <c r="J176" s="430" t="n"/>
      <c r="K176" s="431" t="n"/>
      <c r="L176" s="316" t="n"/>
      <c r="M176" s="316" t="n"/>
      <c r="N176" s="325" t="n"/>
      <c r="O176" s="325" t="n"/>
      <c r="P176" s="432" t="n"/>
      <c r="Q176" s="325" t="n"/>
      <c r="R176" s="325" t="n"/>
      <c r="S176" s="429" t="n"/>
      <c r="T176" s="232" t="n"/>
      <c r="U176" s="232" t="n"/>
      <c r="V176" s="232" t="n"/>
      <c r="W176" s="232" t="n"/>
      <c r="X176" s="233" t="n"/>
      <c r="Y176" s="232" t="n"/>
      <c r="Z176" s="232" t="n"/>
      <c r="AA176" s="232" t="n"/>
      <c r="AB176" s="330" t="n"/>
      <c r="AC176" s="230" t="n"/>
      <c r="AD176" s="331" t="n"/>
      <c r="AE176" s="441" t="n"/>
      <c r="AF176" s="526" t="n"/>
      <c r="AH176" s="391" t="n"/>
    </row>
    <row r="177" customFormat="1" s="141">
      <c r="A177" s="251" t="n"/>
      <c r="B177" s="429" t="n"/>
      <c r="C177" s="306" t="n"/>
      <c r="D177" s="420" t="n"/>
      <c r="E177" s="273" t="n"/>
      <c r="F177" s="273" t="n"/>
      <c r="G177" s="231" t="n"/>
      <c r="H177" s="429" t="n"/>
      <c r="I177" s="429" t="n"/>
      <c r="J177" s="430" t="n"/>
      <c r="K177" s="431" t="n"/>
      <c r="L177" s="316" t="n"/>
      <c r="M177" s="316" t="n"/>
      <c r="N177" s="325" t="n"/>
      <c r="O177" s="325" t="n"/>
      <c r="P177" s="432" t="n"/>
      <c r="Q177" s="325" t="n"/>
      <c r="R177" s="325" t="n"/>
      <c r="S177" s="429" t="n"/>
      <c r="T177" s="232" t="n"/>
      <c r="U177" s="232" t="n"/>
      <c r="V177" s="232" t="n"/>
      <c r="W177" s="232" t="n"/>
      <c r="X177" s="233" t="n"/>
      <c r="Y177" s="232" t="n"/>
      <c r="Z177" s="232" t="n"/>
      <c r="AA177" s="232" t="n"/>
      <c r="AB177" s="330" t="n"/>
      <c r="AC177" s="230" t="n"/>
      <c r="AD177" s="331" t="n"/>
      <c r="AE177" s="441" t="n"/>
      <c r="AF177" s="526" t="n"/>
      <c r="AH177" s="391" t="n"/>
    </row>
    <row r="178" customFormat="1" s="141">
      <c r="A178" s="251" t="n"/>
      <c r="B178" s="429" t="n"/>
      <c r="C178" s="306" t="n"/>
      <c r="D178" s="420" t="n"/>
      <c r="E178" s="273" t="n"/>
      <c r="F178" s="273" t="n"/>
      <c r="G178" s="231" t="n"/>
      <c r="H178" s="429" t="n"/>
      <c r="I178" s="429" t="n"/>
      <c r="J178" s="430" t="n"/>
      <c r="K178" s="431" t="n"/>
      <c r="L178" s="316" t="n"/>
      <c r="M178" s="316" t="n"/>
      <c r="N178" s="325" t="n"/>
      <c r="O178" s="325" t="n"/>
      <c r="P178" s="432" t="n"/>
      <c r="Q178" s="325" t="n"/>
      <c r="R178" s="325" t="n"/>
      <c r="S178" s="429" t="n"/>
      <c r="T178" s="232" t="n"/>
      <c r="U178" s="232" t="n"/>
      <c r="V178" s="232" t="n"/>
      <c r="W178" s="232" t="n"/>
      <c r="X178" s="233" t="n"/>
      <c r="Y178" s="232" t="n"/>
      <c r="Z178" s="232" t="n"/>
      <c r="AA178" s="232" t="n"/>
      <c r="AB178" s="330" t="n"/>
      <c r="AC178" s="230" t="n"/>
      <c r="AD178" s="331" t="n"/>
      <c r="AE178" s="441" t="n"/>
      <c r="AF178" s="526" t="n"/>
      <c r="AH178" s="391" t="n"/>
    </row>
    <row r="179" customFormat="1" s="141">
      <c r="A179" s="251" t="n"/>
      <c r="B179" s="429" t="n"/>
      <c r="C179" s="306" t="n"/>
      <c r="D179" s="420" t="n"/>
      <c r="E179" s="273" t="n"/>
      <c r="F179" s="273" t="n"/>
      <c r="G179" s="231" t="n"/>
      <c r="H179" s="429" t="n"/>
      <c r="I179" s="429" t="n"/>
      <c r="J179" s="430" t="n"/>
      <c r="K179" s="431" t="n"/>
      <c r="L179" s="316" t="n"/>
      <c r="M179" s="316" t="n"/>
      <c r="N179" s="325" t="n"/>
      <c r="O179" s="325" t="n"/>
      <c r="P179" s="432" t="n"/>
      <c r="Q179" s="325" t="n"/>
      <c r="R179" s="325" t="n"/>
      <c r="S179" s="429" t="n"/>
      <c r="T179" s="232" t="n"/>
      <c r="U179" s="232" t="n"/>
      <c r="V179" s="232" t="n"/>
      <c r="W179" s="232" t="n"/>
      <c r="X179" s="233" t="n"/>
      <c r="Y179" s="232" t="n"/>
      <c r="Z179" s="232" t="n"/>
      <c r="AA179" s="232" t="n"/>
      <c r="AB179" s="330" t="n"/>
      <c r="AC179" s="230" t="n"/>
      <c r="AD179" s="331" t="n"/>
      <c r="AE179" s="441" t="n"/>
      <c r="AF179" s="526" t="n"/>
      <c r="AH179" s="391" t="n"/>
    </row>
    <row r="180" customFormat="1" s="141">
      <c r="A180" s="251" t="n"/>
      <c r="B180" s="429" t="n"/>
      <c r="C180" s="306" t="n"/>
      <c r="D180" s="420" t="n"/>
      <c r="E180" s="273" t="n"/>
      <c r="F180" s="273" t="n"/>
      <c r="G180" s="231" t="n"/>
      <c r="H180" s="429" t="n"/>
      <c r="I180" s="429" t="n"/>
      <c r="J180" s="430" t="n"/>
      <c r="K180" s="431" t="n"/>
      <c r="L180" s="316" t="n"/>
      <c r="M180" s="316" t="n"/>
      <c r="N180" s="325" t="n"/>
      <c r="O180" s="325" t="n"/>
      <c r="P180" s="432" t="n"/>
      <c r="Q180" s="325" t="n"/>
      <c r="R180" s="325" t="n"/>
      <c r="S180" s="429" t="n"/>
      <c r="T180" s="232" t="n"/>
      <c r="U180" s="232" t="n"/>
      <c r="V180" s="232" t="n"/>
      <c r="W180" s="232" t="n"/>
      <c r="X180" s="233" t="n"/>
      <c r="Y180" s="232" t="n"/>
      <c r="Z180" s="232" t="n"/>
      <c r="AA180" s="232" t="n"/>
      <c r="AB180" s="330" t="n"/>
      <c r="AC180" s="230" t="n"/>
      <c r="AD180" s="331" t="n"/>
      <c r="AE180" s="441" t="n"/>
      <c r="AF180" s="526" t="n"/>
      <c r="AH180" s="391" t="n"/>
    </row>
    <row r="181" customFormat="1" s="141">
      <c r="A181" s="251" t="n"/>
      <c r="B181" s="429" t="n"/>
      <c r="C181" s="306" t="n"/>
      <c r="D181" s="420" t="n"/>
      <c r="E181" s="273" t="n"/>
      <c r="F181" s="273" t="n"/>
      <c r="G181" s="231" t="n"/>
      <c r="H181" s="429" t="n"/>
      <c r="I181" s="429" t="n"/>
      <c r="J181" s="430" t="n"/>
      <c r="K181" s="431" t="n"/>
      <c r="L181" s="316" t="n"/>
      <c r="M181" s="316" t="n"/>
      <c r="N181" s="325" t="n"/>
      <c r="O181" s="325" t="n"/>
      <c r="P181" s="432" t="n"/>
      <c r="Q181" s="325" t="n"/>
      <c r="R181" s="325" t="n"/>
      <c r="S181" s="429" t="n"/>
      <c r="T181" s="232" t="n"/>
      <c r="U181" s="232" t="n"/>
      <c r="V181" s="232" t="n"/>
      <c r="W181" s="232" t="n"/>
      <c r="X181" s="233" t="n"/>
      <c r="Y181" s="232" t="n"/>
      <c r="Z181" s="232" t="n"/>
      <c r="AA181" s="232" t="n"/>
      <c r="AB181" s="330" t="n"/>
      <c r="AC181" s="230" t="n"/>
      <c r="AD181" s="331" t="n"/>
      <c r="AE181" s="441" t="n"/>
      <c r="AF181" s="526" t="n"/>
      <c r="AH181" s="391" t="n"/>
    </row>
    <row r="182" customFormat="1" s="141">
      <c r="A182" s="251" t="n"/>
      <c r="B182" s="429" t="n"/>
      <c r="C182" s="306" t="n"/>
      <c r="D182" s="420" t="n"/>
      <c r="E182" s="273" t="n"/>
      <c r="F182" s="273" t="n"/>
      <c r="G182" s="231" t="n"/>
      <c r="H182" s="429" t="n"/>
      <c r="I182" s="429" t="n"/>
      <c r="J182" s="430" t="n"/>
      <c r="K182" s="431" t="n"/>
      <c r="L182" s="316" t="n"/>
      <c r="M182" s="316" t="n"/>
      <c r="N182" s="325" t="n"/>
      <c r="O182" s="325" t="n"/>
      <c r="P182" s="432" t="n"/>
      <c r="Q182" s="325" t="n"/>
      <c r="R182" s="325" t="n"/>
      <c r="S182" s="429" t="n"/>
      <c r="T182" s="232" t="n"/>
      <c r="U182" s="232" t="n"/>
      <c r="V182" s="232" t="n"/>
      <c r="W182" s="232" t="n"/>
      <c r="X182" s="233" t="n"/>
      <c r="Y182" s="232" t="n"/>
      <c r="Z182" s="232" t="n"/>
      <c r="AA182" s="232" t="n"/>
      <c r="AB182" s="330" t="n"/>
      <c r="AC182" s="230" t="n"/>
      <c r="AD182" s="331" t="n"/>
      <c r="AE182" s="441" t="n"/>
      <c r="AF182" s="526" t="n"/>
      <c r="AH182" s="391" t="n"/>
    </row>
    <row r="183" customFormat="1" s="141">
      <c r="A183" s="251" t="n"/>
      <c r="B183" s="429" t="n"/>
      <c r="C183" s="306" t="n"/>
      <c r="D183" s="420" t="n"/>
      <c r="E183" s="273" t="n"/>
      <c r="F183" s="273" t="n"/>
      <c r="G183" s="231" t="n"/>
      <c r="H183" s="429" t="n"/>
      <c r="I183" s="429" t="n"/>
      <c r="J183" s="430" t="n"/>
      <c r="K183" s="431" t="n"/>
      <c r="L183" s="316" t="n"/>
      <c r="M183" s="316" t="n"/>
      <c r="N183" s="325" t="n"/>
      <c r="O183" s="325" t="n"/>
      <c r="P183" s="432" t="n"/>
      <c r="Q183" s="325" t="n"/>
      <c r="R183" s="325" t="n"/>
      <c r="S183" s="429" t="n"/>
      <c r="T183" s="232" t="n"/>
      <c r="U183" s="232" t="n"/>
      <c r="V183" s="232" t="n"/>
      <c r="W183" s="232" t="n"/>
      <c r="X183" s="233" t="n"/>
      <c r="Y183" s="232" t="n"/>
      <c r="Z183" s="232" t="n"/>
      <c r="AA183" s="232" t="n"/>
      <c r="AB183" s="330" t="n"/>
      <c r="AC183" s="230" t="n"/>
      <c r="AD183" s="331" t="n"/>
      <c r="AE183" s="441" t="n"/>
      <c r="AF183" s="526" t="n"/>
      <c r="AH183" s="391" t="n"/>
    </row>
    <row r="184" customFormat="1" s="141">
      <c r="A184" s="251" t="n"/>
      <c r="B184" s="429" t="n"/>
      <c r="C184" s="306" t="n"/>
      <c r="D184" s="420" t="n"/>
      <c r="E184" s="273" t="n"/>
      <c r="F184" s="273" t="n"/>
      <c r="G184" s="231" t="n"/>
      <c r="H184" s="429" t="n"/>
      <c r="I184" s="429" t="n"/>
      <c r="J184" s="430" t="n"/>
      <c r="K184" s="431" t="n"/>
      <c r="L184" s="316" t="n"/>
      <c r="M184" s="316" t="n"/>
      <c r="N184" s="325" t="n"/>
      <c r="O184" s="325" t="n"/>
      <c r="P184" s="432" t="n"/>
      <c r="Q184" s="325" t="n"/>
      <c r="R184" s="325" t="n"/>
      <c r="S184" s="429" t="n"/>
      <c r="T184" s="232" t="n"/>
      <c r="U184" s="232" t="n"/>
      <c r="V184" s="232" t="n"/>
      <c r="W184" s="232" t="n"/>
      <c r="X184" s="233" t="n"/>
      <c r="Y184" s="232" t="n"/>
      <c r="Z184" s="232" t="n"/>
      <c r="AA184" s="232" t="n"/>
      <c r="AB184" s="330" t="n"/>
      <c r="AC184" s="230" t="n"/>
      <c r="AD184" s="331" t="n"/>
      <c r="AE184" s="441" t="n"/>
      <c r="AF184" s="526" t="n"/>
      <c r="AH184" s="391" t="n"/>
    </row>
    <row r="185" customFormat="1" s="141">
      <c r="A185" s="251" t="n"/>
      <c r="B185" s="429" t="n"/>
      <c r="C185" s="306" t="n"/>
      <c r="D185" s="420" t="n"/>
      <c r="E185" s="273" t="n"/>
      <c r="F185" s="273" t="n"/>
      <c r="G185" s="231" t="n"/>
      <c r="H185" s="429" t="n"/>
      <c r="I185" s="429" t="n"/>
      <c r="J185" s="430" t="n"/>
      <c r="K185" s="431" t="n"/>
      <c r="L185" s="316" t="n"/>
      <c r="M185" s="316" t="n"/>
      <c r="N185" s="325" t="n"/>
      <c r="O185" s="325" t="n"/>
      <c r="P185" s="432" t="n"/>
      <c r="Q185" s="325" t="n"/>
      <c r="R185" s="325" t="n"/>
      <c r="S185" s="429" t="n"/>
      <c r="T185" s="232" t="n"/>
      <c r="U185" s="232" t="n"/>
      <c r="V185" s="232" t="n"/>
      <c r="W185" s="232" t="n"/>
      <c r="X185" s="233" t="n"/>
      <c r="Y185" s="232" t="n"/>
      <c r="Z185" s="232" t="n"/>
      <c r="AA185" s="232" t="n"/>
      <c r="AB185" s="330" t="n"/>
      <c r="AC185" s="230" t="n"/>
      <c r="AD185" s="331" t="n"/>
      <c r="AE185" s="441" t="n"/>
      <c r="AF185" s="526" t="n"/>
      <c r="AH185" s="391" t="n"/>
    </row>
    <row r="186" customFormat="1" s="141">
      <c r="A186" s="251" t="n"/>
      <c r="B186" s="429" t="n"/>
      <c r="C186" s="306" t="n"/>
      <c r="D186" s="420" t="n"/>
      <c r="E186" s="273" t="n"/>
      <c r="F186" s="273" t="n"/>
      <c r="G186" s="231" t="n"/>
      <c r="H186" s="429" t="n"/>
      <c r="I186" s="429" t="n"/>
      <c r="J186" s="430" t="n"/>
      <c r="K186" s="431" t="n"/>
      <c r="L186" s="316" t="n"/>
      <c r="M186" s="316" t="n"/>
      <c r="N186" s="325" t="n"/>
      <c r="O186" s="325" t="n"/>
      <c r="P186" s="432" t="n"/>
      <c r="Q186" s="325" t="n"/>
      <c r="R186" s="325" t="n"/>
      <c r="S186" s="429" t="n"/>
      <c r="T186" s="232" t="n"/>
      <c r="U186" s="232" t="n"/>
      <c r="V186" s="232" t="n"/>
      <c r="W186" s="232" t="n"/>
      <c r="X186" s="233" t="n"/>
      <c r="Y186" s="232" t="n"/>
      <c r="Z186" s="232" t="n"/>
      <c r="AA186" s="232" t="n"/>
      <c r="AB186" s="330" t="n"/>
      <c r="AC186" s="230" t="n"/>
      <c r="AD186" s="331" t="n"/>
      <c r="AE186" s="441" t="n"/>
      <c r="AF186" s="526" t="n"/>
      <c r="AH186" s="391" t="n"/>
    </row>
    <row r="187" customFormat="1" s="141">
      <c r="A187" s="251" t="n"/>
      <c r="B187" s="429" t="n"/>
      <c r="C187" s="306" t="n"/>
      <c r="D187" s="420" t="n"/>
      <c r="E187" s="273" t="n"/>
      <c r="F187" s="273" t="n"/>
      <c r="G187" s="231" t="n"/>
      <c r="H187" s="429" t="n"/>
      <c r="I187" s="429" t="n"/>
      <c r="J187" s="430" t="n"/>
      <c r="K187" s="431" t="n"/>
      <c r="L187" s="316" t="n"/>
      <c r="M187" s="316" t="n"/>
      <c r="N187" s="325" t="n"/>
      <c r="O187" s="325" t="n"/>
      <c r="P187" s="432" t="n"/>
      <c r="Q187" s="325" t="n"/>
      <c r="R187" s="325" t="n"/>
      <c r="S187" s="429" t="n"/>
      <c r="T187" s="232" t="n"/>
      <c r="U187" s="232" t="n"/>
      <c r="V187" s="232" t="n"/>
      <c r="W187" s="232" t="n"/>
      <c r="X187" s="233" t="n"/>
      <c r="Y187" s="232" t="n"/>
      <c r="Z187" s="232" t="n"/>
      <c r="AA187" s="232" t="n"/>
      <c r="AB187" s="330" t="n"/>
      <c r="AC187" s="230" t="n"/>
      <c r="AD187" s="331" t="n"/>
      <c r="AE187" s="441" t="n"/>
      <c r="AF187" s="526" t="n"/>
      <c r="AH187" s="391" t="n"/>
    </row>
    <row r="188" customFormat="1" s="141">
      <c r="A188" s="251" t="n"/>
      <c r="B188" s="429" t="n"/>
      <c r="C188" s="306" t="n"/>
      <c r="D188" s="420" t="n"/>
      <c r="E188" s="273" t="n"/>
      <c r="F188" s="273" t="n"/>
      <c r="G188" s="231" t="n"/>
      <c r="H188" s="429" t="n"/>
      <c r="I188" s="429" t="n"/>
      <c r="J188" s="430" t="n"/>
      <c r="K188" s="431" t="n"/>
      <c r="L188" s="316" t="n"/>
      <c r="M188" s="316" t="n"/>
      <c r="N188" s="325" t="n"/>
      <c r="O188" s="325" t="n"/>
      <c r="P188" s="432" t="n"/>
      <c r="Q188" s="325" t="n"/>
      <c r="R188" s="325" t="n"/>
      <c r="S188" s="429" t="n"/>
      <c r="T188" s="232" t="n"/>
      <c r="U188" s="232" t="n"/>
      <c r="V188" s="232" t="n"/>
      <c r="W188" s="232" t="n"/>
      <c r="X188" s="233" t="n"/>
      <c r="Y188" s="232" t="n"/>
      <c r="Z188" s="232" t="n"/>
      <c r="AA188" s="232" t="n"/>
      <c r="AB188" s="330" t="n"/>
      <c r="AC188" s="230" t="n"/>
      <c r="AD188" s="331" t="n"/>
      <c r="AE188" s="441" t="n"/>
      <c r="AF188" s="526" t="n"/>
      <c r="AH188" s="391" t="n"/>
    </row>
    <row r="189" customFormat="1" s="141">
      <c r="A189" s="251" t="n"/>
      <c r="B189" s="429" t="n"/>
      <c r="C189" s="306" t="n"/>
      <c r="D189" s="420" t="n"/>
      <c r="E189" s="273" t="n"/>
      <c r="F189" s="273" t="n"/>
      <c r="G189" s="231" t="n"/>
      <c r="H189" s="429" t="n"/>
      <c r="I189" s="429" t="n"/>
      <c r="J189" s="430" t="n"/>
      <c r="K189" s="431" t="n"/>
      <c r="L189" s="316" t="n"/>
      <c r="M189" s="316" t="n"/>
      <c r="N189" s="325" t="n"/>
      <c r="O189" s="325" t="n"/>
      <c r="P189" s="432" t="n"/>
      <c r="Q189" s="325" t="n"/>
      <c r="R189" s="325" t="n"/>
      <c r="S189" s="429" t="n"/>
      <c r="T189" s="232" t="n"/>
      <c r="U189" s="232" t="n"/>
      <c r="V189" s="232" t="n"/>
      <c r="W189" s="232" t="n"/>
      <c r="X189" s="233" t="n"/>
      <c r="Y189" s="232" t="n"/>
      <c r="Z189" s="232" t="n"/>
      <c r="AA189" s="232" t="n"/>
      <c r="AB189" s="330" t="n"/>
      <c r="AC189" s="230" t="n"/>
      <c r="AD189" s="331" t="n"/>
      <c r="AE189" s="441" t="n"/>
      <c r="AF189" s="526" t="n"/>
      <c r="AH189" s="391" t="n"/>
    </row>
    <row r="190" customFormat="1" s="141">
      <c r="A190" s="251" t="n"/>
      <c r="B190" s="429" t="n"/>
      <c r="C190" s="306" t="n"/>
      <c r="D190" s="420" t="n"/>
      <c r="E190" s="273" t="n"/>
      <c r="F190" s="273" t="n"/>
      <c r="G190" s="231" t="n"/>
      <c r="H190" s="429" t="n"/>
      <c r="I190" s="429" t="n"/>
      <c r="J190" s="430" t="n"/>
      <c r="K190" s="431" t="n"/>
      <c r="L190" s="316" t="n"/>
      <c r="M190" s="316" t="n"/>
      <c r="N190" s="325" t="n"/>
      <c r="O190" s="325" t="n"/>
      <c r="P190" s="432" t="n"/>
      <c r="Q190" s="325" t="n"/>
      <c r="R190" s="325" t="n"/>
      <c r="S190" s="429" t="n"/>
      <c r="T190" s="232" t="n"/>
      <c r="U190" s="232" t="n"/>
      <c r="V190" s="232" t="n"/>
      <c r="W190" s="232" t="n"/>
      <c r="X190" s="233" t="n"/>
      <c r="Y190" s="232" t="n"/>
      <c r="Z190" s="232" t="n"/>
      <c r="AA190" s="232" t="n"/>
      <c r="AB190" s="330" t="n"/>
      <c r="AC190" s="230" t="n"/>
      <c r="AD190" s="331" t="n"/>
      <c r="AE190" s="441" t="n"/>
      <c r="AF190" s="526" t="n"/>
      <c r="AH190" s="391" t="n"/>
    </row>
    <row r="191" customFormat="1" s="141">
      <c r="A191" s="251" t="n"/>
      <c r="B191" s="429" t="n"/>
      <c r="C191" s="306" t="n"/>
      <c r="D191" s="420" t="n"/>
      <c r="E191" s="273" t="n"/>
      <c r="F191" s="273" t="n"/>
      <c r="G191" s="231" t="n"/>
      <c r="H191" s="429" t="n"/>
      <c r="I191" s="429" t="n"/>
      <c r="J191" s="430" t="n"/>
      <c r="K191" s="431" t="n"/>
      <c r="L191" s="316" t="n"/>
      <c r="M191" s="316" t="n"/>
      <c r="N191" s="325" t="n"/>
      <c r="O191" s="325" t="n"/>
      <c r="P191" s="432" t="n"/>
      <c r="Q191" s="325" t="n"/>
      <c r="R191" s="325" t="n"/>
      <c r="S191" s="429" t="n"/>
      <c r="T191" s="232" t="n"/>
      <c r="U191" s="232" t="n"/>
      <c r="V191" s="232" t="n"/>
      <c r="W191" s="232" t="n"/>
      <c r="X191" s="233" t="n"/>
      <c r="Y191" s="232" t="n"/>
      <c r="Z191" s="232" t="n"/>
      <c r="AA191" s="232" t="n"/>
      <c r="AB191" s="330" t="n"/>
      <c r="AC191" s="230" t="n"/>
      <c r="AD191" s="331" t="n"/>
      <c r="AE191" s="441" t="n"/>
      <c r="AF191" s="526" t="n"/>
      <c r="AH191" s="391" t="n"/>
    </row>
    <row r="192" customFormat="1" s="141">
      <c r="A192" s="251" t="n"/>
      <c r="B192" s="429" t="n"/>
      <c r="C192" s="306" t="n"/>
      <c r="D192" s="420" t="n"/>
      <c r="E192" s="273" t="n"/>
      <c r="F192" s="273" t="n"/>
      <c r="G192" s="231" t="n"/>
      <c r="H192" s="429" t="n"/>
      <c r="I192" s="429" t="n"/>
      <c r="J192" s="430" t="n"/>
      <c r="K192" s="431" t="n"/>
      <c r="L192" s="316" t="n"/>
      <c r="M192" s="316" t="n"/>
      <c r="N192" s="325" t="n"/>
      <c r="O192" s="325" t="n"/>
      <c r="P192" s="432" t="n"/>
      <c r="Q192" s="325" t="n"/>
      <c r="R192" s="325" t="n"/>
      <c r="S192" s="429" t="n"/>
      <c r="T192" s="232" t="n"/>
      <c r="U192" s="232" t="n"/>
      <c r="V192" s="232" t="n"/>
      <c r="W192" s="232" t="n"/>
      <c r="X192" s="233" t="n"/>
      <c r="Y192" s="232" t="n"/>
      <c r="Z192" s="232" t="n"/>
      <c r="AA192" s="232" t="n"/>
      <c r="AB192" s="330" t="n"/>
      <c r="AC192" s="230" t="n"/>
      <c r="AD192" s="331" t="n"/>
      <c r="AE192" s="441" t="n"/>
      <c r="AF192" s="526" t="n"/>
      <c r="AH192" s="391" t="n"/>
    </row>
    <row r="193" customFormat="1" s="141">
      <c r="A193" s="251" t="n"/>
      <c r="B193" s="429" t="n"/>
      <c r="C193" s="306" t="n"/>
      <c r="D193" s="420" t="n"/>
      <c r="E193" s="273" t="n"/>
      <c r="F193" s="273" t="n"/>
      <c r="G193" s="231" t="n"/>
      <c r="H193" s="429" t="n"/>
      <c r="I193" s="429" t="n"/>
      <c r="J193" s="430" t="n"/>
      <c r="K193" s="431" t="n"/>
      <c r="L193" s="316" t="n"/>
      <c r="M193" s="316" t="n"/>
      <c r="N193" s="325" t="n"/>
      <c r="O193" s="325" t="n"/>
      <c r="P193" s="432" t="n"/>
      <c r="Q193" s="325" t="n"/>
      <c r="R193" s="325" t="n"/>
      <c r="S193" s="429" t="n"/>
      <c r="T193" s="232" t="n"/>
      <c r="U193" s="232" t="n"/>
      <c r="V193" s="232" t="n"/>
      <c r="W193" s="232" t="n"/>
      <c r="X193" s="233" t="n"/>
      <c r="Y193" s="232" t="n"/>
      <c r="Z193" s="232" t="n"/>
      <c r="AA193" s="232" t="n"/>
      <c r="AB193" s="330" t="n"/>
      <c r="AC193" s="230" t="n"/>
      <c r="AD193" s="331" t="n"/>
      <c r="AE193" s="441" t="n"/>
      <c r="AF193" s="526" t="n"/>
      <c r="AH193" s="391" t="n"/>
    </row>
    <row r="194" customFormat="1" s="141">
      <c r="A194" s="251" t="n"/>
      <c r="B194" s="429" t="n"/>
      <c r="C194" s="306" t="n"/>
      <c r="D194" s="420" t="n"/>
      <c r="E194" s="273" t="n"/>
      <c r="F194" s="273" t="n"/>
      <c r="G194" s="231" t="n"/>
      <c r="H194" s="429" t="n"/>
      <c r="I194" s="429" t="n"/>
      <c r="J194" s="430" t="n"/>
      <c r="K194" s="431" t="n"/>
      <c r="L194" s="316" t="n"/>
      <c r="M194" s="316" t="n"/>
      <c r="N194" s="325" t="n"/>
      <c r="O194" s="325" t="n"/>
      <c r="P194" s="432" t="n"/>
      <c r="Q194" s="325" t="n"/>
      <c r="R194" s="325" t="n"/>
      <c r="S194" s="429" t="n"/>
      <c r="T194" s="232" t="n"/>
      <c r="U194" s="232" t="n"/>
      <c r="V194" s="232" t="n"/>
      <c r="W194" s="232" t="n"/>
      <c r="X194" s="233" t="n"/>
      <c r="Y194" s="232" t="n"/>
      <c r="Z194" s="232" t="n"/>
      <c r="AA194" s="232" t="n"/>
      <c r="AB194" s="330" t="n"/>
      <c r="AC194" s="230" t="n"/>
      <c r="AD194" s="331" t="n"/>
      <c r="AE194" s="441" t="n"/>
      <c r="AF194" s="526" t="n"/>
      <c r="AH194" s="391" t="n"/>
    </row>
    <row r="195" customFormat="1" s="141">
      <c r="A195" s="251" t="n"/>
      <c r="B195" s="429" t="n"/>
      <c r="C195" s="306" t="n"/>
      <c r="D195" s="420" t="n"/>
      <c r="E195" s="273" t="n"/>
      <c r="F195" s="273" t="n"/>
      <c r="G195" s="231" t="n"/>
      <c r="H195" s="429" t="n"/>
      <c r="I195" s="429" t="n"/>
      <c r="J195" s="430" t="n"/>
      <c r="K195" s="431" t="n"/>
      <c r="L195" s="316" t="n"/>
      <c r="M195" s="316" t="n"/>
      <c r="N195" s="325" t="n"/>
      <c r="O195" s="325" t="n"/>
      <c r="P195" s="432" t="n"/>
      <c r="Q195" s="325" t="n"/>
      <c r="R195" s="325" t="n"/>
      <c r="S195" s="429" t="n"/>
      <c r="T195" s="232" t="n"/>
      <c r="U195" s="232" t="n"/>
      <c r="V195" s="232" t="n"/>
      <c r="W195" s="232" t="n"/>
      <c r="X195" s="233" t="n"/>
      <c r="Y195" s="232" t="n"/>
      <c r="Z195" s="232" t="n"/>
      <c r="AA195" s="232" t="n"/>
      <c r="AB195" s="330" t="n"/>
      <c r="AC195" s="230" t="n"/>
      <c r="AD195" s="331" t="n"/>
      <c r="AE195" s="441" t="n"/>
      <c r="AF195" s="526" t="n"/>
      <c r="AH195" s="391" t="n"/>
    </row>
    <row r="196" customFormat="1" s="141">
      <c r="A196" s="251" t="n"/>
      <c r="B196" s="429" t="n"/>
      <c r="C196" s="306" t="n"/>
      <c r="D196" s="420" t="n"/>
      <c r="E196" s="273" t="n"/>
      <c r="F196" s="273" t="n"/>
      <c r="G196" s="231" t="n"/>
      <c r="H196" s="429" t="n"/>
      <c r="I196" s="429" t="n"/>
      <c r="J196" s="430" t="n"/>
      <c r="K196" s="431" t="n"/>
      <c r="L196" s="316" t="n"/>
      <c r="M196" s="316" t="n"/>
      <c r="N196" s="325" t="n"/>
      <c r="O196" s="325" t="n"/>
      <c r="P196" s="432" t="n"/>
      <c r="Q196" s="325" t="n"/>
      <c r="R196" s="325" t="n"/>
      <c r="S196" s="429" t="n"/>
      <c r="T196" s="232" t="n"/>
      <c r="U196" s="232" t="n"/>
      <c r="V196" s="232" t="n"/>
      <c r="W196" s="232" t="n"/>
      <c r="X196" s="233" t="n"/>
      <c r="Y196" s="232" t="n"/>
      <c r="Z196" s="232" t="n"/>
      <c r="AA196" s="232" t="n"/>
      <c r="AB196" s="330" t="n"/>
      <c r="AC196" s="230" t="n"/>
      <c r="AD196" s="331" t="n"/>
      <c r="AE196" s="441" t="n"/>
      <c r="AF196" s="526" t="n"/>
      <c r="AH196" s="391" t="n"/>
    </row>
    <row r="197" customFormat="1" s="141">
      <c r="A197" s="251" t="n"/>
      <c r="B197" s="429" t="n"/>
      <c r="C197" s="306" t="n"/>
      <c r="D197" s="420" t="n"/>
      <c r="E197" s="273" t="n"/>
      <c r="F197" s="273" t="n"/>
      <c r="G197" s="231" t="n"/>
      <c r="H197" s="429" t="n"/>
      <c r="I197" s="429" t="n"/>
      <c r="J197" s="430" t="n"/>
      <c r="K197" s="431" t="n"/>
      <c r="L197" s="316" t="n"/>
      <c r="M197" s="316" t="n"/>
      <c r="N197" s="325" t="n"/>
      <c r="O197" s="325" t="n"/>
      <c r="P197" s="432" t="n"/>
      <c r="Q197" s="325" t="n"/>
      <c r="R197" s="325" t="n"/>
      <c r="S197" s="429" t="n"/>
      <c r="T197" s="232" t="n"/>
      <c r="U197" s="232" t="n"/>
      <c r="V197" s="232" t="n"/>
      <c r="W197" s="232" t="n"/>
      <c r="X197" s="233" t="n"/>
      <c r="Y197" s="232" t="n"/>
      <c r="Z197" s="232" t="n"/>
      <c r="AA197" s="232" t="n"/>
      <c r="AB197" s="330" t="n"/>
      <c r="AC197" s="230" t="n"/>
      <c r="AD197" s="331" t="n"/>
      <c r="AE197" s="441" t="n"/>
      <c r="AF197" s="526" t="n"/>
      <c r="AH197" s="391" t="n"/>
    </row>
    <row r="198" customFormat="1" s="141">
      <c r="A198" s="251" t="n"/>
      <c r="B198" s="429" t="n"/>
      <c r="C198" s="306" t="n"/>
      <c r="D198" s="420" t="n"/>
      <c r="E198" s="273" t="n"/>
      <c r="F198" s="273" t="n"/>
      <c r="G198" s="231" t="n"/>
      <c r="H198" s="429" t="n"/>
      <c r="I198" s="429" t="n"/>
      <c r="J198" s="430" t="n"/>
      <c r="K198" s="431" t="n"/>
      <c r="L198" s="316" t="n"/>
      <c r="M198" s="316" t="n"/>
      <c r="N198" s="325" t="n"/>
      <c r="O198" s="325" t="n"/>
      <c r="P198" s="432" t="n"/>
      <c r="Q198" s="325" t="n"/>
      <c r="R198" s="325" t="n"/>
      <c r="S198" s="429" t="n"/>
      <c r="T198" s="232" t="n"/>
      <c r="U198" s="232" t="n"/>
      <c r="V198" s="232" t="n"/>
      <c r="W198" s="232" t="n"/>
      <c r="X198" s="233" t="n"/>
      <c r="Y198" s="232" t="n"/>
      <c r="Z198" s="232" t="n"/>
      <c r="AA198" s="232" t="n"/>
      <c r="AB198" s="330" t="n"/>
      <c r="AC198" s="230" t="n"/>
      <c r="AD198" s="331" t="n"/>
      <c r="AE198" s="441" t="n"/>
      <c r="AF198" s="526" t="n"/>
      <c r="AH198" s="391" t="n"/>
    </row>
    <row r="199" customFormat="1" s="141">
      <c r="A199" s="251" t="n"/>
      <c r="B199" s="429" t="n"/>
      <c r="C199" s="306" t="n"/>
      <c r="D199" s="420" t="n"/>
      <c r="E199" s="273" t="n"/>
      <c r="F199" s="273" t="n"/>
      <c r="G199" s="231" t="n"/>
      <c r="H199" s="429" t="n"/>
      <c r="I199" s="429" t="n"/>
      <c r="J199" s="430" t="n"/>
      <c r="K199" s="431" t="n"/>
      <c r="L199" s="316" t="n"/>
      <c r="M199" s="316" t="n"/>
      <c r="N199" s="325" t="n"/>
      <c r="O199" s="325" t="n"/>
      <c r="P199" s="432" t="n"/>
      <c r="Q199" s="325" t="n"/>
      <c r="R199" s="325" t="n"/>
      <c r="S199" s="429" t="n"/>
      <c r="T199" s="232" t="n"/>
      <c r="U199" s="232" t="n"/>
      <c r="V199" s="232" t="n"/>
      <c r="W199" s="232" t="n"/>
      <c r="X199" s="233" t="n"/>
      <c r="Y199" s="232" t="n"/>
      <c r="Z199" s="232" t="n"/>
      <c r="AA199" s="232" t="n"/>
      <c r="AB199" s="330" t="n"/>
      <c r="AC199" s="230" t="n"/>
      <c r="AD199" s="331" t="n"/>
      <c r="AE199" s="441" t="n"/>
      <c r="AF199" s="526" t="n"/>
      <c r="AH199" s="391" t="n"/>
    </row>
    <row r="200" customFormat="1" s="141">
      <c r="A200" s="251" t="n"/>
      <c r="B200" s="429" t="n"/>
      <c r="C200" s="306" t="n"/>
      <c r="D200" s="420" t="n"/>
      <c r="E200" s="273" t="n"/>
      <c r="F200" s="273" t="n"/>
      <c r="G200" s="231" t="n"/>
      <c r="H200" s="429" t="n"/>
      <c r="I200" s="429" t="n"/>
      <c r="J200" s="430" t="n"/>
      <c r="K200" s="431" t="n"/>
      <c r="L200" s="316" t="n"/>
      <c r="M200" s="316" t="n"/>
      <c r="N200" s="325" t="n"/>
      <c r="O200" s="325" t="n"/>
      <c r="P200" s="432" t="n"/>
      <c r="Q200" s="325" t="n"/>
      <c r="R200" s="325" t="n"/>
      <c r="S200" s="429" t="n"/>
      <c r="T200" s="232" t="n"/>
      <c r="U200" s="232" t="n"/>
      <c r="V200" s="232" t="n"/>
      <c r="W200" s="232" t="n"/>
      <c r="X200" s="233" t="n"/>
      <c r="Y200" s="232" t="n"/>
      <c r="Z200" s="232" t="n"/>
      <c r="AA200" s="232" t="n"/>
      <c r="AB200" s="330" t="n"/>
      <c r="AC200" s="230" t="n"/>
      <c r="AD200" s="331" t="n"/>
      <c r="AE200" s="441" t="n"/>
      <c r="AF200" s="526" t="n"/>
      <c r="AH200" s="391" t="n"/>
    </row>
    <row r="201" customFormat="1" s="141">
      <c r="A201" s="251" t="n"/>
      <c r="B201" s="429" t="n"/>
      <c r="C201" s="306" t="n"/>
      <c r="D201" s="420" t="n"/>
      <c r="E201" s="273" t="n"/>
      <c r="F201" s="273" t="n"/>
      <c r="G201" s="231" t="n"/>
      <c r="H201" s="429" t="n"/>
      <c r="I201" s="429" t="n"/>
      <c r="J201" s="430" t="n"/>
      <c r="K201" s="431" t="n"/>
      <c r="L201" s="316" t="n"/>
      <c r="M201" s="316" t="n"/>
      <c r="N201" s="325" t="n"/>
      <c r="O201" s="325" t="n"/>
      <c r="P201" s="432" t="n"/>
      <c r="Q201" s="325" t="n"/>
      <c r="R201" s="325" t="n"/>
      <c r="S201" s="429" t="n"/>
      <c r="T201" s="232" t="n"/>
      <c r="U201" s="232" t="n"/>
      <c r="V201" s="232" t="n"/>
      <c r="W201" s="232" t="n"/>
      <c r="X201" s="233" t="n"/>
      <c r="Y201" s="232" t="n"/>
      <c r="Z201" s="232" t="n"/>
      <c r="AA201" s="232" t="n"/>
      <c r="AB201" s="330" t="n"/>
      <c r="AC201" s="230" t="n"/>
      <c r="AD201" s="331" t="n"/>
      <c r="AE201" s="441" t="n"/>
      <c r="AF201" s="526" t="n"/>
      <c r="AH201" s="391" t="n"/>
    </row>
    <row r="202" customFormat="1" s="141">
      <c r="A202" s="251" t="n"/>
      <c r="B202" s="429" t="n"/>
      <c r="C202" s="306" t="n"/>
      <c r="D202" s="420" t="n"/>
      <c r="E202" s="273" t="n"/>
      <c r="F202" s="273" t="n"/>
      <c r="G202" s="231" t="n"/>
      <c r="H202" s="429" t="n"/>
      <c r="I202" s="429" t="n"/>
      <c r="J202" s="430" t="n"/>
      <c r="K202" s="431" t="n"/>
      <c r="L202" s="316" t="n"/>
      <c r="M202" s="316" t="n"/>
      <c r="N202" s="325" t="n"/>
      <c r="O202" s="325" t="n"/>
      <c r="P202" s="432" t="n"/>
      <c r="Q202" s="325" t="n"/>
      <c r="R202" s="325" t="n"/>
      <c r="S202" s="429" t="n"/>
      <c r="T202" s="232" t="n"/>
      <c r="U202" s="232" t="n"/>
      <c r="V202" s="232" t="n"/>
      <c r="W202" s="232" t="n"/>
      <c r="X202" s="233" t="n"/>
      <c r="Y202" s="232" t="n"/>
      <c r="Z202" s="232" t="n"/>
      <c r="AA202" s="232" t="n"/>
      <c r="AB202" s="330" t="n"/>
      <c r="AC202" s="230" t="n"/>
      <c r="AD202" s="331" t="n"/>
      <c r="AE202" s="441" t="n"/>
      <c r="AF202" s="526" t="n"/>
      <c r="AH202" s="391" t="n"/>
    </row>
    <row r="203" customFormat="1" s="141">
      <c r="A203" s="251" t="n"/>
      <c r="B203" s="429" t="n"/>
      <c r="C203" s="306" t="n"/>
      <c r="D203" s="420" t="n"/>
      <c r="E203" s="273" t="n"/>
      <c r="F203" s="273" t="n"/>
      <c r="G203" s="231" t="n"/>
      <c r="H203" s="429" t="n"/>
      <c r="I203" s="429" t="n"/>
      <c r="J203" s="430" t="n"/>
      <c r="K203" s="431" t="n"/>
      <c r="L203" s="316" t="n"/>
      <c r="M203" s="316" t="n"/>
      <c r="N203" s="325" t="n"/>
      <c r="O203" s="325" t="n"/>
      <c r="P203" s="432" t="n"/>
      <c r="Q203" s="325" t="n"/>
      <c r="R203" s="325" t="n"/>
      <c r="S203" s="429" t="n"/>
      <c r="T203" s="232" t="n"/>
      <c r="U203" s="232" t="n"/>
      <c r="V203" s="232" t="n"/>
      <c r="W203" s="232" t="n"/>
      <c r="X203" s="233" t="n"/>
      <c r="Y203" s="232" t="n"/>
      <c r="Z203" s="232" t="n"/>
      <c r="AA203" s="232" t="n"/>
      <c r="AB203" s="330" t="n"/>
      <c r="AC203" s="230" t="n"/>
      <c r="AD203" s="331" t="n"/>
      <c r="AE203" s="441" t="n"/>
      <c r="AF203" s="526" t="n"/>
      <c r="AH203" s="391" t="n"/>
    </row>
    <row r="204" customFormat="1" s="141">
      <c r="A204" s="251" t="n"/>
      <c r="B204" s="429" t="n"/>
      <c r="C204" s="306" t="n"/>
      <c r="D204" s="420" t="n"/>
      <c r="E204" s="273" t="n"/>
      <c r="F204" s="273" t="n"/>
      <c r="G204" s="231" t="n"/>
      <c r="H204" s="429" t="n"/>
      <c r="I204" s="429" t="n"/>
      <c r="J204" s="430" t="n"/>
      <c r="K204" s="431" t="n"/>
      <c r="L204" s="316" t="n"/>
      <c r="M204" s="316" t="n"/>
      <c r="N204" s="325" t="n"/>
      <c r="O204" s="325" t="n"/>
      <c r="P204" s="432" t="n"/>
      <c r="Q204" s="325" t="n"/>
      <c r="R204" s="325" t="n"/>
      <c r="S204" s="429" t="n"/>
      <c r="T204" s="232" t="n"/>
      <c r="U204" s="232" t="n"/>
      <c r="V204" s="232" t="n"/>
      <c r="W204" s="232" t="n"/>
      <c r="X204" s="233" t="n"/>
      <c r="Y204" s="232" t="n"/>
      <c r="Z204" s="232" t="n"/>
      <c r="AA204" s="232" t="n"/>
      <c r="AB204" s="330" t="n"/>
      <c r="AC204" s="230" t="n"/>
      <c r="AD204" s="331" t="n"/>
      <c r="AE204" s="441" t="n"/>
      <c r="AF204" s="526" t="n"/>
      <c r="AH204" s="391" t="n"/>
    </row>
    <row r="205" customFormat="1" s="141">
      <c r="A205" s="251" t="n"/>
      <c r="B205" s="429" t="n"/>
      <c r="C205" s="306" t="n"/>
      <c r="D205" s="420" t="n"/>
      <c r="E205" s="273" t="n"/>
      <c r="F205" s="273" t="n"/>
      <c r="G205" s="231" t="n"/>
      <c r="H205" s="429" t="n"/>
      <c r="I205" s="429" t="n"/>
      <c r="J205" s="430" t="n"/>
      <c r="K205" s="431" t="n"/>
      <c r="L205" s="316" t="n"/>
      <c r="M205" s="316" t="n"/>
      <c r="N205" s="325" t="n"/>
      <c r="O205" s="325" t="n"/>
      <c r="P205" s="432" t="n"/>
      <c r="Q205" s="325" t="n"/>
      <c r="R205" s="325" t="n"/>
      <c r="S205" s="429" t="n"/>
      <c r="T205" s="232" t="n"/>
      <c r="U205" s="232" t="n"/>
      <c r="V205" s="232" t="n"/>
      <c r="W205" s="232" t="n"/>
      <c r="X205" s="233" t="n"/>
      <c r="Y205" s="232" t="n"/>
      <c r="Z205" s="232" t="n"/>
      <c r="AA205" s="232" t="n"/>
      <c r="AB205" s="330" t="n"/>
      <c r="AC205" s="230" t="n"/>
      <c r="AD205" s="331" t="n"/>
      <c r="AE205" s="441" t="n"/>
      <c r="AF205" s="526" t="n"/>
      <c r="AH205" s="391" t="n"/>
    </row>
    <row r="206" customFormat="1" s="141">
      <c r="A206" s="251" t="n"/>
      <c r="B206" s="429" t="n"/>
      <c r="C206" s="306" t="n"/>
      <c r="D206" s="420" t="n"/>
      <c r="E206" s="273" t="n"/>
      <c r="F206" s="273" t="n"/>
      <c r="G206" s="231" t="n"/>
      <c r="H206" s="429" t="n"/>
      <c r="I206" s="429" t="n"/>
      <c r="J206" s="430" t="n"/>
      <c r="K206" s="431" t="n"/>
      <c r="L206" s="316" t="n"/>
      <c r="M206" s="316" t="n"/>
      <c r="N206" s="325" t="n"/>
      <c r="O206" s="325" t="n"/>
      <c r="P206" s="432" t="n"/>
      <c r="Q206" s="325" t="n"/>
      <c r="R206" s="325" t="n"/>
      <c r="S206" s="429" t="n"/>
      <c r="T206" s="232" t="n"/>
      <c r="U206" s="232" t="n"/>
      <c r="V206" s="232" t="n"/>
      <c r="W206" s="232" t="n"/>
      <c r="X206" s="233" t="n"/>
      <c r="Y206" s="232" t="n"/>
      <c r="Z206" s="232" t="n"/>
      <c r="AA206" s="232" t="n"/>
      <c r="AB206" s="330" t="n"/>
      <c r="AC206" s="230" t="n"/>
      <c r="AD206" s="331" t="n"/>
      <c r="AE206" s="441" t="n"/>
      <c r="AF206" s="526" t="n"/>
      <c r="AH206" s="391" t="n"/>
    </row>
    <row r="207" customFormat="1" s="141">
      <c r="A207" s="251" t="n"/>
      <c r="B207" s="429" t="n"/>
      <c r="C207" s="306" t="n"/>
      <c r="D207" s="420" t="n"/>
      <c r="E207" s="273" t="n"/>
      <c r="F207" s="273" t="n"/>
      <c r="G207" s="231" t="n"/>
      <c r="H207" s="429" t="n"/>
      <c r="I207" s="429" t="n"/>
      <c r="J207" s="430" t="n"/>
      <c r="K207" s="431" t="n"/>
      <c r="L207" s="316" t="n"/>
      <c r="M207" s="316" t="n"/>
      <c r="N207" s="325" t="n"/>
      <c r="O207" s="325" t="n"/>
      <c r="P207" s="432" t="n"/>
      <c r="Q207" s="325" t="n"/>
      <c r="R207" s="325" t="n"/>
      <c r="S207" s="429" t="n"/>
      <c r="T207" s="232" t="n"/>
      <c r="U207" s="232" t="n"/>
      <c r="V207" s="232" t="n"/>
      <c r="W207" s="232" t="n"/>
      <c r="X207" s="233" t="n"/>
      <c r="Y207" s="232" t="n"/>
      <c r="Z207" s="232" t="n"/>
      <c r="AA207" s="232" t="n"/>
      <c r="AB207" s="330" t="n"/>
      <c r="AC207" s="230" t="n"/>
      <c r="AD207" s="331" t="n"/>
      <c r="AE207" s="441" t="n"/>
      <c r="AF207" s="526" t="n"/>
      <c r="AH207" s="391" t="n"/>
    </row>
    <row r="208" customFormat="1" s="141">
      <c r="A208" s="251" t="n"/>
      <c r="B208" s="429" t="n"/>
      <c r="C208" s="306" t="n"/>
      <c r="D208" s="420" t="n"/>
      <c r="E208" s="273" t="n"/>
      <c r="F208" s="273" t="n"/>
      <c r="G208" s="231" t="n"/>
      <c r="H208" s="429" t="n"/>
      <c r="I208" s="429" t="n"/>
      <c r="J208" s="430" t="n"/>
      <c r="K208" s="431" t="n"/>
      <c r="L208" s="316" t="n"/>
      <c r="M208" s="316" t="n"/>
      <c r="N208" s="325" t="n"/>
      <c r="O208" s="325" t="n"/>
      <c r="P208" s="432" t="n"/>
      <c r="Q208" s="325" t="n"/>
      <c r="R208" s="325" t="n"/>
      <c r="S208" s="429" t="n"/>
      <c r="T208" s="232" t="n"/>
      <c r="U208" s="232" t="n"/>
      <c r="V208" s="232" t="n"/>
      <c r="W208" s="232" t="n"/>
      <c r="X208" s="233" t="n"/>
      <c r="Y208" s="232" t="n"/>
      <c r="Z208" s="232" t="n"/>
      <c r="AA208" s="232" t="n"/>
      <c r="AB208" s="330" t="n"/>
      <c r="AC208" s="230" t="n"/>
      <c r="AD208" s="331" t="n"/>
      <c r="AE208" s="441" t="n"/>
      <c r="AF208" s="526" t="n"/>
      <c r="AH208" s="391" t="n"/>
    </row>
    <row r="209" customFormat="1" s="141">
      <c r="A209" s="251" t="n"/>
      <c r="B209" s="429" t="n"/>
      <c r="C209" s="306" t="n"/>
      <c r="D209" s="420" t="n"/>
      <c r="E209" s="273" t="n"/>
      <c r="F209" s="273" t="n"/>
      <c r="G209" s="231" t="n"/>
      <c r="H209" s="429" t="n"/>
      <c r="I209" s="429" t="n"/>
      <c r="J209" s="430" t="n"/>
      <c r="K209" s="431" t="n"/>
      <c r="L209" s="316" t="n"/>
      <c r="M209" s="316" t="n"/>
      <c r="N209" s="325" t="n"/>
      <c r="O209" s="325" t="n"/>
      <c r="P209" s="432" t="n"/>
      <c r="Q209" s="325" t="n"/>
      <c r="R209" s="325" t="n"/>
      <c r="S209" s="429" t="n"/>
      <c r="T209" s="232" t="n"/>
      <c r="U209" s="232" t="n"/>
      <c r="V209" s="232" t="n"/>
      <c r="W209" s="232" t="n"/>
      <c r="X209" s="233" t="n"/>
      <c r="Y209" s="232" t="n"/>
      <c r="Z209" s="232" t="n"/>
      <c r="AA209" s="232" t="n"/>
      <c r="AB209" s="330" t="n"/>
      <c r="AC209" s="230" t="n"/>
      <c r="AD209" s="331" t="n"/>
      <c r="AE209" s="441" t="n"/>
      <c r="AF209" s="526" t="n"/>
      <c r="AH209" s="391" t="n"/>
    </row>
    <row r="210" customFormat="1" s="141">
      <c r="A210" s="251" t="n"/>
      <c r="B210" s="429" t="n"/>
      <c r="C210" s="306" t="n"/>
      <c r="D210" s="420" t="n"/>
      <c r="E210" s="273" t="n"/>
      <c r="F210" s="273" t="n"/>
      <c r="G210" s="231" t="n"/>
      <c r="H210" s="429" t="n"/>
      <c r="I210" s="429" t="n"/>
      <c r="J210" s="430" t="n"/>
      <c r="K210" s="431" t="n"/>
      <c r="L210" s="316" t="n"/>
      <c r="M210" s="316" t="n"/>
      <c r="N210" s="325" t="n"/>
      <c r="O210" s="325" t="n"/>
      <c r="P210" s="432" t="n"/>
      <c r="Q210" s="325" t="n"/>
      <c r="R210" s="325" t="n"/>
      <c r="S210" s="429" t="n"/>
      <c r="T210" s="232" t="n"/>
      <c r="U210" s="232" t="n"/>
      <c r="V210" s="232" t="n"/>
      <c r="W210" s="232" t="n"/>
      <c r="X210" s="233" t="n"/>
      <c r="Y210" s="232" t="n"/>
      <c r="Z210" s="232" t="n"/>
      <c r="AA210" s="232" t="n"/>
      <c r="AB210" s="330" t="n"/>
      <c r="AC210" s="230" t="n"/>
      <c r="AD210" s="331" t="n"/>
      <c r="AE210" s="441" t="n"/>
      <c r="AF210" s="526" t="n"/>
      <c r="AH210" s="391" t="n"/>
    </row>
    <row r="211" customFormat="1" s="141">
      <c r="A211" s="251" t="n"/>
      <c r="B211" s="429" t="n"/>
      <c r="C211" s="306" t="n"/>
      <c r="D211" s="420" t="n"/>
      <c r="E211" s="273" t="n"/>
      <c r="F211" s="273" t="n"/>
      <c r="G211" s="231" t="n"/>
      <c r="H211" s="429" t="n"/>
      <c r="I211" s="429" t="n"/>
      <c r="J211" s="430" t="n"/>
      <c r="K211" s="431" t="n"/>
      <c r="L211" s="316" t="n"/>
      <c r="M211" s="316" t="n"/>
      <c r="N211" s="325" t="n"/>
      <c r="O211" s="325" t="n"/>
      <c r="P211" s="432" t="n"/>
      <c r="Q211" s="325" t="n"/>
      <c r="R211" s="325" t="n"/>
      <c r="S211" s="429" t="n"/>
      <c r="T211" s="232" t="n"/>
      <c r="U211" s="232" t="n"/>
      <c r="V211" s="232" t="n"/>
      <c r="W211" s="232" t="n"/>
      <c r="X211" s="233" t="n"/>
      <c r="Y211" s="232" t="n"/>
      <c r="Z211" s="232" t="n"/>
      <c r="AA211" s="232" t="n"/>
      <c r="AB211" s="330" t="n"/>
      <c r="AC211" s="230" t="n"/>
      <c r="AD211" s="331" t="n"/>
      <c r="AE211" s="441" t="n"/>
      <c r="AF211" s="526" t="n"/>
      <c r="AH211" s="391" t="n"/>
    </row>
    <row r="212" customFormat="1" s="141">
      <c r="A212" s="251" t="n"/>
      <c r="B212" s="429" t="n"/>
      <c r="C212" s="306" t="n"/>
      <c r="D212" s="420" t="n"/>
      <c r="E212" s="273" t="n"/>
      <c r="F212" s="273" t="n"/>
      <c r="G212" s="231" t="n"/>
      <c r="H212" s="429" t="n"/>
      <c r="I212" s="429" t="n"/>
      <c r="J212" s="430" t="n"/>
      <c r="K212" s="431" t="n"/>
      <c r="L212" s="316" t="n"/>
      <c r="M212" s="316" t="n"/>
      <c r="N212" s="325" t="n"/>
      <c r="O212" s="325" t="n"/>
      <c r="P212" s="432" t="n"/>
      <c r="Q212" s="325" t="n"/>
      <c r="R212" s="325" t="n"/>
      <c r="S212" s="429" t="n"/>
      <c r="T212" s="232" t="n"/>
      <c r="U212" s="232" t="n"/>
      <c r="V212" s="232" t="n"/>
      <c r="W212" s="232" t="n"/>
      <c r="X212" s="233" t="n"/>
      <c r="Y212" s="232" t="n"/>
      <c r="Z212" s="232" t="n"/>
      <c r="AA212" s="232" t="n"/>
      <c r="AB212" s="330" t="n"/>
      <c r="AC212" s="230" t="n"/>
      <c r="AD212" s="331" t="n"/>
      <c r="AE212" s="441" t="n"/>
      <c r="AF212" s="526" t="n"/>
      <c r="AH212" s="391" t="n"/>
    </row>
    <row r="213" customFormat="1" s="141">
      <c r="A213" s="251" t="n"/>
      <c r="B213" s="429" t="n"/>
      <c r="C213" s="306" t="n"/>
      <c r="D213" s="420" t="n"/>
      <c r="E213" s="273" t="n"/>
      <c r="F213" s="273" t="n"/>
      <c r="G213" s="231" t="n"/>
      <c r="H213" s="429" t="n"/>
      <c r="I213" s="429" t="n"/>
      <c r="J213" s="430" t="n"/>
      <c r="K213" s="431" t="n"/>
      <c r="L213" s="316" t="n"/>
      <c r="M213" s="316" t="n"/>
      <c r="N213" s="325" t="n"/>
      <c r="O213" s="325" t="n"/>
      <c r="P213" s="432" t="n"/>
      <c r="Q213" s="325" t="n"/>
      <c r="R213" s="325" t="n"/>
      <c r="S213" s="429" t="n"/>
      <c r="T213" s="232" t="n"/>
      <c r="U213" s="232" t="n"/>
      <c r="V213" s="232" t="n"/>
      <c r="W213" s="232" t="n"/>
      <c r="X213" s="233" t="n"/>
      <c r="Y213" s="232" t="n"/>
      <c r="Z213" s="232" t="n"/>
      <c r="AA213" s="232" t="n"/>
      <c r="AB213" s="330" t="n"/>
      <c r="AC213" s="230" t="n"/>
      <c r="AD213" s="331" t="n"/>
      <c r="AE213" s="441" t="n"/>
      <c r="AF213" s="526" t="n"/>
      <c r="AH213" s="391" t="n"/>
    </row>
    <row r="214" customFormat="1" s="141">
      <c r="A214" s="251" t="n"/>
      <c r="B214" s="429" t="n"/>
      <c r="C214" s="306" t="n"/>
      <c r="D214" s="420" t="n"/>
      <c r="E214" s="273" t="n"/>
      <c r="F214" s="273" t="n"/>
      <c r="G214" s="231" t="n"/>
      <c r="H214" s="429" t="n"/>
      <c r="I214" s="429" t="n"/>
      <c r="J214" s="430" t="n"/>
      <c r="K214" s="431" t="n"/>
      <c r="L214" s="316" t="n"/>
      <c r="M214" s="316" t="n"/>
      <c r="N214" s="325" t="n"/>
      <c r="O214" s="325" t="n"/>
      <c r="P214" s="432" t="n"/>
      <c r="Q214" s="325" t="n"/>
      <c r="R214" s="325" t="n"/>
      <c r="S214" s="429" t="n"/>
      <c r="T214" s="232" t="n"/>
      <c r="U214" s="232" t="n"/>
      <c r="V214" s="232" t="n"/>
      <c r="W214" s="232" t="n"/>
      <c r="X214" s="233" t="n"/>
      <c r="Y214" s="232" t="n"/>
      <c r="Z214" s="232" t="n"/>
      <c r="AA214" s="232" t="n"/>
      <c r="AB214" s="330" t="n"/>
      <c r="AC214" s="230" t="n"/>
      <c r="AD214" s="331" t="n"/>
      <c r="AE214" s="441" t="n"/>
      <c r="AF214" s="526" t="n"/>
      <c r="AH214" s="391" t="n"/>
    </row>
    <row r="215" customFormat="1" s="141">
      <c r="A215" s="251" t="n"/>
      <c r="B215" s="429" t="n"/>
      <c r="C215" s="306" t="n"/>
      <c r="D215" s="420" t="n"/>
      <c r="E215" s="273" t="n"/>
      <c r="F215" s="273" t="n"/>
      <c r="G215" s="231" t="n"/>
      <c r="H215" s="429" t="n"/>
      <c r="I215" s="429" t="n"/>
      <c r="J215" s="430" t="n"/>
      <c r="K215" s="431" t="n"/>
      <c r="L215" s="316" t="n"/>
      <c r="M215" s="316" t="n"/>
      <c r="N215" s="325" t="n"/>
      <c r="O215" s="325" t="n"/>
      <c r="P215" s="432" t="n"/>
      <c r="Q215" s="325" t="n"/>
      <c r="R215" s="325" t="n"/>
      <c r="S215" s="429" t="n"/>
      <c r="T215" s="232" t="n"/>
      <c r="U215" s="232" t="n"/>
      <c r="V215" s="232" t="n"/>
      <c r="W215" s="232" t="n"/>
      <c r="X215" s="233" t="n"/>
      <c r="Y215" s="232" t="n"/>
      <c r="Z215" s="232" t="n"/>
      <c r="AA215" s="232" t="n"/>
      <c r="AB215" s="330" t="n"/>
      <c r="AC215" s="230" t="n"/>
      <c r="AD215" s="331" t="n"/>
      <c r="AE215" s="441" t="n"/>
      <c r="AF215" s="526" t="n"/>
      <c r="AH215" s="391" t="n"/>
    </row>
    <row r="216" customFormat="1" s="141">
      <c r="A216" s="251" t="n"/>
      <c r="B216" s="429" t="n"/>
      <c r="C216" s="306" t="n"/>
      <c r="D216" s="420" t="n"/>
      <c r="E216" s="273" t="n"/>
      <c r="F216" s="273" t="n"/>
      <c r="G216" s="231" t="n"/>
      <c r="H216" s="429" t="n"/>
      <c r="I216" s="429" t="n"/>
      <c r="J216" s="430" t="n"/>
      <c r="K216" s="431" t="n"/>
      <c r="L216" s="316" t="n"/>
      <c r="M216" s="316" t="n"/>
      <c r="N216" s="325" t="n"/>
      <c r="O216" s="325" t="n"/>
      <c r="P216" s="432" t="n"/>
      <c r="Q216" s="325" t="n"/>
      <c r="R216" s="325" t="n"/>
      <c r="S216" s="429" t="n"/>
      <c r="T216" s="232" t="n"/>
      <c r="U216" s="232" t="n"/>
      <c r="V216" s="232" t="n"/>
      <c r="W216" s="232" t="n"/>
      <c r="X216" s="233" t="n"/>
      <c r="Y216" s="232" t="n"/>
      <c r="Z216" s="232" t="n"/>
      <c r="AA216" s="232" t="n"/>
      <c r="AB216" s="330" t="n"/>
      <c r="AC216" s="230" t="n"/>
      <c r="AD216" s="331" t="n"/>
      <c r="AE216" s="441" t="n"/>
      <c r="AF216" s="526" t="n"/>
      <c r="AH216" s="391" t="n"/>
    </row>
    <row r="217" customFormat="1" s="141">
      <c r="A217" s="251" t="n"/>
      <c r="B217" s="429" t="n"/>
      <c r="C217" s="306" t="n"/>
      <c r="D217" s="420" t="n"/>
      <c r="E217" s="273" t="n"/>
      <c r="F217" s="273" t="n"/>
      <c r="G217" s="231" t="n"/>
      <c r="H217" s="429" t="n"/>
      <c r="I217" s="429" t="n"/>
      <c r="J217" s="430" t="n"/>
      <c r="K217" s="431" t="n"/>
      <c r="L217" s="316" t="n"/>
      <c r="M217" s="316" t="n"/>
      <c r="N217" s="325" t="n"/>
      <c r="O217" s="325" t="n"/>
      <c r="P217" s="432" t="n"/>
      <c r="Q217" s="325" t="n"/>
      <c r="R217" s="325" t="n"/>
      <c r="S217" s="429" t="n"/>
      <c r="T217" s="232" t="n"/>
      <c r="U217" s="232" t="n"/>
      <c r="V217" s="232" t="n"/>
      <c r="W217" s="232" t="n"/>
      <c r="X217" s="233" t="n"/>
      <c r="Y217" s="232" t="n"/>
      <c r="Z217" s="232" t="n"/>
      <c r="AA217" s="232" t="n"/>
      <c r="AB217" s="330" t="n"/>
      <c r="AC217" s="230" t="n"/>
      <c r="AD217" s="331" t="n"/>
      <c r="AE217" s="441" t="n"/>
      <c r="AF217" s="526" t="n"/>
      <c r="AH217" s="391" t="n"/>
    </row>
    <row r="218" customFormat="1" s="141">
      <c r="A218" s="251" t="n"/>
      <c r="B218" s="429" t="n"/>
      <c r="C218" s="306" t="n"/>
      <c r="D218" s="420" t="n"/>
      <c r="E218" s="273" t="n"/>
      <c r="F218" s="273" t="n"/>
      <c r="G218" s="231" t="n"/>
      <c r="H218" s="429" t="n"/>
      <c r="I218" s="429" t="n"/>
      <c r="J218" s="430" t="n"/>
      <c r="K218" s="431" t="n"/>
      <c r="L218" s="316" t="n"/>
      <c r="M218" s="316" t="n"/>
      <c r="N218" s="325" t="n"/>
      <c r="O218" s="325" t="n"/>
      <c r="P218" s="432" t="n"/>
      <c r="Q218" s="325" t="n"/>
      <c r="R218" s="325" t="n"/>
      <c r="S218" s="429" t="n"/>
      <c r="T218" s="232" t="n"/>
      <c r="U218" s="232" t="n"/>
      <c r="V218" s="232" t="n"/>
      <c r="W218" s="232" t="n"/>
      <c r="X218" s="233" t="n"/>
      <c r="Y218" s="232" t="n"/>
      <c r="Z218" s="232" t="n"/>
      <c r="AA218" s="232" t="n"/>
      <c r="AB218" s="330" t="n"/>
      <c r="AC218" s="230" t="n"/>
      <c r="AD218" s="331" t="n"/>
      <c r="AE218" s="441" t="n"/>
      <c r="AF218" s="526" t="n"/>
      <c r="AH218" s="391" t="n"/>
    </row>
    <row r="219" customFormat="1" s="141">
      <c r="A219" s="251" t="n"/>
      <c r="B219" s="429" t="n"/>
      <c r="C219" s="306" t="n"/>
      <c r="D219" s="420" t="n"/>
      <c r="E219" s="273" t="n"/>
      <c r="F219" s="273" t="n"/>
      <c r="G219" s="231" t="n"/>
      <c r="H219" s="429" t="n"/>
      <c r="I219" s="429" t="n"/>
      <c r="J219" s="430" t="n"/>
      <c r="K219" s="431" t="n"/>
      <c r="L219" s="316" t="n"/>
      <c r="M219" s="316" t="n"/>
      <c r="N219" s="325" t="n"/>
      <c r="O219" s="325" t="n"/>
      <c r="P219" s="432" t="n"/>
      <c r="Q219" s="325" t="n"/>
      <c r="R219" s="325" t="n"/>
      <c r="S219" s="429" t="n"/>
      <c r="T219" s="232" t="n"/>
      <c r="U219" s="232" t="n"/>
      <c r="V219" s="232" t="n"/>
      <c r="W219" s="232" t="n"/>
      <c r="X219" s="233" t="n"/>
      <c r="Y219" s="232" t="n"/>
      <c r="Z219" s="232" t="n"/>
      <c r="AA219" s="232" t="n"/>
      <c r="AB219" s="330" t="n"/>
      <c r="AC219" s="230" t="n"/>
      <c r="AD219" s="331" t="n"/>
      <c r="AE219" s="441" t="n"/>
      <c r="AF219" s="526" t="n"/>
      <c r="AH219" s="391" t="n"/>
    </row>
    <row r="220" customFormat="1" s="141">
      <c r="A220" s="251" t="n"/>
      <c r="B220" s="429" t="n"/>
      <c r="C220" s="306" t="n"/>
      <c r="D220" s="420" t="n"/>
      <c r="E220" s="273" t="n"/>
      <c r="F220" s="273" t="n"/>
      <c r="G220" s="231" t="n"/>
      <c r="H220" s="429" t="n"/>
      <c r="I220" s="429" t="n"/>
      <c r="J220" s="430" t="n"/>
      <c r="K220" s="431" t="n"/>
      <c r="L220" s="316" t="n"/>
      <c r="M220" s="316" t="n"/>
      <c r="N220" s="325" t="n"/>
      <c r="O220" s="325" t="n"/>
      <c r="P220" s="432" t="n"/>
      <c r="Q220" s="325" t="n"/>
      <c r="R220" s="325" t="n"/>
      <c r="S220" s="429" t="n"/>
      <c r="T220" s="232" t="n"/>
      <c r="U220" s="232" t="n"/>
      <c r="V220" s="232" t="n"/>
      <c r="W220" s="232" t="n"/>
      <c r="X220" s="233" t="n"/>
      <c r="Y220" s="232" t="n"/>
      <c r="Z220" s="232" t="n"/>
      <c r="AA220" s="232" t="n"/>
      <c r="AB220" s="330" t="n"/>
      <c r="AC220" s="230" t="n"/>
      <c r="AD220" s="331" t="n"/>
      <c r="AE220" s="441" t="n"/>
      <c r="AF220" s="526" t="n"/>
      <c r="AH220" s="391" t="n"/>
    </row>
    <row r="221" customFormat="1" s="141">
      <c r="A221" s="251" t="n"/>
      <c r="B221" s="429" t="n"/>
      <c r="C221" s="306" t="n"/>
      <c r="D221" s="420" t="n"/>
      <c r="E221" s="273" t="n"/>
      <c r="F221" s="273" t="n"/>
      <c r="G221" s="231" t="n"/>
      <c r="H221" s="429" t="n"/>
      <c r="I221" s="429" t="n"/>
      <c r="J221" s="430" t="n"/>
      <c r="K221" s="431" t="n"/>
      <c r="L221" s="316" t="n"/>
      <c r="M221" s="316" t="n"/>
      <c r="N221" s="325" t="n"/>
      <c r="O221" s="325" t="n"/>
      <c r="P221" s="432" t="n"/>
      <c r="Q221" s="325" t="n"/>
      <c r="R221" s="325" t="n"/>
      <c r="S221" s="429" t="n"/>
      <c r="T221" s="232" t="n"/>
      <c r="U221" s="232" t="n"/>
      <c r="V221" s="232" t="n"/>
      <c r="W221" s="232" t="n"/>
      <c r="X221" s="233" t="n"/>
      <c r="Y221" s="232" t="n"/>
      <c r="Z221" s="232" t="n"/>
      <c r="AA221" s="232" t="n"/>
      <c r="AB221" s="330" t="n"/>
      <c r="AC221" s="230" t="n"/>
      <c r="AD221" s="331" t="n"/>
      <c r="AE221" s="441" t="n"/>
      <c r="AF221" s="526" t="n"/>
      <c r="AH221" s="391" t="n"/>
    </row>
    <row r="222" customFormat="1" s="141">
      <c r="A222" s="251" t="n"/>
      <c r="B222" s="429" t="n"/>
      <c r="C222" s="306" t="n"/>
      <c r="D222" s="420" t="n"/>
      <c r="E222" s="273" t="n"/>
      <c r="F222" s="273" t="n"/>
      <c r="G222" s="231" t="n"/>
      <c r="H222" s="429" t="n"/>
      <c r="I222" s="429" t="n"/>
      <c r="J222" s="430" t="n"/>
      <c r="K222" s="431" t="n"/>
      <c r="L222" s="316" t="n"/>
      <c r="M222" s="316" t="n"/>
      <c r="N222" s="325" t="n"/>
      <c r="O222" s="325" t="n"/>
      <c r="P222" s="432" t="n"/>
      <c r="Q222" s="325" t="n"/>
      <c r="R222" s="325" t="n"/>
      <c r="S222" s="429" t="n"/>
      <c r="T222" s="232" t="n"/>
      <c r="U222" s="232" t="n"/>
      <c r="V222" s="232" t="n"/>
      <c r="W222" s="232" t="n"/>
      <c r="X222" s="233" t="n"/>
      <c r="Y222" s="232" t="n"/>
      <c r="Z222" s="232" t="n"/>
      <c r="AA222" s="232" t="n"/>
      <c r="AB222" s="330" t="n"/>
      <c r="AC222" s="230" t="n"/>
      <c r="AD222" s="331" t="n"/>
      <c r="AE222" s="441" t="n"/>
      <c r="AF222" s="526" t="n"/>
      <c r="AH222" s="391" t="n"/>
    </row>
    <row r="223" customFormat="1" s="141">
      <c r="A223" s="251" t="n"/>
      <c r="B223" s="429" t="n"/>
      <c r="C223" s="306" t="n"/>
      <c r="D223" s="420" t="n"/>
      <c r="E223" s="273" t="n"/>
      <c r="F223" s="273" t="n"/>
      <c r="G223" s="231" t="n"/>
      <c r="H223" s="429" t="n"/>
      <c r="I223" s="429" t="n"/>
      <c r="J223" s="430" t="n"/>
      <c r="K223" s="431" t="n"/>
      <c r="L223" s="316" t="n"/>
      <c r="M223" s="316" t="n"/>
      <c r="N223" s="325" t="n"/>
      <c r="O223" s="325" t="n"/>
      <c r="P223" s="432" t="n"/>
      <c r="Q223" s="325" t="n"/>
      <c r="R223" s="325" t="n"/>
      <c r="S223" s="429" t="n"/>
      <c r="T223" s="232" t="n"/>
      <c r="U223" s="232" t="n"/>
      <c r="V223" s="232" t="n"/>
      <c r="W223" s="232" t="n"/>
      <c r="X223" s="233" t="n"/>
      <c r="Y223" s="232" t="n"/>
      <c r="Z223" s="232" t="n"/>
      <c r="AA223" s="232" t="n"/>
      <c r="AB223" s="330" t="n"/>
      <c r="AC223" s="230" t="n"/>
      <c r="AD223" s="331" t="n"/>
      <c r="AE223" s="441" t="n"/>
      <c r="AF223" s="526" t="n"/>
      <c r="AH223" s="391" t="n"/>
    </row>
    <row r="224" customFormat="1" s="141">
      <c r="A224" s="251" t="n"/>
      <c r="B224" s="429" t="n"/>
      <c r="C224" s="306" t="n"/>
      <c r="D224" s="420" t="n"/>
      <c r="E224" s="273" t="n"/>
      <c r="F224" s="273" t="n"/>
      <c r="G224" s="231" t="n"/>
      <c r="H224" s="429" t="n"/>
      <c r="I224" s="429" t="n"/>
      <c r="J224" s="430" t="n"/>
      <c r="K224" s="431" t="n"/>
      <c r="L224" s="316" t="n"/>
      <c r="M224" s="316" t="n"/>
      <c r="N224" s="325" t="n"/>
      <c r="O224" s="325" t="n"/>
      <c r="P224" s="432" t="n"/>
      <c r="Q224" s="325" t="n"/>
      <c r="R224" s="325" t="n"/>
      <c r="S224" s="429" t="n"/>
      <c r="T224" s="232" t="n"/>
      <c r="U224" s="232" t="n"/>
      <c r="V224" s="232" t="n"/>
      <c r="W224" s="232" t="n"/>
      <c r="X224" s="233" t="n"/>
      <c r="Y224" s="232" t="n"/>
      <c r="Z224" s="232" t="n"/>
      <c r="AA224" s="232" t="n"/>
      <c r="AB224" s="330" t="n"/>
      <c r="AC224" s="230" t="n"/>
      <c r="AD224" s="331" t="n"/>
      <c r="AE224" s="441" t="n"/>
      <c r="AF224" s="526" t="n"/>
      <c r="AH224" s="391" t="n"/>
    </row>
    <row r="225" customFormat="1" s="141">
      <c r="A225" s="251" t="n"/>
      <c r="B225" s="429" t="n"/>
      <c r="C225" s="306" t="n"/>
      <c r="D225" s="420" t="n"/>
      <c r="E225" s="273" t="n"/>
      <c r="F225" s="273" t="n"/>
      <c r="G225" s="231" t="n"/>
      <c r="H225" s="429" t="n"/>
      <c r="I225" s="429" t="n"/>
      <c r="J225" s="430" t="n"/>
      <c r="K225" s="431" t="n"/>
      <c r="L225" s="316" t="n"/>
      <c r="M225" s="316" t="n"/>
      <c r="N225" s="325" t="n"/>
      <c r="O225" s="325" t="n"/>
      <c r="P225" s="432" t="n"/>
      <c r="Q225" s="325" t="n"/>
      <c r="R225" s="325" t="n"/>
      <c r="S225" s="429" t="n"/>
      <c r="T225" s="232" t="n"/>
      <c r="U225" s="232" t="n"/>
      <c r="V225" s="232" t="n"/>
      <c r="W225" s="232" t="n"/>
      <c r="X225" s="233" t="n"/>
      <c r="Y225" s="232" t="n"/>
      <c r="Z225" s="232" t="n"/>
      <c r="AA225" s="232" t="n"/>
      <c r="AB225" s="330" t="n"/>
      <c r="AC225" s="230" t="n"/>
      <c r="AD225" s="331" t="n"/>
      <c r="AE225" s="441" t="n"/>
      <c r="AF225" s="526" t="n"/>
      <c r="AH225" s="391" t="n"/>
    </row>
    <row r="226" customFormat="1" s="141">
      <c r="A226" s="251" t="n"/>
      <c r="B226" s="429" t="n"/>
      <c r="C226" s="306" t="n"/>
      <c r="D226" s="420" t="n"/>
      <c r="E226" s="273" t="n"/>
      <c r="F226" s="273" t="n"/>
      <c r="G226" s="231" t="n"/>
      <c r="H226" s="429" t="n"/>
      <c r="I226" s="429" t="n"/>
      <c r="J226" s="430" t="n"/>
      <c r="K226" s="431" t="n"/>
      <c r="L226" s="316" t="n"/>
      <c r="M226" s="316" t="n"/>
      <c r="N226" s="325" t="n"/>
      <c r="O226" s="325" t="n"/>
      <c r="P226" s="432" t="n"/>
      <c r="Q226" s="325" t="n"/>
      <c r="R226" s="325" t="n"/>
      <c r="S226" s="429" t="n"/>
      <c r="T226" s="232" t="n"/>
      <c r="U226" s="232" t="n"/>
      <c r="V226" s="232" t="n"/>
      <c r="W226" s="232" t="n"/>
      <c r="X226" s="233" t="n"/>
      <c r="Y226" s="232" t="n"/>
      <c r="Z226" s="232" t="n"/>
      <c r="AA226" s="232" t="n"/>
      <c r="AB226" s="330" t="n"/>
      <c r="AC226" s="230" t="n"/>
      <c r="AD226" s="331" t="n"/>
      <c r="AE226" s="441" t="n"/>
      <c r="AF226" s="526" t="n"/>
      <c r="AH226" s="391" t="n"/>
    </row>
    <row r="227" customFormat="1" s="141">
      <c r="A227" s="251" t="n"/>
      <c r="B227" s="429" t="n"/>
      <c r="C227" s="306" t="n"/>
      <c r="D227" s="420" t="n"/>
      <c r="E227" s="273" t="n"/>
      <c r="F227" s="273" t="n"/>
      <c r="G227" s="231" t="n"/>
      <c r="H227" s="429" t="n"/>
      <c r="I227" s="429" t="n"/>
      <c r="J227" s="430" t="n"/>
      <c r="K227" s="431" t="n"/>
      <c r="L227" s="316" t="n"/>
      <c r="M227" s="316" t="n"/>
      <c r="N227" s="325" t="n"/>
      <c r="O227" s="325" t="n"/>
      <c r="P227" s="432" t="n"/>
      <c r="Q227" s="325" t="n"/>
      <c r="R227" s="325" t="n"/>
      <c r="S227" s="429" t="n"/>
      <c r="T227" s="232" t="n"/>
      <c r="U227" s="232" t="n"/>
      <c r="V227" s="232" t="n"/>
      <c r="W227" s="232" t="n"/>
      <c r="X227" s="233" t="n"/>
      <c r="Y227" s="232" t="n"/>
      <c r="Z227" s="232" t="n"/>
      <c r="AA227" s="232" t="n"/>
      <c r="AB227" s="330" t="n"/>
      <c r="AC227" s="230" t="n"/>
      <c r="AD227" s="331" t="n"/>
      <c r="AE227" s="441" t="n"/>
      <c r="AF227" s="526" t="n"/>
      <c r="AH227" s="391" t="n"/>
    </row>
    <row r="228" customFormat="1" s="141">
      <c r="A228" s="251" t="n"/>
      <c r="B228" s="429" t="n"/>
      <c r="C228" s="306" t="n"/>
      <c r="D228" s="420" t="n"/>
      <c r="E228" s="273" t="n"/>
      <c r="F228" s="273" t="n"/>
      <c r="G228" s="231" t="n"/>
      <c r="H228" s="429" t="n"/>
      <c r="I228" s="429" t="n"/>
      <c r="J228" s="430" t="n"/>
      <c r="K228" s="431" t="n"/>
      <c r="L228" s="316" t="n"/>
      <c r="M228" s="316" t="n"/>
      <c r="N228" s="325" t="n"/>
      <c r="O228" s="325" t="n"/>
      <c r="P228" s="432" t="n"/>
      <c r="Q228" s="325" t="n"/>
      <c r="R228" s="325" t="n"/>
      <c r="S228" s="429" t="n"/>
      <c r="T228" s="232" t="n"/>
      <c r="U228" s="232" t="n"/>
      <c r="V228" s="232" t="n"/>
      <c r="W228" s="232" t="n"/>
      <c r="X228" s="233" t="n"/>
      <c r="Y228" s="232" t="n"/>
      <c r="Z228" s="232" t="n"/>
      <c r="AA228" s="232" t="n"/>
      <c r="AB228" s="330" t="n"/>
      <c r="AC228" s="230" t="n"/>
      <c r="AD228" s="331" t="n"/>
      <c r="AE228" s="441" t="n"/>
      <c r="AF228" s="526" t="n"/>
      <c r="AH228" s="391" t="n"/>
    </row>
    <row r="229" customFormat="1" s="141">
      <c r="A229" s="251" t="n"/>
      <c r="B229" s="429" t="n"/>
      <c r="C229" s="306" t="n"/>
      <c r="D229" s="420" t="n"/>
      <c r="E229" s="273" t="n"/>
      <c r="F229" s="273" t="n"/>
      <c r="G229" s="231" t="n"/>
      <c r="H229" s="429" t="n"/>
      <c r="I229" s="429" t="n"/>
      <c r="J229" s="430" t="n"/>
      <c r="K229" s="431" t="n"/>
      <c r="L229" s="316" t="n"/>
      <c r="M229" s="316" t="n"/>
      <c r="N229" s="325" t="n"/>
      <c r="O229" s="325" t="n"/>
      <c r="P229" s="432" t="n"/>
      <c r="Q229" s="325" t="n"/>
      <c r="R229" s="325" t="n"/>
      <c r="S229" s="429" t="n"/>
      <c r="T229" s="232" t="n"/>
      <c r="U229" s="232" t="n"/>
      <c r="V229" s="232" t="n"/>
      <c r="W229" s="232" t="n"/>
      <c r="X229" s="233" t="n"/>
      <c r="Y229" s="232" t="n"/>
      <c r="Z229" s="232" t="n"/>
      <c r="AA229" s="232" t="n"/>
      <c r="AB229" s="330" t="n"/>
      <c r="AC229" s="230" t="n"/>
      <c r="AD229" s="331" t="n"/>
      <c r="AE229" s="441" t="n"/>
      <c r="AF229" s="526" t="n"/>
      <c r="AH229" s="391" t="n"/>
    </row>
    <row r="230" customFormat="1" s="141">
      <c r="A230" s="251" t="n"/>
      <c r="B230" s="429" t="n"/>
      <c r="C230" s="306" t="n"/>
      <c r="D230" s="420" t="n"/>
      <c r="E230" s="273" t="n"/>
      <c r="F230" s="273" t="n"/>
      <c r="G230" s="231" t="n"/>
      <c r="H230" s="429" t="n"/>
      <c r="I230" s="429" t="n"/>
      <c r="J230" s="430" t="n"/>
      <c r="K230" s="431" t="n"/>
      <c r="L230" s="316" t="n"/>
      <c r="M230" s="316" t="n"/>
      <c r="N230" s="325" t="n"/>
      <c r="O230" s="325" t="n"/>
      <c r="P230" s="432" t="n"/>
      <c r="Q230" s="325" t="n"/>
      <c r="R230" s="325" t="n"/>
      <c r="S230" s="429" t="n"/>
      <c r="T230" s="232" t="n"/>
      <c r="U230" s="232" t="n"/>
      <c r="V230" s="232" t="n"/>
      <c r="W230" s="232" t="n"/>
      <c r="X230" s="233" t="n"/>
      <c r="Y230" s="232" t="n"/>
      <c r="Z230" s="232" t="n"/>
      <c r="AA230" s="232" t="n"/>
      <c r="AB230" s="330" t="n"/>
      <c r="AC230" s="230" t="n"/>
      <c r="AD230" s="331" t="n"/>
      <c r="AE230" s="441" t="n"/>
      <c r="AF230" s="526" t="n"/>
      <c r="AH230" s="391" t="n"/>
    </row>
    <row r="231" customFormat="1" s="141">
      <c r="A231" s="251" t="n"/>
      <c r="B231" s="429" t="n"/>
      <c r="C231" s="306" t="n"/>
      <c r="D231" s="420" t="n"/>
      <c r="E231" s="273" t="n"/>
      <c r="F231" s="273" t="n"/>
      <c r="G231" s="231" t="n"/>
      <c r="H231" s="429" t="n"/>
      <c r="I231" s="429" t="n"/>
      <c r="J231" s="430" t="n"/>
      <c r="K231" s="431" t="n"/>
      <c r="L231" s="316" t="n"/>
      <c r="M231" s="316" t="n"/>
      <c r="N231" s="325" t="n"/>
      <c r="O231" s="325" t="n"/>
      <c r="P231" s="432" t="n"/>
      <c r="Q231" s="325" t="n"/>
      <c r="R231" s="325" t="n"/>
      <c r="S231" s="429" t="n"/>
      <c r="T231" s="232" t="n"/>
      <c r="U231" s="232" t="n"/>
      <c r="V231" s="232" t="n"/>
      <c r="W231" s="232" t="n"/>
      <c r="X231" s="233" t="n"/>
      <c r="Y231" s="232" t="n"/>
      <c r="Z231" s="232" t="n"/>
      <c r="AA231" s="232" t="n"/>
      <c r="AB231" s="330" t="n"/>
      <c r="AC231" s="230" t="n"/>
      <c r="AD231" s="331" t="n"/>
      <c r="AE231" s="441" t="n"/>
      <c r="AF231" s="526" t="n"/>
      <c r="AH231" s="391" t="n"/>
    </row>
    <row r="232" customFormat="1" s="141">
      <c r="A232" s="251" t="n"/>
      <c r="B232" s="429" t="n"/>
      <c r="C232" s="306" t="n"/>
      <c r="D232" s="420" t="n"/>
      <c r="E232" s="273" t="n"/>
      <c r="F232" s="273" t="n"/>
      <c r="G232" s="231" t="n"/>
      <c r="H232" s="429" t="n"/>
      <c r="I232" s="429" t="n"/>
      <c r="J232" s="430" t="n"/>
      <c r="K232" s="431" t="n"/>
      <c r="L232" s="316" t="n"/>
      <c r="M232" s="316" t="n"/>
      <c r="N232" s="325" t="n"/>
      <c r="O232" s="325" t="n"/>
      <c r="P232" s="432" t="n"/>
      <c r="Q232" s="325" t="n"/>
      <c r="R232" s="325" t="n"/>
      <c r="S232" s="429" t="n"/>
      <c r="T232" s="232" t="n"/>
      <c r="U232" s="232" t="n"/>
      <c r="V232" s="232" t="n"/>
      <c r="W232" s="232" t="n"/>
      <c r="X232" s="233" t="n"/>
      <c r="Y232" s="232" t="n"/>
      <c r="Z232" s="232" t="n"/>
      <c r="AA232" s="232" t="n"/>
      <c r="AB232" s="330" t="n"/>
      <c r="AC232" s="230" t="n"/>
      <c r="AD232" s="331" t="n"/>
      <c r="AE232" s="441" t="n"/>
      <c r="AF232" s="526" t="n"/>
      <c r="AH232" s="391" t="n"/>
    </row>
    <row r="233" customFormat="1" s="141">
      <c r="A233" s="251" t="n"/>
      <c r="B233" s="429" t="n"/>
      <c r="C233" s="306" t="n"/>
      <c r="D233" s="420" t="n"/>
      <c r="E233" s="273" t="n"/>
      <c r="F233" s="273" t="n"/>
      <c r="G233" s="231" t="n"/>
      <c r="H233" s="429" t="n"/>
      <c r="I233" s="429" t="n"/>
      <c r="J233" s="430" t="n"/>
      <c r="K233" s="431" t="n"/>
      <c r="L233" s="316" t="n"/>
      <c r="M233" s="316" t="n"/>
      <c r="N233" s="325" t="n"/>
      <c r="O233" s="325" t="n"/>
      <c r="P233" s="432" t="n"/>
      <c r="Q233" s="325" t="n"/>
      <c r="R233" s="325" t="n"/>
      <c r="S233" s="429" t="n"/>
      <c r="T233" s="232" t="n"/>
      <c r="U233" s="232" t="n"/>
      <c r="V233" s="232" t="n"/>
      <c r="W233" s="232" t="n"/>
      <c r="X233" s="233" t="n"/>
      <c r="Y233" s="232" t="n"/>
      <c r="Z233" s="232" t="n"/>
      <c r="AA233" s="232" t="n"/>
      <c r="AB233" s="330" t="n"/>
      <c r="AC233" s="230" t="n"/>
      <c r="AD233" s="331" t="n"/>
      <c r="AE233" s="441" t="n"/>
      <c r="AF233" s="526" t="n"/>
      <c r="AH233" s="391" t="n"/>
    </row>
    <row r="234" customFormat="1" s="141">
      <c r="A234" s="251" t="n"/>
      <c r="B234" s="429" t="n"/>
      <c r="C234" s="306" t="n"/>
      <c r="D234" s="420" t="n"/>
      <c r="E234" s="273" t="n"/>
      <c r="F234" s="273" t="n"/>
      <c r="G234" s="231" t="n"/>
      <c r="H234" s="429" t="n"/>
      <c r="I234" s="429" t="n"/>
      <c r="J234" s="430" t="n"/>
      <c r="K234" s="431" t="n"/>
      <c r="L234" s="316" t="n"/>
      <c r="M234" s="316" t="n"/>
      <c r="N234" s="325" t="n"/>
      <c r="O234" s="325" t="n"/>
      <c r="P234" s="432" t="n"/>
      <c r="Q234" s="325" t="n"/>
      <c r="R234" s="325" t="n"/>
      <c r="S234" s="429" t="n"/>
      <c r="T234" s="232" t="n"/>
      <c r="U234" s="232" t="n"/>
      <c r="V234" s="232" t="n"/>
      <c r="W234" s="232" t="n"/>
      <c r="X234" s="233" t="n"/>
      <c r="Y234" s="232" t="n"/>
      <c r="Z234" s="232" t="n"/>
      <c r="AA234" s="232" t="n"/>
      <c r="AB234" s="330" t="n"/>
      <c r="AC234" s="230" t="n"/>
      <c r="AD234" s="331" t="n"/>
      <c r="AE234" s="441" t="n"/>
      <c r="AF234" s="526" t="n"/>
      <c r="AH234" s="391" t="n"/>
    </row>
    <row r="235" customFormat="1" s="141">
      <c r="A235" s="251" t="n"/>
      <c r="B235" s="429" t="n"/>
      <c r="C235" s="306" t="n"/>
      <c r="D235" s="420" t="n"/>
      <c r="E235" s="273" t="n"/>
      <c r="F235" s="273" t="n"/>
      <c r="G235" s="231" t="n"/>
      <c r="H235" s="429" t="n"/>
      <c r="I235" s="429" t="n"/>
      <c r="J235" s="430" t="n"/>
      <c r="K235" s="431" t="n"/>
      <c r="L235" s="316" t="n"/>
      <c r="M235" s="316" t="n"/>
      <c r="N235" s="325" t="n"/>
      <c r="O235" s="325" t="n"/>
      <c r="P235" s="432" t="n"/>
      <c r="Q235" s="325" t="n"/>
      <c r="R235" s="325" t="n"/>
      <c r="S235" s="429" t="n"/>
      <c r="T235" s="232" t="n"/>
      <c r="U235" s="232" t="n"/>
      <c r="V235" s="232" t="n"/>
      <c r="W235" s="232" t="n"/>
      <c r="X235" s="233" t="n"/>
      <c r="Y235" s="232" t="n"/>
      <c r="Z235" s="232" t="n"/>
      <c r="AA235" s="232" t="n"/>
      <c r="AB235" s="330" t="n"/>
      <c r="AC235" s="230" t="n"/>
      <c r="AD235" s="331" t="n"/>
      <c r="AE235" s="441" t="n"/>
      <c r="AF235" s="526" t="n"/>
      <c r="AH235" s="391" t="n"/>
    </row>
    <row r="236" customFormat="1" s="141">
      <c r="A236" s="251" t="n"/>
      <c r="B236" s="429" t="n"/>
      <c r="C236" s="306" t="n"/>
      <c r="D236" s="420" t="n"/>
      <c r="E236" s="273" t="n"/>
      <c r="F236" s="273" t="n"/>
      <c r="G236" s="231" t="n"/>
      <c r="H236" s="429" t="n"/>
      <c r="I236" s="429" t="n"/>
      <c r="J236" s="430" t="n"/>
      <c r="K236" s="431" t="n"/>
      <c r="L236" s="316" t="n"/>
      <c r="M236" s="316" t="n"/>
      <c r="N236" s="325" t="n"/>
      <c r="O236" s="325" t="n"/>
      <c r="P236" s="432" t="n"/>
      <c r="Q236" s="325" t="n"/>
      <c r="R236" s="325" t="n"/>
      <c r="S236" s="429" t="n"/>
      <c r="T236" s="232" t="n"/>
      <c r="U236" s="232" t="n"/>
      <c r="V236" s="232" t="n"/>
      <c r="W236" s="232" t="n"/>
      <c r="X236" s="233" t="n"/>
      <c r="Y236" s="232" t="n"/>
      <c r="Z236" s="232" t="n"/>
      <c r="AA236" s="232" t="n"/>
      <c r="AB236" s="330" t="n"/>
      <c r="AC236" s="230" t="n"/>
      <c r="AD236" s="331" t="n"/>
      <c r="AE236" s="441" t="n"/>
      <c r="AF236" s="526" t="n"/>
      <c r="AH236" s="391" t="n"/>
    </row>
    <row r="237" customFormat="1" s="141">
      <c r="A237" s="251" t="n"/>
      <c r="B237" s="429" t="n"/>
      <c r="C237" s="306" t="n"/>
      <c r="D237" s="420" t="n"/>
      <c r="E237" s="273" t="n"/>
      <c r="F237" s="273" t="n"/>
      <c r="G237" s="231" t="n"/>
      <c r="H237" s="429" t="n"/>
      <c r="I237" s="429" t="n"/>
      <c r="J237" s="430" t="n"/>
      <c r="K237" s="431" t="n"/>
      <c r="L237" s="316" t="n"/>
      <c r="M237" s="316" t="n"/>
      <c r="N237" s="325" t="n"/>
      <c r="O237" s="325" t="n"/>
      <c r="P237" s="432" t="n"/>
      <c r="Q237" s="325" t="n"/>
      <c r="R237" s="325" t="n"/>
      <c r="S237" s="429" t="n"/>
      <c r="T237" s="232" t="n"/>
      <c r="U237" s="232" t="n"/>
      <c r="V237" s="232" t="n"/>
      <c r="W237" s="232" t="n"/>
      <c r="X237" s="233" t="n"/>
      <c r="Y237" s="232" t="n"/>
      <c r="Z237" s="232" t="n"/>
      <c r="AA237" s="232" t="n"/>
      <c r="AB237" s="330" t="n"/>
      <c r="AC237" s="230" t="n"/>
      <c r="AD237" s="331" t="n"/>
      <c r="AE237" s="441" t="n"/>
      <c r="AF237" s="526" t="n"/>
      <c r="AH237" s="391" t="n"/>
    </row>
    <row r="238" customFormat="1" s="141">
      <c r="A238" s="251" t="n"/>
      <c r="B238" s="429" t="n"/>
      <c r="C238" s="306" t="n"/>
      <c r="D238" s="420" t="n"/>
      <c r="E238" s="273" t="n"/>
      <c r="F238" s="273" t="n"/>
      <c r="G238" s="231" t="n"/>
      <c r="H238" s="429" t="n"/>
      <c r="I238" s="429" t="n"/>
      <c r="J238" s="430" t="n"/>
      <c r="K238" s="431" t="n"/>
      <c r="L238" s="316" t="n"/>
      <c r="M238" s="316" t="n"/>
      <c r="N238" s="325" t="n"/>
      <c r="O238" s="325" t="n"/>
      <c r="P238" s="432" t="n"/>
      <c r="Q238" s="325" t="n"/>
      <c r="R238" s="325" t="n"/>
      <c r="S238" s="429" t="n"/>
      <c r="T238" s="232" t="n"/>
      <c r="U238" s="232" t="n"/>
      <c r="V238" s="232" t="n"/>
      <c r="W238" s="232" t="n"/>
      <c r="X238" s="233" t="n"/>
      <c r="Y238" s="232" t="n"/>
      <c r="Z238" s="232" t="n"/>
      <c r="AA238" s="232" t="n"/>
      <c r="AB238" s="330" t="n"/>
      <c r="AC238" s="230" t="n"/>
      <c r="AD238" s="331" t="n"/>
      <c r="AE238" s="441" t="n"/>
      <c r="AF238" s="526" t="n"/>
      <c r="AH238" s="391" t="n"/>
    </row>
    <row r="239" customFormat="1" s="141">
      <c r="A239" s="251" t="n"/>
      <c r="B239" s="429" t="n"/>
      <c r="C239" s="306" t="n"/>
      <c r="D239" s="420" t="n"/>
      <c r="E239" s="273" t="n"/>
      <c r="F239" s="273" t="n"/>
      <c r="G239" s="231" t="n"/>
      <c r="H239" s="429" t="n"/>
      <c r="I239" s="429" t="n"/>
      <c r="J239" s="430" t="n"/>
      <c r="K239" s="431" t="n"/>
      <c r="L239" s="316" t="n"/>
      <c r="M239" s="316" t="n"/>
      <c r="N239" s="325" t="n"/>
      <c r="O239" s="325" t="n"/>
      <c r="P239" s="432" t="n"/>
      <c r="Q239" s="325" t="n"/>
      <c r="R239" s="325" t="n"/>
      <c r="S239" s="429" t="n"/>
      <c r="T239" s="232" t="n"/>
      <c r="U239" s="232" t="n"/>
      <c r="V239" s="232" t="n"/>
      <c r="W239" s="232" t="n"/>
      <c r="X239" s="233" t="n"/>
      <c r="Y239" s="232" t="n"/>
      <c r="Z239" s="232" t="n"/>
      <c r="AA239" s="232" t="n"/>
      <c r="AB239" s="330" t="n"/>
      <c r="AC239" s="230" t="n"/>
      <c r="AD239" s="331" t="n"/>
      <c r="AE239" s="441" t="n"/>
      <c r="AF239" s="526" t="n"/>
      <c r="AH239" s="391" t="n"/>
    </row>
    <row r="240" customFormat="1" s="141">
      <c r="A240" s="251" t="n"/>
      <c r="B240" s="429" t="n"/>
      <c r="C240" s="306" t="n"/>
      <c r="D240" s="420" t="n"/>
      <c r="E240" s="273" t="n"/>
      <c r="F240" s="273" t="n"/>
      <c r="G240" s="231" t="n"/>
      <c r="H240" s="429" t="n"/>
      <c r="I240" s="429" t="n"/>
      <c r="J240" s="430" t="n"/>
      <c r="K240" s="431" t="n"/>
      <c r="L240" s="316" t="n"/>
      <c r="M240" s="316" t="n"/>
      <c r="N240" s="325" t="n"/>
      <c r="O240" s="325" t="n"/>
      <c r="P240" s="432" t="n"/>
      <c r="Q240" s="325" t="n"/>
      <c r="R240" s="325" t="n"/>
      <c r="S240" s="429" t="n"/>
      <c r="T240" s="232" t="n"/>
      <c r="U240" s="232" t="n"/>
      <c r="V240" s="232" t="n"/>
      <c r="W240" s="232" t="n"/>
      <c r="X240" s="233" t="n"/>
      <c r="Y240" s="232" t="n"/>
      <c r="Z240" s="232" t="n"/>
      <c r="AA240" s="232" t="n"/>
      <c r="AB240" s="330" t="n"/>
      <c r="AC240" s="230" t="n"/>
      <c r="AD240" s="331" t="n"/>
      <c r="AE240" s="441" t="n"/>
      <c r="AF240" s="526" t="n"/>
      <c r="AH240" s="391" t="n"/>
    </row>
    <row r="241" customFormat="1" s="141">
      <c r="A241" s="251" t="n"/>
      <c r="B241" s="429" t="n"/>
      <c r="C241" s="306" t="n"/>
      <c r="D241" s="420" t="n"/>
      <c r="E241" s="273" t="n"/>
      <c r="F241" s="273" t="n"/>
      <c r="G241" s="231" t="n"/>
      <c r="H241" s="429" t="n"/>
      <c r="I241" s="429" t="n"/>
      <c r="J241" s="430" t="n"/>
      <c r="K241" s="431" t="n"/>
      <c r="L241" s="316" t="n"/>
      <c r="M241" s="316" t="n"/>
      <c r="N241" s="325" t="n"/>
      <c r="O241" s="325" t="n"/>
      <c r="P241" s="432" t="n"/>
      <c r="Q241" s="325" t="n"/>
      <c r="R241" s="325" t="n"/>
      <c r="S241" s="429" t="n"/>
      <c r="T241" s="232" t="n"/>
      <c r="U241" s="232" t="n"/>
      <c r="V241" s="232" t="n"/>
      <c r="W241" s="232" t="n"/>
      <c r="X241" s="233" t="n"/>
      <c r="Y241" s="232" t="n"/>
      <c r="Z241" s="232" t="n"/>
      <c r="AA241" s="232" t="n"/>
      <c r="AB241" s="330" t="n"/>
      <c r="AC241" s="230" t="n"/>
      <c r="AD241" s="331" t="n"/>
      <c r="AE241" s="441" t="n"/>
      <c r="AF241" s="526" t="n"/>
      <c r="AH241" s="391" t="n"/>
    </row>
    <row r="242" customFormat="1" s="141">
      <c r="A242" s="251" t="n"/>
      <c r="B242" s="429" t="n"/>
      <c r="C242" s="306" t="n"/>
      <c r="D242" s="420" t="n"/>
      <c r="E242" s="273" t="n"/>
      <c r="F242" s="273" t="n"/>
      <c r="G242" s="231" t="n"/>
      <c r="H242" s="429" t="n"/>
      <c r="I242" s="429" t="n"/>
      <c r="J242" s="430" t="n"/>
      <c r="K242" s="431" t="n"/>
      <c r="L242" s="316" t="n"/>
      <c r="M242" s="316" t="n"/>
      <c r="N242" s="325" t="n"/>
      <c r="O242" s="325" t="n"/>
      <c r="P242" s="432" t="n"/>
      <c r="Q242" s="325" t="n"/>
      <c r="R242" s="325" t="n"/>
      <c r="S242" s="429" t="n"/>
      <c r="T242" s="232" t="n"/>
      <c r="U242" s="232" t="n"/>
      <c r="V242" s="232" t="n"/>
      <c r="W242" s="232" t="n"/>
      <c r="X242" s="233" t="n"/>
      <c r="Y242" s="232" t="n"/>
      <c r="Z242" s="232" t="n"/>
      <c r="AA242" s="232" t="n"/>
      <c r="AB242" s="330" t="n"/>
      <c r="AC242" s="230" t="n"/>
      <c r="AD242" s="331" t="n"/>
      <c r="AE242" s="441" t="n"/>
      <c r="AF242" s="526" t="n"/>
      <c r="AH242" s="391" t="n"/>
    </row>
    <row r="243" customFormat="1" s="141">
      <c r="A243" s="251" t="n"/>
      <c r="B243" s="429" t="n"/>
      <c r="C243" s="306" t="n"/>
      <c r="D243" s="420" t="n"/>
      <c r="E243" s="273" t="n"/>
      <c r="F243" s="273" t="n"/>
      <c r="G243" s="231" t="n"/>
      <c r="H243" s="429" t="n"/>
      <c r="I243" s="429" t="n"/>
      <c r="J243" s="430" t="n"/>
      <c r="K243" s="431" t="n"/>
      <c r="L243" s="316" t="n"/>
      <c r="M243" s="316" t="n"/>
      <c r="N243" s="325" t="n"/>
      <c r="O243" s="325" t="n"/>
      <c r="P243" s="432" t="n"/>
      <c r="Q243" s="325" t="n"/>
      <c r="R243" s="325" t="n"/>
      <c r="S243" s="429" t="n"/>
      <c r="T243" s="232" t="n"/>
      <c r="U243" s="232" t="n"/>
      <c r="V243" s="232" t="n"/>
      <c r="W243" s="232" t="n"/>
      <c r="X243" s="233" t="n"/>
      <c r="Y243" s="232" t="n"/>
      <c r="Z243" s="232" t="n"/>
      <c r="AA243" s="232" t="n"/>
      <c r="AB243" s="330" t="n"/>
      <c r="AC243" s="230" t="n"/>
      <c r="AD243" s="331" t="n"/>
      <c r="AE243" s="441" t="n"/>
      <c r="AF243" s="526" t="n"/>
      <c r="AH243" s="391" t="n"/>
    </row>
    <row r="244" customFormat="1" s="141">
      <c r="A244" s="251" t="n"/>
      <c r="B244" s="429" t="n"/>
      <c r="C244" s="306" t="n"/>
      <c r="D244" s="420" t="n"/>
      <c r="E244" s="273" t="n"/>
      <c r="F244" s="273" t="n"/>
      <c r="G244" s="231" t="n"/>
      <c r="H244" s="429" t="n"/>
      <c r="I244" s="429" t="n"/>
      <c r="J244" s="430" t="n"/>
      <c r="K244" s="431" t="n"/>
      <c r="L244" s="316" t="n"/>
      <c r="M244" s="316" t="n"/>
      <c r="N244" s="325" t="n"/>
      <c r="O244" s="325" t="n"/>
      <c r="P244" s="432" t="n"/>
      <c r="Q244" s="325" t="n"/>
      <c r="R244" s="325" t="n"/>
      <c r="S244" s="429" t="n"/>
      <c r="T244" s="232" t="n"/>
      <c r="U244" s="232" t="n"/>
      <c r="V244" s="232" t="n"/>
      <c r="W244" s="232" t="n"/>
      <c r="X244" s="233" t="n"/>
      <c r="Y244" s="232" t="n"/>
      <c r="Z244" s="232" t="n"/>
      <c r="AA244" s="232" t="n"/>
      <c r="AB244" s="330" t="n"/>
      <c r="AC244" s="230" t="n"/>
      <c r="AD244" s="331" t="n"/>
      <c r="AE244" s="441" t="n"/>
      <c r="AF244" s="526" t="n"/>
      <c r="AH244" s="391" t="n"/>
    </row>
    <row r="245" customFormat="1" s="141">
      <c r="A245" s="251" t="n"/>
      <c r="B245" s="429" t="n"/>
      <c r="C245" s="306" t="n"/>
      <c r="D245" s="420" t="n"/>
      <c r="E245" s="273" t="n"/>
      <c r="F245" s="273" t="n"/>
      <c r="G245" s="231" t="n"/>
      <c r="H245" s="429" t="n"/>
      <c r="I245" s="429" t="n"/>
      <c r="J245" s="430" t="n"/>
      <c r="K245" s="431" t="n"/>
      <c r="L245" s="316" t="n"/>
      <c r="M245" s="316" t="n"/>
      <c r="N245" s="325" t="n"/>
      <c r="O245" s="325" t="n"/>
      <c r="P245" s="432" t="n"/>
      <c r="Q245" s="325" t="n"/>
      <c r="R245" s="325" t="n"/>
      <c r="S245" s="429" t="n"/>
      <c r="T245" s="232" t="n"/>
      <c r="U245" s="232" t="n"/>
      <c r="V245" s="232" t="n"/>
      <c r="W245" s="232" t="n"/>
      <c r="X245" s="233" t="n"/>
      <c r="Y245" s="232" t="n"/>
      <c r="Z245" s="232" t="n"/>
      <c r="AA245" s="232" t="n"/>
      <c r="AB245" s="330" t="n"/>
      <c r="AC245" s="230" t="n"/>
      <c r="AD245" s="331" t="n"/>
      <c r="AE245" s="441" t="n"/>
      <c r="AF245" s="526" t="n"/>
      <c r="AH245" s="391" t="n"/>
    </row>
    <row r="246" customFormat="1" s="141">
      <c r="A246" s="251" t="n"/>
      <c r="B246" s="429" t="n"/>
      <c r="C246" s="306" t="n"/>
      <c r="D246" s="420" t="n"/>
      <c r="E246" s="273" t="n"/>
      <c r="F246" s="273" t="n"/>
      <c r="G246" s="231" t="n"/>
      <c r="H246" s="429" t="n"/>
      <c r="I246" s="429" t="n"/>
      <c r="J246" s="430" t="n"/>
      <c r="K246" s="431" t="n"/>
      <c r="L246" s="316" t="n"/>
      <c r="M246" s="316" t="n"/>
      <c r="N246" s="325" t="n"/>
      <c r="O246" s="325" t="n"/>
      <c r="P246" s="432" t="n"/>
      <c r="Q246" s="325" t="n"/>
      <c r="R246" s="325" t="n"/>
      <c r="S246" s="429" t="n"/>
      <c r="T246" s="232" t="n"/>
      <c r="U246" s="232" t="n"/>
      <c r="V246" s="232" t="n"/>
      <c r="W246" s="232" t="n"/>
      <c r="X246" s="233" t="n"/>
      <c r="Y246" s="232" t="n"/>
      <c r="Z246" s="232" t="n"/>
      <c r="AA246" s="232" t="n"/>
      <c r="AB246" s="330" t="n"/>
      <c r="AC246" s="230" t="n"/>
      <c r="AD246" s="331" t="n"/>
      <c r="AE246" s="441" t="n"/>
      <c r="AF246" s="526" t="n"/>
      <c r="AH246" s="391" t="n"/>
    </row>
    <row r="247" customFormat="1" s="141">
      <c r="A247" s="251" t="n"/>
      <c r="B247" s="429" t="n"/>
      <c r="C247" s="306" t="n"/>
      <c r="D247" s="420" t="n"/>
      <c r="E247" s="273" t="n"/>
      <c r="F247" s="273" t="n"/>
      <c r="G247" s="231" t="n"/>
      <c r="H247" s="429" t="n"/>
      <c r="I247" s="429" t="n"/>
      <c r="J247" s="430" t="n"/>
      <c r="K247" s="431" t="n"/>
      <c r="L247" s="316" t="n"/>
      <c r="M247" s="316" t="n"/>
      <c r="N247" s="325" t="n"/>
      <c r="O247" s="325" t="n"/>
      <c r="P247" s="432" t="n"/>
      <c r="Q247" s="325" t="n"/>
      <c r="R247" s="325" t="n"/>
      <c r="S247" s="429" t="n"/>
      <c r="T247" s="232" t="n"/>
      <c r="U247" s="232" t="n"/>
      <c r="V247" s="232" t="n"/>
      <c r="W247" s="232" t="n"/>
      <c r="X247" s="233" t="n"/>
      <c r="Y247" s="232" t="n"/>
      <c r="Z247" s="232" t="n"/>
      <c r="AA247" s="232" t="n"/>
      <c r="AB247" s="330" t="n"/>
      <c r="AC247" s="230" t="n"/>
      <c r="AD247" s="331" t="n"/>
      <c r="AE247" s="441" t="n"/>
      <c r="AF247" s="526" t="n"/>
      <c r="AH247" s="391" t="n"/>
    </row>
    <row r="248" customFormat="1" s="141">
      <c r="A248" s="251" t="n"/>
      <c r="B248" s="429" t="n"/>
      <c r="C248" s="306" t="n"/>
      <c r="D248" s="420" t="n"/>
      <c r="E248" s="273" t="n"/>
      <c r="F248" s="273" t="n"/>
      <c r="G248" s="231" t="n"/>
      <c r="H248" s="429" t="n"/>
      <c r="I248" s="429" t="n"/>
      <c r="J248" s="430" t="n"/>
      <c r="K248" s="431" t="n"/>
      <c r="L248" s="316" t="n"/>
      <c r="M248" s="316" t="n"/>
      <c r="N248" s="325" t="n"/>
      <c r="O248" s="325" t="n"/>
      <c r="P248" s="432" t="n"/>
      <c r="Q248" s="325" t="n"/>
      <c r="R248" s="325" t="n"/>
      <c r="S248" s="429" t="n"/>
      <c r="T248" s="232" t="n"/>
      <c r="U248" s="232" t="n"/>
      <c r="V248" s="232" t="n"/>
      <c r="W248" s="232" t="n"/>
      <c r="X248" s="233" t="n"/>
      <c r="Y248" s="232" t="n"/>
      <c r="Z248" s="232" t="n"/>
      <c r="AA248" s="232" t="n"/>
      <c r="AB248" s="330" t="n"/>
      <c r="AC248" s="230" t="n"/>
      <c r="AD248" s="331" t="n"/>
      <c r="AE248" s="441" t="n"/>
      <c r="AF248" s="526" t="n"/>
      <c r="AH248" s="391" t="n"/>
    </row>
    <row r="249" customFormat="1" s="141">
      <c r="A249" s="251" t="n"/>
      <c r="B249" s="429" t="n"/>
      <c r="C249" s="306" t="n"/>
      <c r="D249" s="420" t="n"/>
      <c r="E249" s="273" t="n"/>
      <c r="F249" s="273" t="n"/>
      <c r="G249" s="231" t="n"/>
      <c r="H249" s="429" t="n"/>
      <c r="I249" s="429" t="n"/>
      <c r="J249" s="430" t="n"/>
      <c r="K249" s="431" t="n"/>
      <c r="L249" s="316" t="n"/>
      <c r="M249" s="316" t="n"/>
      <c r="N249" s="325" t="n"/>
      <c r="O249" s="325" t="n"/>
      <c r="P249" s="432" t="n"/>
      <c r="Q249" s="325" t="n"/>
      <c r="R249" s="325" t="n"/>
      <c r="S249" s="429" t="n"/>
      <c r="T249" s="232" t="n"/>
      <c r="U249" s="232" t="n"/>
      <c r="V249" s="232" t="n"/>
      <c r="W249" s="232" t="n"/>
      <c r="X249" s="233" t="n"/>
      <c r="Y249" s="232" t="n"/>
      <c r="Z249" s="232" t="n"/>
      <c r="AA249" s="232" t="n"/>
      <c r="AB249" s="330" t="n"/>
      <c r="AC249" s="230" t="n"/>
      <c r="AD249" s="331" t="n"/>
      <c r="AE249" s="441" t="n"/>
      <c r="AF249" s="526" t="n"/>
      <c r="AH249" s="391" t="n"/>
    </row>
    <row r="250" customFormat="1" s="141">
      <c r="A250" s="251" t="n"/>
      <c r="B250" s="429" t="n"/>
      <c r="C250" s="306" t="n"/>
      <c r="D250" s="420" t="n"/>
      <c r="E250" s="273" t="n"/>
      <c r="F250" s="273" t="n"/>
      <c r="G250" s="231" t="n"/>
      <c r="H250" s="429" t="n"/>
      <c r="I250" s="429" t="n"/>
      <c r="J250" s="430" t="n"/>
      <c r="K250" s="431" t="n"/>
      <c r="L250" s="316" t="n"/>
      <c r="M250" s="316" t="n"/>
      <c r="N250" s="325" t="n"/>
      <c r="O250" s="325" t="n"/>
      <c r="P250" s="432" t="n"/>
      <c r="Q250" s="325" t="n"/>
      <c r="R250" s="325" t="n"/>
      <c r="S250" s="429" t="n"/>
      <c r="T250" s="232" t="n"/>
      <c r="U250" s="232" t="n"/>
      <c r="V250" s="232" t="n"/>
      <c r="W250" s="232" t="n"/>
      <c r="X250" s="233" t="n"/>
      <c r="Y250" s="232" t="n"/>
      <c r="Z250" s="232" t="n"/>
      <c r="AA250" s="232" t="n"/>
      <c r="AB250" s="330" t="n"/>
      <c r="AC250" s="230" t="n"/>
      <c r="AD250" s="331" t="n"/>
      <c r="AE250" s="441" t="n"/>
      <c r="AF250" s="526" t="n"/>
      <c r="AH250" s="391" t="n"/>
    </row>
    <row r="251" customFormat="1" s="141">
      <c r="A251" s="251" t="n"/>
      <c r="B251" s="429" t="n"/>
      <c r="C251" s="306" t="n"/>
      <c r="D251" s="420" t="n"/>
      <c r="E251" s="273" t="n"/>
      <c r="F251" s="273" t="n"/>
      <c r="G251" s="231" t="n"/>
      <c r="H251" s="429" t="n"/>
      <c r="I251" s="429" t="n"/>
      <c r="J251" s="430" t="n"/>
      <c r="K251" s="431" t="n"/>
      <c r="L251" s="316" t="n"/>
      <c r="M251" s="316" t="n"/>
      <c r="N251" s="325" t="n"/>
      <c r="O251" s="325" t="n"/>
      <c r="P251" s="432" t="n"/>
      <c r="Q251" s="325" t="n"/>
      <c r="R251" s="325" t="n"/>
      <c r="S251" s="429" t="n"/>
      <c r="T251" s="232" t="n"/>
      <c r="U251" s="232" t="n"/>
      <c r="V251" s="232" t="n"/>
      <c r="W251" s="232" t="n"/>
      <c r="X251" s="233" t="n"/>
      <c r="Y251" s="232" t="n"/>
      <c r="Z251" s="232" t="n"/>
      <c r="AA251" s="232" t="n"/>
      <c r="AB251" s="330" t="n"/>
      <c r="AC251" s="230" t="n"/>
      <c r="AD251" s="331" t="n"/>
      <c r="AE251" s="441" t="n"/>
      <c r="AF251" s="526" t="n"/>
      <c r="AH251" s="391" t="n"/>
    </row>
    <row r="252" customFormat="1" s="141">
      <c r="A252" s="251" t="n"/>
      <c r="B252" s="429" t="n"/>
      <c r="C252" s="306" t="n"/>
      <c r="D252" s="420" t="n"/>
      <c r="E252" s="273" t="n"/>
      <c r="F252" s="273" t="n"/>
      <c r="G252" s="231" t="n"/>
      <c r="H252" s="429" t="n"/>
      <c r="I252" s="429" t="n"/>
      <c r="J252" s="430" t="n"/>
      <c r="K252" s="431" t="n"/>
      <c r="L252" s="316" t="n"/>
      <c r="M252" s="316" t="n"/>
      <c r="N252" s="325" t="n"/>
      <c r="O252" s="325" t="n"/>
      <c r="P252" s="432" t="n"/>
      <c r="Q252" s="325" t="n"/>
      <c r="R252" s="325" t="n"/>
      <c r="S252" s="429" t="n"/>
      <c r="T252" s="232" t="n"/>
      <c r="U252" s="232" t="n"/>
      <c r="V252" s="232" t="n"/>
      <c r="W252" s="232" t="n"/>
      <c r="X252" s="233" t="n"/>
      <c r="Y252" s="232" t="n"/>
      <c r="Z252" s="232" t="n"/>
      <c r="AA252" s="232" t="n"/>
      <c r="AB252" s="330" t="n"/>
      <c r="AC252" s="230" t="n"/>
      <c r="AD252" s="331" t="n"/>
      <c r="AE252" s="441" t="n"/>
      <c r="AF252" s="526" t="n"/>
      <c r="AH252" s="391" t="n"/>
    </row>
    <row r="253" customFormat="1" s="141">
      <c r="A253" s="251" t="n"/>
      <c r="B253" s="429" t="n"/>
      <c r="C253" s="306" t="n"/>
      <c r="D253" s="420" t="n"/>
      <c r="E253" s="273" t="n"/>
      <c r="F253" s="273" t="n"/>
      <c r="G253" s="231" t="n"/>
      <c r="H253" s="429" t="n"/>
      <c r="I253" s="429" t="n"/>
      <c r="J253" s="430" t="n"/>
      <c r="K253" s="431" t="n"/>
      <c r="L253" s="316" t="n"/>
      <c r="M253" s="316" t="n"/>
      <c r="N253" s="325" t="n"/>
      <c r="O253" s="325" t="n"/>
      <c r="P253" s="432" t="n"/>
      <c r="Q253" s="325" t="n"/>
      <c r="R253" s="325" t="n"/>
      <c r="S253" s="429" t="n"/>
      <c r="T253" s="232" t="n"/>
      <c r="U253" s="232" t="n"/>
      <c r="V253" s="232" t="n"/>
      <c r="W253" s="232" t="n"/>
      <c r="X253" s="233" t="n"/>
      <c r="Y253" s="232" t="n"/>
      <c r="Z253" s="232" t="n"/>
      <c r="AA253" s="232" t="n"/>
      <c r="AB253" s="330" t="n"/>
      <c r="AC253" s="230" t="n"/>
      <c r="AD253" s="331" t="n"/>
      <c r="AE253" s="441" t="n"/>
      <c r="AF253" s="526" t="n"/>
      <c r="AH253" s="391" t="n"/>
    </row>
    <row r="254" customFormat="1" s="141">
      <c r="A254" s="251" t="n"/>
      <c r="B254" s="429" t="n"/>
      <c r="C254" s="306" t="n"/>
      <c r="D254" s="420" t="n"/>
      <c r="E254" s="273" t="n"/>
      <c r="F254" s="273" t="n"/>
      <c r="G254" s="231" t="n"/>
      <c r="H254" s="429" t="n"/>
      <c r="I254" s="429" t="n"/>
      <c r="J254" s="430" t="n"/>
      <c r="K254" s="431" t="n"/>
      <c r="L254" s="316" t="n"/>
      <c r="M254" s="316" t="n"/>
      <c r="N254" s="325" t="n"/>
      <c r="O254" s="325" t="n"/>
      <c r="P254" s="432" t="n"/>
      <c r="Q254" s="325" t="n"/>
      <c r="R254" s="325" t="n"/>
      <c r="S254" s="429" t="n"/>
      <c r="T254" s="232" t="n"/>
      <c r="U254" s="232" t="n"/>
      <c r="V254" s="232" t="n"/>
      <c r="W254" s="232" t="n"/>
      <c r="X254" s="233" t="n"/>
      <c r="Y254" s="232" t="n"/>
      <c r="Z254" s="232" t="n"/>
      <c r="AA254" s="232" t="n"/>
      <c r="AB254" s="330" t="n"/>
      <c r="AC254" s="230" t="n"/>
      <c r="AD254" s="331" t="n"/>
      <c r="AE254" s="441" t="n"/>
      <c r="AF254" s="526" t="n"/>
      <c r="AH254" s="391" t="n"/>
    </row>
    <row r="255" customFormat="1" s="141">
      <c r="A255" s="251" t="n"/>
      <c r="B255" s="429" t="n"/>
      <c r="C255" s="306" t="n"/>
      <c r="D255" s="420" t="n"/>
      <c r="E255" s="273" t="n"/>
      <c r="F255" s="273" t="n"/>
      <c r="G255" s="231" t="n"/>
      <c r="H255" s="429" t="n"/>
      <c r="I255" s="429" t="n"/>
      <c r="J255" s="430" t="n"/>
      <c r="K255" s="431" t="n"/>
      <c r="L255" s="316" t="n"/>
      <c r="M255" s="316" t="n"/>
      <c r="N255" s="325" t="n"/>
      <c r="O255" s="325" t="n"/>
      <c r="P255" s="432" t="n"/>
      <c r="Q255" s="325" t="n"/>
      <c r="R255" s="325" t="n"/>
      <c r="S255" s="429" t="n"/>
      <c r="T255" s="232" t="n"/>
      <c r="U255" s="232" t="n"/>
      <c r="V255" s="232" t="n"/>
      <c r="W255" s="232" t="n"/>
      <c r="X255" s="233" t="n"/>
      <c r="Y255" s="232" t="n"/>
      <c r="Z255" s="232" t="n"/>
      <c r="AA255" s="232" t="n"/>
      <c r="AB255" s="330" t="n"/>
      <c r="AC255" s="230" t="n"/>
      <c r="AD255" s="331" t="n"/>
      <c r="AE255" s="441" t="n"/>
      <c r="AF255" s="526" t="n"/>
      <c r="AH255" s="391" t="n"/>
    </row>
    <row r="256" customFormat="1" s="141">
      <c r="A256" s="251" t="n"/>
      <c r="B256" s="429" t="n"/>
      <c r="C256" s="306" t="n"/>
      <c r="D256" s="420" t="n"/>
      <c r="E256" s="273" t="n"/>
      <c r="F256" s="273" t="n"/>
      <c r="G256" s="231" t="n"/>
      <c r="H256" s="429" t="n"/>
      <c r="I256" s="429" t="n"/>
      <c r="J256" s="430" t="n"/>
      <c r="K256" s="431" t="n"/>
      <c r="L256" s="316" t="n"/>
      <c r="M256" s="316" t="n"/>
      <c r="N256" s="325" t="n"/>
      <c r="O256" s="325" t="n"/>
      <c r="P256" s="432" t="n"/>
      <c r="Q256" s="325" t="n"/>
      <c r="R256" s="325" t="n"/>
      <c r="S256" s="429" t="n"/>
      <c r="T256" s="232" t="n"/>
      <c r="U256" s="232" t="n"/>
      <c r="V256" s="232" t="n"/>
      <c r="W256" s="232" t="n"/>
      <c r="X256" s="233" t="n"/>
      <c r="Y256" s="232" t="n"/>
      <c r="Z256" s="232" t="n"/>
      <c r="AA256" s="232" t="n"/>
      <c r="AB256" s="330" t="n"/>
      <c r="AC256" s="230" t="n"/>
      <c r="AD256" s="331" t="n"/>
      <c r="AE256" s="441" t="n"/>
      <c r="AF256" s="526" t="n"/>
      <c r="AH256" s="391" t="n"/>
    </row>
    <row r="257" customFormat="1" s="141">
      <c r="A257" s="251" t="n"/>
      <c r="B257" s="429" t="n"/>
      <c r="C257" s="306" t="n"/>
      <c r="D257" s="420" t="n"/>
      <c r="E257" s="273" t="n"/>
      <c r="F257" s="273" t="n"/>
      <c r="G257" s="231" t="n"/>
      <c r="H257" s="429" t="n"/>
      <c r="I257" s="429" t="n"/>
      <c r="J257" s="430" t="n"/>
      <c r="K257" s="431" t="n"/>
      <c r="L257" s="316" t="n"/>
      <c r="M257" s="316" t="n"/>
      <c r="N257" s="325" t="n"/>
      <c r="O257" s="325" t="n"/>
      <c r="P257" s="432" t="n"/>
      <c r="Q257" s="325" t="n"/>
      <c r="R257" s="325" t="n"/>
      <c r="S257" s="429" t="n"/>
      <c r="T257" s="232" t="n"/>
      <c r="U257" s="232" t="n"/>
      <c r="V257" s="232" t="n"/>
      <c r="W257" s="232" t="n"/>
      <c r="X257" s="233" t="n"/>
      <c r="Y257" s="232" t="n"/>
      <c r="Z257" s="232" t="n"/>
      <c r="AA257" s="232" t="n"/>
      <c r="AB257" s="330" t="n"/>
      <c r="AC257" s="230" t="n"/>
      <c r="AD257" s="331" t="n"/>
      <c r="AE257" s="441" t="n"/>
      <c r="AF257" s="526" t="n"/>
      <c r="AH257" s="391" t="n"/>
    </row>
    <row r="258" customFormat="1" s="141">
      <c r="A258" s="251" t="n"/>
      <c r="B258" s="429" t="n"/>
      <c r="C258" s="306" t="n"/>
      <c r="D258" s="420" t="n"/>
      <c r="E258" s="273" t="n"/>
      <c r="F258" s="273" t="n"/>
      <c r="G258" s="231" t="n"/>
      <c r="H258" s="429" t="n"/>
      <c r="I258" s="429" t="n"/>
      <c r="J258" s="430" t="n"/>
      <c r="K258" s="431" t="n"/>
      <c r="L258" s="316" t="n"/>
      <c r="M258" s="316" t="n"/>
      <c r="N258" s="325" t="n"/>
      <c r="O258" s="325" t="n"/>
      <c r="P258" s="432" t="n"/>
      <c r="Q258" s="325" t="n"/>
      <c r="R258" s="325" t="n"/>
      <c r="S258" s="429" t="n"/>
      <c r="T258" s="232" t="n"/>
      <c r="U258" s="232" t="n"/>
      <c r="V258" s="232" t="n"/>
      <c r="W258" s="232" t="n"/>
      <c r="X258" s="233" t="n"/>
      <c r="Y258" s="232" t="n"/>
      <c r="Z258" s="232" t="n"/>
      <c r="AA258" s="232" t="n"/>
      <c r="AB258" s="330" t="n"/>
      <c r="AC258" s="230" t="n"/>
      <c r="AD258" s="331" t="n"/>
      <c r="AE258" s="441" t="n"/>
      <c r="AF258" s="526" t="n"/>
      <c r="AH258" s="391" t="n"/>
    </row>
    <row r="259" customFormat="1" s="141">
      <c r="A259" s="251" t="n"/>
      <c r="B259" s="429" t="n"/>
      <c r="C259" s="306" t="n"/>
      <c r="D259" s="420" t="n"/>
      <c r="E259" s="273" t="n"/>
      <c r="F259" s="273" t="n"/>
      <c r="G259" s="231" t="n"/>
      <c r="H259" s="429" t="n"/>
      <c r="I259" s="429" t="n"/>
      <c r="J259" s="430" t="n"/>
      <c r="K259" s="431" t="n"/>
      <c r="L259" s="316" t="n"/>
      <c r="M259" s="316" t="n"/>
      <c r="N259" s="325" t="n"/>
      <c r="O259" s="325" t="n"/>
      <c r="P259" s="432" t="n"/>
      <c r="Q259" s="325" t="n"/>
      <c r="R259" s="325" t="n"/>
      <c r="S259" s="429" t="n"/>
      <c r="T259" s="232" t="n"/>
      <c r="U259" s="232" t="n"/>
      <c r="V259" s="232" t="n"/>
      <c r="W259" s="232" t="n"/>
      <c r="X259" s="233" t="n"/>
      <c r="Y259" s="232" t="n"/>
      <c r="Z259" s="232" t="n"/>
      <c r="AA259" s="232" t="n"/>
      <c r="AB259" s="330" t="n"/>
      <c r="AC259" s="230" t="n"/>
      <c r="AD259" s="331" t="n"/>
      <c r="AE259" s="441" t="n"/>
      <c r="AF259" s="526" t="n"/>
      <c r="AH259" s="391" t="n"/>
    </row>
    <row r="260" customFormat="1" s="141">
      <c r="A260" s="251" t="n"/>
      <c r="B260" s="429" t="n"/>
      <c r="C260" s="306" t="n"/>
      <c r="D260" s="420" t="n"/>
      <c r="E260" s="273" t="n"/>
      <c r="F260" s="273" t="n"/>
      <c r="G260" s="231" t="n"/>
      <c r="H260" s="429" t="n"/>
      <c r="I260" s="429" t="n"/>
      <c r="J260" s="430" t="n"/>
      <c r="K260" s="431" t="n"/>
      <c r="L260" s="316" t="n"/>
      <c r="M260" s="316" t="n"/>
      <c r="N260" s="325" t="n"/>
      <c r="O260" s="325" t="n"/>
      <c r="P260" s="432" t="n"/>
      <c r="Q260" s="325" t="n"/>
      <c r="R260" s="325" t="n"/>
      <c r="S260" s="429" t="n"/>
      <c r="T260" s="232" t="n"/>
      <c r="U260" s="232" t="n"/>
      <c r="V260" s="232" t="n"/>
      <c r="W260" s="232" t="n"/>
      <c r="X260" s="233" t="n"/>
      <c r="Y260" s="232" t="n"/>
      <c r="Z260" s="232" t="n"/>
      <c r="AA260" s="232" t="n"/>
      <c r="AB260" s="330" t="n"/>
      <c r="AC260" s="230" t="n"/>
      <c r="AD260" s="331" t="n"/>
      <c r="AE260" s="441" t="n"/>
      <c r="AF260" s="526" t="n"/>
      <c r="AH260" s="391" t="n"/>
    </row>
    <row r="261" customFormat="1" s="141">
      <c r="A261" s="251" t="n"/>
      <c r="B261" s="429" t="n"/>
      <c r="C261" s="306" t="n"/>
      <c r="D261" s="420" t="n"/>
      <c r="E261" s="273" t="n"/>
      <c r="F261" s="273" t="n"/>
      <c r="G261" s="231" t="n"/>
      <c r="H261" s="429" t="n"/>
      <c r="I261" s="429" t="n"/>
      <c r="J261" s="430" t="n"/>
      <c r="K261" s="431" t="n"/>
      <c r="L261" s="316" t="n"/>
      <c r="M261" s="316" t="n"/>
      <c r="N261" s="325" t="n"/>
      <c r="O261" s="325" t="n"/>
      <c r="P261" s="432" t="n"/>
      <c r="Q261" s="325" t="n"/>
      <c r="R261" s="325" t="n"/>
      <c r="S261" s="429" t="n"/>
      <c r="T261" s="232" t="n"/>
      <c r="U261" s="232" t="n"/>
      <c r="V261" s="232" t="n"/>
      <c r="W261" s="232" t="n"/>
      <c r="X261" s="233" t="n"/>
      <c r="Y261" s="232" t="n"/>
      <c r="Z261" s="232" t="n"/>
      <c r="AA261" s="232" t="n"/>
      <c r="AB261" s="330" t="n"/>
      <c r="AC261" s="230" t="n"/>
      <c r="AD261" s="331" t="n"/>
      <c r="AE261" s="441" t="n"/>
      <c r="AF261" s="526" t="n"/>
      <c r="AH261" s="391" t="n"/>
    </row>
    <row r="262" customFormat="1" s="141">
      <c r="A262" s="251" t="n"/>
      <c r="B262" s="429" t="n"/>
      <c r="C262" s="306" t="n"/>
      <c r="D262" s="420" t="n"/>
      <c r="E262" s="273" t="n"/>
      <c r="F262" s="273" t="n"/>
      <c r="G262" s="231" t="n"/>
      <c r="H262" s="429" t="n"/>
      <c r="I262" s="429" t="n"/>
      <c r="J262" s="430" t="n"/>
      <c r="K262" s="431" t="n"/>
      <c r="L262" s="316" t="n"/>
      <c r="M262" s="316" t="n"/>
      <c r="N262" s="325" t="n"/>
      <c r="O262" s="325" t="n"/>
      <c r="P262" s="432" t="n"/>
      <c r="Q262" s="325" t="n"/>
      <c r="R262" s="325" t="n"/>
      <c r="S262" s="429" t="n"/>
      <c r="T262" s="232" t="n"/>
      <c r="U262" s="232" t="n"/>
      <c r="V262" s="232" t="n"/>
      <c r="W262" s="232" t="n"/>
      <c r="X262" s="233" t="n"/>
      <c r="Y262" s="232" t="n"/>
      <c r="Z262" s="232" t="n"/>
      <c r="AA262" s="232" t="n"/>
      <c r="AB262" s="330" t="n"/>
      <c r="AC262" s="230" t="n"/>
      <c r="AD262" s="331" t="n"/>
      <c r="AE262" s="441" t="n"/>
      <c r="AF262" s="526" t="n"/>
      <c r="AH262" s="391" t="n"/>
    </row>
    <row r="263" customFormat="1" s="141">
      <c r="A263" s="251" t="n"/>
      <c r="B263" s="429" t="n"/>
      <c r="C263" s="306" t="n"/>
      <c r="D263" s="420" t="n"/>
      <c r="E263" s="273" t="n"/>
      <c r="F263" s="273" t="n"/>
      <c r="G263" s="231" t="n"/>
      <c r="H263" s="429" t="n"/>
      <c r="I263" s="429" t="n"/>
      <c r="J263" s="430" t="n"/>
      <c r="K263" s="431" t="n"/>
      <c r="L263" s="316" t="n"/>
      <c r="M263" s="316" t="n"/>
      <c r="N263" s="325" t="n"/>
      <c r="O263" s="325" t="n"/>
      <c r="P263" s="432" t="n"/>
      <c r="Q263" s="325" t="n"/>
      <c r="R263" s="325" t="n"/>
      <c r="S263" s="429" t="n"/>
      <c r="T263" s="232" t="n"/>
      <c r="U263" s="232" t="n"/>
      <c r="V263" s="232" t="n"/>
      <c r="W263" s="232" t="n"/>
      <c r="X263" s="233" t="n"/>
      <c r="Y263" s="232" t="n"/>
      <c r="Z263" s="232" t="n"/>
      <c r="AA263" s="232" t="n"/>
      <c r="AB263" s="330" t="n"/>
      <c r="AC263" s="230" t="n"/>
      <c r="AD263" s="331" t="n"/>
      <c r="AE263" s="441" t="n"/>
      <c r="AF263" s="526" t="n"/>
      <c r="AH263" s="391" t="n"/>
    </row>
    <row r="264" customFormat="1" s="141">
      <c r="A264" s="251" t="n"/>
      <c r="B264" s="429" t="n"/>
      <c r="C264" s="306" t="n"/>
      <c r="D264" s="420" t="n"/>
      <c r="E264" s="273" t="n"/>
      <c r="F264" s="273" t="n"/>
      <c r="G264" s="231" t="n"/>
      <c r="H264" s="429" t="n"/>
      <c r="I264" s="429" t="n"/>
      <c r="J264" s="430" t="n"/>
      <c r="K264" s="431" t="n"/>
      <c r="L264" s="316" t="n"/>
      <c r="M264" s="316" t="n"/>
      <c r="N264" s="325" t="n"/>
      <c r="O264" s="325" t="n"/>
      <c r="P264" s="432" t="n"/>
      <c r="Q264" s="325" t="n"/>
      <c r="R264" s="325" t="n"/>
      <c r="S264" s="429" t="n"/>
      <c r="T264" s="232" t="n"/>
      <c r="U264" s="232" t="n"/>
      <c r="V264" s="232" t="n"/>
      <c r="W264" s="232" t="n"/>
      <c r="X264" s="233" t="n"/>
      <c r="Y264" s="232" t="n"/>
      <c r="Z264" s="232" t="n"/>
      <c r="AA264" s="232" t="n"/>
      <c r="AB264" s="330" t="n"/>
      <c r="AC264" s="230" t="n"/>
      <c r="AD264" s="331" t="n"/>
      <c r="AE264" s="441" t="n"/>
      <c r="AF264" s="526" t="n"/>
      <c r="AH264" s="391" t="n"/>
    </row>
    <row r="265" customFormat="1" s="141">
      <c r="A265" s="251" t="n"/>
      <c r="B265" s="429" t="n"/>
      <c r="C265" s="306" t="n"/>
      <c r="D265" s="420" t="n"/>
      <c r="E265" s="273" t="n"/>
      <c r="F265" s="273" t="n"/>
      <c r="G265" s="231" t="n"/>
      <c r="H265" s="429" t="n"/>
      <c r="I265" s="429" t="n"/>
      <c r="J265" s="430" t="n"/>
      <c r="K265" s="431" t="n"/>
      <c r="L265" s="316" t="n"/>
      <c r="M265" s="316" t="n"/>
      <c r="N265" s="325" t="n"/>
      <c r="O265" s="325" t="n"/>
      <c r="P265" s="432" t="n"/>
      <c r="Q265" s="325" t="n"/>
      <c r="R265" s="325" t="n"/>
      <c r="S265" s="429" t="n"/>
      <c r="T265" s="232" t="n"/>
      <c r="U265" s="232" t="n"/>
      <c r="V265" s="232" t="n"/>
      <c r="W265" s="232" t="n"/>
      <c r="X265" s="233" t="n"/>
      <c r="Y265" s="232" t="n"/>
      <c r="Z265" s="232" t="n"/>
      <c r="AA265" s="232" t="n"/>
      <c r="AB265" s="330" t="n"/>
      <c r="AC265" s="230" t="n"/>
      <c r="AD265" s="331" t="n"/>
      <c r="AE265" s="441" t="n"/>
      <c r="AF265" s="526" t="n"/>
      <c r="AH265" s="391" t="n"/>
    </row>
    <row r="266" customFormat="1" s="141">
      <c r="A266" s="251" t="n"/>
      <c r="B266" s="429" t="n"/>
      <c r="C266" s="306" t="n"/>
      <c r="D266" s="420" t="n"/>
      <c r="E266" s="273" t="n"/>
      <c r="F266" s="273" t="n"/>
      <c r="G266" s="231" t="n"/>
      <c r="H266" s="429" t="n"/>
      <c r="I266" s="429" t="n"/>
      <c r="J266" s="430" t="n"/>
      <c r="K266" s="431" t="n"/>
      <c r="L266" s="316" t="n"/>
      <c r="M266" s="316" t="n"/>
      <c r="N266" s="325" t="n"/>
      <c r="O266" s="325" t="n"/>
      <c r="P266" s="432" t="n"/>
      <c r="Q266" s="325" t="n"/>
      <c r="R266" s="325" t="n"/>
      <c r="S266" s="429" t="n"/>
      <c r="T266" s="232" t="n"/>
      <c r="U266" s="232" t="n"/>
      <c r="V266" s="232" t="n"/>
      <c r="W266" s="232" t="n"/>
      <c r="X266" s="233" t="n"/>
      <c r="Y266" s="232" t="n"/>
      <c r="Z266" s="232" t="n"/>
      <c r="AA266" s="232" t="n"/>
      <c r="AB266" s="330" t="n"/>
      <c r="AC266" s="230" t="n"/>
      <c r="AD266" s="331" t="n"/>
      <c r="AE266" s="441" t="n"/>
      <c r="AF266" s="526" t="n"/>
      <c r="AH266" s="391" t="n"/>
    </row>
    <row r="267" customFormat="1" s="141">
      <c r="A267" s="251" t="n"/>
      <c r="B267" s="429" t="n"/>
      <c r="C267" s="306" t="n"/>
      <c r="D267" s="420" t="n"/>
      <c r="E267" s="273" t="n"/>
      <c r="F267" s="273" t="n"/>
      <c r="G267" s="231" t="n"/>
      <c r="H267" s="429" t="n"/>
      <c r="I267" s="429" t="n"/>
      <c r="J267" s="430" t="n"/>
      <c r="K267" s="431" t="n"/>
      <c r="L267" s="316" t="n"/>
      <c r="M267" s="316" t="n"/>
      <c r="N267" s="325" t="n"/>
      <c r="O267" s="325" t="n"/>
      <c r="P267" s="432" t="n"/>
      <c r="Q267" s="325" t="n"/>
      <c r="R267" s="325" t="n"/>
      <c r="S267" s="429" t="n"/>
      <c r="T267" s="232" t="n"/>
      <c r="U267" s="232" t="n"/>
      <c r="V267" s="232" t="n"/>
      <c r="W267" s="232" t="n"/>
      <c r="X267" s="233" t="n"/>
      <c r="Y267" s="232" t="n"/>
      <c r="Z267" s="232" t="n"/>
      <c r="AA267" s="232" t="n"/>
      <c r="AB267" s="330" t="n"/>
      <c r="AC267" s="230" t="n"/>
      <c r="AD267" s="331" t="n"/>
      <c r="AE267" s="441" t="n"/>
      <c r="AF267" s="526" t="n"/>
      <c r="AH267" s="391" t="n"/>
    </row>
    <row r="268" customFormat="1" s="141">
      <c r="A268" s="251" t="n"/>
      <c r="B268" s="429" t="n"/>
      <c r="C268" s="306" t="n"/>
      <c r="D268" s="420" t="n"/>
      <c r="E268" s="273" t="n"/>
      <c r="F268" s="273" t="n"/>
      <c r="G268" s="231" t="n"/>
      <c r="H268" s="429" t="n"/>
      <c r="I268" s="429" t="n"/>
      <c r="J268" s="430" t="n"/>
      <c r="K268" s="431" t="n"/>
      <c r="L268" s="316" t="n"/>
      <c r="M268" s="316" t="n"/>
      <c r="N268" s="325" t="n"/>
      <c r="O268" s="325" t="n"/>
      <c r="P268" s="432" t="n"/>
      <c r="Q268" s="325" t="n"/>
      <c r="R268" s="325" t="n"/>
      <c r="S268" s="429" t="n"/>
      <c r="T268" s="232" t="n"/>
      <c r="U268" s="232" t="n"/>
      <c r="V268" s="232" t="n"/>
      <c r="W268" s="232" t="n"/>
      <c r="X268" s="233" t="n"/>
      <c r="Y268" s="232" t="n"/>
      <c r="Z268" s="232" t="n"/>
      <c r="AA268" s="232" t="n"/>
      <c r="AB268" s="330" t="n"/>
      <c r="AC268" s="230" t="n"/>
      <c r="AD268" s="331" t="n"/>
      <c r="AE268" s="441" t="n"/>
      <c r="AF268" s="526" t="n"/>
      <c r="AH268" s="391" t="n"/>
    </row>
    <row r="269" customFormat="1" s="141">
      <c r="A269" s="251" t="n"/>
      <c r="B269" s="429" t="n"/>
      <c r="C269" s="306" t="n"/>
      <c r="D269" s="420" t="n"/>
      <c r="E269" s="273" t="n"/>
      <c r="F269" s="273" t="n"/>
      <c r="G269" s="231" t="n"/>
      <c r="H269" s="429" t="n"/>
      <c r="I269" s="429" t="n"/>
      <c r="J269" s="430" t="n"/>
      <c r="K269" s="431" t="n"/>
      <c r="L269" s="316" t="n"/>
      <c r="M269" s="316" t="n"/>
      <c r="N269" s="325" t="n"/>
      <c r="O269" s="325" t="n"/>
      <c r="P269" s="432" t="n"/>
      <c r="Q269" s="325" t="n"/>
      <c r="R269" s="325" t="n"/>
      <c r="S269" s="429" t="n"/>
      <c r="T269" s="232" t="n"/>
      <c r="U269" s="232" t="n"/>
      <c r="V269" s="232" t="n"/>
      <c r="W269" s="232" t="n"/>
      <c r="X269" s="233" t="n"/>
      <c r="Y269" s="232" t="n"/>
      <c r="Z269" s="232" t="n"/>
      <c r="AA269" s="232" t="n"/>
      <c r="AB269" s="330" t="n"/>
      <c r="AC269" s="230" t="n"/>
      <c r="AD269" s="331" t="n"/>
      <c r="AE269" s="441" t="n"/>
      <c r="AF269" s="526" t="n"/>
      <c r="AH269" s="391" t="n"/>
    </row>
    <row r="270" customFormat="1" s="141">
      <c r="A270" s="251" t="n"/>
      <c r="B270" s="429" t="n"/>
      <c r="C270" s="306" t="n"/>
      <c r="D270" s="420" t="n"/>
      <c r="E270" s="273" t="n"/>
      <c r="F270" s="273" t="n"/>
      <c r="G270" s="231" t="n"/>
      <c r="H270" s="429" t="n"/>
      <c r="I270" s="429" t="n"/>
      <c r="J270" s="430" t="n"/>
      <c r="K270" s="431" t="n"/>
      <c r="L270" s="316" t="n"/>
      <c r="M270" s="316" t="n"/>
      <c r="N270" s="325" t="n"/>
      <c r="O270" s="325" t="n"/>
      <c r="P270" s="432" t="n"/>
      <c r="Q270" s="325" t="n"/>
      <c r="R270" s="325" t="n"/>
      <c r="S270" s="429" t="n"/>
      <c r="T270" s="232" t="n"/>
      <c r="U270" s="232" t="n"/>
      <c r="V270" s="232" t="n"/>
      <c r="W270" s="232" t="n"/>
      <c r="X270" s="233" t="n"/>
      <c r="Y270" s="232" t="n"/>
      <c r="Z270" s="232" t="n"/>
      <c r="AA270" s="232" t="n"/>
      <c r="AB270" s="330" t="n"/>
      <c r="AC270" s="230" t="n"/>
      <c r="AD270" s="331" t="n"/>
      <c r="AE270" s="441" t="n"/>
      <c r="AF270" s="526" t="n"/>
      <c r="AH270" s="391" t="n"/>
    </row>
    <row r="271" customFormat="1" s="141">
      <c r="A271" s="251" t="n"/>
      <c r="B271" s="429" t="n"/>
      <c r="C271" s="306" t="n"/>
      <c r="D271" s="420" t="n"/>
      <c r="E271" s="273" t="n"/>
      <c r="F271" s="273" t="n"/>
      <c r="G271" s="231" t="n"/>
      <c r="H271" s="429" t="n"/>
      <c r="I271" s="429" t="n"/>
      <c r="J271" s="430" t="n"/>
      <c r="K271" s="431" t="n"/>
      <c r="L271" s="316" t="n"/>
      <c r="M271" s="316" t="n"/>
      <c r="N271" s="325" t="n"/>
      <c r="O271" s="325" t="n"/>
      <c r="P271" s="432" t="n"/>
      <c r="Q271" s="325" t="n"/>
      <c r="R271" s="325" t="n"/>
      <c r="S271" s="429" t="n"/>
      <c r="T271" s="232" t="n"/>
      <c r="U271" s="232" t="n"/>
      <c r="V271" s="232" t="n"/>
      <c r="W271" s="232" t="n"/>
      <c r="X271" s="233" t="n"/>
      <c r="Y271" s="232" t="n"/>
      <c r="Z271" s="232" t="n"/>
      <c r="AA271" s="232" t="n"/>
      <c r="AB271" s="330" t="n"/>
      <c r="AC271" s="230" t="n"/>
      <c r="AD271" s="331" t="n"/>
      <c r="AE271" s="441" t="n"/>
      <c r="AF271" s="526" t="n"/>
      <c r="AH271" s="391" t="n"/>
    </row>
    <row r="272" customFormat="1" s="141">
      <c r="A272" s="251" t="n"/>
      <c r="B272" s="429" t="n"/>
      <c r="C272" s="306" t="n"/>
      <c r="D272" s="420" t="n"/>
      <c r="E272" s="273" t="n"/>
      <c r="F272" s="273" t="n"/>
      <c r="G272" s="231" t="n"/>
      <c r="H272" s="429" t="n"/>
      <c r="I272" s="429" t="n"/>
      <c r="J272" s="430" t="n"/>
      <c r="K272" s="431" t="n"/>
      <c r="L272" s="316" t="n"/>
      <c r="M272" s="316" t="n"/>
      <c r="N272" s="325" t="n"/>
      <c r="O272" s="325" t="n"/>
      <c r="P272" s="432" t="n"/>
      <c r="Q272" s="325" t="n"/>
      <c r="R272" s="325" t="n"/>
      <c r="S272" s="429" t="n"/>
      <c r="T272" s="232" t="n"/>
      <c r="U272" s="232" t="n"/>
      <c r="V272" s="232" t="n"/>
      <c r="W272" s="232" t="n"/>
      <c r="X272" s="233" t="n"/>
      <c r="Y272" s="232" t="n"/>
      <c r="Z272" s="232" t="n"/>
      <c r="AA272" s="232" t="n"/>
      <c r="AB272" s="330" t="n"/>
      <c r="AC272" s="230" t="n"/>
      <c r="AD272" s="331" t="n"/>
      <c r="AE272" s="441" t="n"/>
      <c r="AF272" s="526" t="n"/>
      <c r="AH272" s="391" t="n"/>
    </row>
    <row r="273" customFormat="1" s="141">
      <c r="A273" s="251" t="n"/>
      <c r="B273" s="429" t="n"/>
      <c r="C273" s="306" t="n"/>
      <c r="D273" s="420" t="n"/>
      <c r="E273" s="273" t="n"/>
      <c r="F273" s="273" t="n"/>
      <c r="G273" s="231" t="n"/>
      <c r="H273" s="429" t="n"/>
      <c r="I273" s="429" t="n"/>
      <c r="J273" s="430" t="n"/>
      <c r="K273" s="431" t="n"/>
      <c r="L273" s="316" t="n"/>
      <c r="M273" s="316" t="n"/>
      <c r="N273" s="325" t="n"/>
      <c r="O273" s="325" t="n"/>
      <c r="P273" s="432" t="n"/>
      <c r="Q273" s="325" t="n"/>
      <c r="R273" s="325" t="n"/>
      <c r="S273" s="429" t="n"/>
      <c r="T273" s="232" t="n"/>
      <c r="U273" s="232" t="n"/>
      <c r="V273" s="232" t="n"/>
      <c r="W273" s="232" t="n"/>
      <c r="X273" s="233" t="n"/>
      <c r="Y273" s="232" t="n"/>
      <c r="Z273" s="232" t="n"/>
      <c r="AA273" s="232" t="n"/>
      <c r="AB273" s="330" t="n"/>
      <c r="AC273" s="230" t="n"/>
      <c r="AD273" s="331" t="n"/>
      <c r="AE273" s="441" t="n"/>
      <c r="AF273" s="526" t="n"/>
      <c r="AH273" s="391" t="n"/>
    </row>
    <row r="274" customFormat="1" s="141">
      <c r="A274" s="251" t="n"/>
      <c r="B274" s="429" t="n"/>
      <c r="C274" s="306" t="n"/>
      <c r="D274" s="420" t="n"/>
      <c r="E274" s="273" t="n"/>
      <c r="F274" s="273" t="n"/>
      <c r="G274" s="231" t="n"/>
      <c r="H274" s="429" t="n"/>
      <c r="I274" s="429" t="n"/>
      <c r="J274" s="430" t="n"/>
      <c r="K274" s="431" t="n"/>
      <c r="L274" s="316" t="n"/>
      <c r="M274" s="316" t="n"/>
      <c r="N274" s="325" t="n"/>
      <c r="O274" s="325" t="n"/>
      <c r="P274" s="432" t="n"/>
      <c r="Q274" s="325" t="n"/>
      <c r="R274" s="325" t="n"/>
      <c r="S274" s="429" t="n"/>
      <c r="T274" s="232" t="n"/>
      <c r="U274" s="232" t="n"/>
      <c r="V274" s="232" t="n"/>
      <c r="W274" s="232" t="n"/>
      <c r="X274" s="233" t="n"/>
      <c r="Y274" s="232" t="n"/>
      <c r="Z274" s="232" t="n"/>
      <c r="AA274" s="232" t="n"/>
      <c r="AB274" s="330" t="n"/>
      <c r="AC274" s="230" t="n"/>
      <c r="AD274" s="331" t="n"/>
      <c r="AE274" s="441" t="n"/>
      <c r="AF274" s="526" t="n"/>
      <c r="AH274" s="391" t="n"/>
    </row>
    <row r="275" customFormat="1" s="141">
      <c r="A275" s="251" t="n"/>
      <c r="B275" s="429" t="n"/>
      <c r="C275" s="306" t="n"/>
      <c r="D275" s="420" t="n"/>
      <c r="E275" s="273" t="n"/>
      <c r="F275" s="273" t="n"/>
      <c r="G275" s="231" t="n"/>
      <c r="H275" s="429" t="n"/>
      <c r="I275" s="429" t="n"/>
      <c r="J275" s="430" t="n"/>
      <c r="K275" s="431" t="n"/>
      <c r="L275" s="316" t="n"/>
      <c r="M275" s="316" t="n"/>
      <c r="N275" s="325" t="n"/>
      <c r="O275" s="325" t="n"/>
      <c r="P275" s="432" t="n"/>
      <c r="Q275" s="325" t="n"/>
      <c r="R275" s="325" t="n"/>
      <c r="S275" s="429" t="n"/>
      <c r="T275" s="232" t="n"/>
      <c r="U275" s="232" t="n"/>
      <c r="V275" s="232" t="n"/>
      <c r="W275" s="232" t="n"/>
      <c r="X275" s="233" t="n"/>
      <c r="Y275" s="232" t="n"/>
      <c r="Z275" s="232" t="n"/>
      <c r="AA275" s="232" t="n"/>
      <c r="AB275" s="330" t="n"/>
      <c r="AC275" s="230" t="n"/>
      <c r="AD275" s="331" t="n"/>
      <c r="AE275" s="441" t="n"/>
      <c r="AF275" s="526" t="n"/>
      <c r="AH275" s="391" t="n"/>
    </row>
    <row r="276" customFormat="1" s="141">
      <c r="A276" s="251" t="n"/>
      <c r="B276" s="429" t="n"/>
      <c r="C276" s="306" t="n"/>
      <c r="D276" s="420" t="n"/>
      <c r="E276" s="273" t="n"/>
      <c r="F276" s="273" t="n"/>
      <c r="G276" s="231" t="n"/>
      <c r="H276" s="429" t="n"/>
      <c r="I276" s="429" t="n"/>
      <c r="J276" s="430" t="n"/>
      <c r="K276" s="431" t="n"/>
      <c r="L276" s="316" t="n"/>
      <c r="M276" s="316" t="n"/>
      <c r="N276" s="325" t="n"/>
      <c r="O276" s="325" t="n"/>
      <c r="P276" s="432" t="n"/>
      <c r="Q276" s="325" t="n"/>
      <c r="R276" s="325" t="n"/>
      <c r="S276" s="429" t="n"/>
      <c r="T276" s="232" t="n"/>
      <c r="U276" s="232" t="n"/>
      <c r="V276" s="232" t="n"/>
      <c r="W276" s="232" t="n"/>
      <c r="X276" s="233" t="n"/>
      <c r="Y276" s="232" t="n"/>
      <c r="Z276" s="232" t="n"/>
      <c r="AA276" s="232" t="n"/>
      <c r="AB276" s="330" t="n"/>
      <c r="AC276" s="230" t="n"/>
      <c r="AD276" s="331" t="n"/>
      <c r="AE276" s="441" t="n"/>
      <c r="AF276" s="526" t="n"/>
      <c r="AH276" s="391" t="n"/>
    </row>
    <row r="277" customFormat="1" s="141">
      <c r="A277" s="251" t="n"/>
      <c r="B277" s="429" t="n"/>
      <c r="C277" s="306" t="n"/>
      <c r="D277" s="420" t="n"/>
      <c r="E277" s="273" t="n"/>
      <c r="F277" s="273" t="n"/>
      <c r="G277" s="231" t="n"/>
      <c r="H277" s="429" t="n"/>
      <c r="I277" s="429" t="n"/>
      <c r="J277" s="430" t="n"/>
      <c r="K277" s="431" t="n"/>
      <c r="L277" s="316" t="n"/>
      <c r="M277" s="316" t="n"/>
      <c r="N277" s="325" t="n"/>
      <c r="O277" s="325" t="n"/>
      <c r="P277" s="432" t="n"/>
      <c r="Q277" s="325" t="n"/>
      <c r="R277" s="325" t="n"/>
      <c r="S277" s="429" t="n"/>
      <c r="T277" s="232" t="n"/>
      <c r="U277" s="232" t="n"/>
      <c r="V277" s="232" t="n"/>
      <c r="W277" s="232" t="n"/>
      <c r="X277" s="233" t="n"/>
      <c r="Y277" s="232" t="n"/>
      <c r="Z277" s="232" t="n"/>
      <c r="AA277" s="232" t="n"/>
      <c r="AB277" s="330" t="n"/>
      <c r="AC277" s="230" t="n"/>
      <c r="AD277" s="331" t="n"/>
      <c r="AE277" s="441" t="n"/>
      <c r="AF277" s="526" t="n"/>
      <c r="AH277" s="391" t="n"/>
    </row>
    <row r="278" customFormat="1" s="141">
      <c r="A278" s="251" t="n"/>
      <c r="B278" s="429" t="n"/>
      <c r="C278" s="306" t="n"/>
      <c r="D278" s="420" t="n"/>
      <c r="E278" s="273" t="n"/>
      <c r="F278" s="273" t="n"/>
      <c r="G278" s="231" t="n"/>
      <c r="H278" s="429" t="n"/>
      <c r="I278" s="429" t="n"/>
      <c r="J278" s="430" t="n"/>
      <c r="K278" s="431" t="n"/>
      <c r="L278" s="316" t="n"/>
      <c r="M278" s="316" t="n"/>
      <c r="N278" s="325" t="n"/>
      <c r="O278" s="325" t="n"/>
      <c r="P278" s="432" t="n"/>
      <c r="Q278" s="325" t="n"/>
      <c r="R278" s="325" t="n"/>
      <c r="S278" s="429" t="n"/>
      <c r="T278" s="232" t="n"/>
      <c r="U278" s="232" t="n"/>
      <c r="V278" s="232" t="n"/>
      <c r="W278" s="232" t="n"/>
      <c r="X278" s="233" t="n"/>
      <c r="Y278" s="232" t="n"/>
      <c r="Z278" s="232" t="n"/>
      <c r="AA278" s="232" t="n"/>
      <c r="AB278" s="330" t="n"/>
      <c r="AC278" s="230" t="n"/>
      <c r="AD278" s="331" t="n"/>
      <c r="AE278" s="441" t="n"/>
      <c r="AF278" s="526" t="n"/>
      <c r="AH278" s="391" t="n"/>
    </row>
    <row r="279" customFormat="1" s="141">
      <c r="A279" s="251" t="n"/>
      <c r="B279" s="429" t="n"/>
      <c r="C279" s="306" t="n"/>
      <c r="D279" s="420" t="n"/>
      <c r="E279" s="273" t="n"/>
      <c r="F279" s="273" t="n"/>
      <c r="G279" s="231" t="n"/>
      <c r="H279" s="429" t="n"/>
      <c r="I279" s="429" t="n"/>
      <c r="J279" s="430" t="n"/>
      <c r="K279" s="431" t="n"/>
      <c r="L279" s="316" t="n"/>
      <c r="M279" s="316" t="n"/>
      <c r="N279" s="325" t="n"/>
      <c r="O279" s="325" t="n"/>
      <c r="P279" s="432" t="n"/>
      <c r="Q279" s="325" t="n"/>
      <c r="R279" s="325" t="n"/>
      <c r="S279" s="429" t="n"/>
      <c r="T279" s="232" t="n"/>
      <c r="U279" s="232" t="n"/>
      <c r="V279" s="232" t="n"/>
      <c r="W279" s="232" t="n"/>
      <c r="X279" s="233" t="n"/>
      <c r="Y279" s="232" t="n"/>
      <c r="Z279" s="232" t="n"/>
      <c r="AA279" s="232" t="n"/>
      <c r="AB279" s="330" t="n"/>
      <c r="AC279" s="230" t="n"/>
      <c r="AD279" s="331" t="n"/>
      <c r="AE279" s="441" t="n"/>
      <c r="AF279" s="526" t="n"/>
      <c r="AH279" s="391" t="n"/>
    </row>
    <row r="280" customFormat="1" s="141">
      <c r="A280" s="251" t="n"/>
      <c r="B280" s="429" t="n"/>
      <c r="C280" s="306" t="n"/>
      <c r="D280" s="420" t="n"/>
      <c r="E280" s="273" t="n"/>
      <c r="F280" s="273" t="n"/>
      <c r="G280" s="231" t="n"/>
      <c r="H280" s="429" t="n"/>
      <c r="I280" s="429" t="n"/>
      <c r="J280" s="430" t="n"/>
      <c r="K280" s="431" t="n"/>
      <c r="L280" s="316" t="n"/>
      <c r="M280" s="316" t="n"/>
      <c r="N280" s="325" t="n"/>
      <c r="O280" s="325" t="n"/>
      <c r="P280" s="432" t="n"/>
      <c r="Q280" s="325" t="n"/>
      <c r="R280" s="325" t="n"/>
      <c r="S280" s="429" t="n"/>
      <c r="T280" s="232" t="n"/>
      <c r="U280" s="232" t="n"/>
      <c r="V280" s="232" t="n"/>
      <c r="W280" s="232" t="n"/>
      <c r="X280" s="233" t="n"/>
      <c r="Y280" s="232" t="n"/>
      <c r="Z280" s="232" t="n"/>
      <c r="AA280" s="232" t="n"/>
      <c r="AB280" s="330" t="n"/>
      <c r="AC280" s="230" t="n"/>
      <c r="AD280" s="331" t="n"/>
      <c r="AE280" s="441" t="n"/>
      <c r="AF280" s="526" t="n"/>
      <c r="AH280" s="391" t="n"/>
    </row>
    <row r="281" customFormat="1" s="141">
      <c r="A281" s="251" t="n"/>
      <c r="B281" s="429" t="n"/>
      <c r="C281" s="306" t="n"/>
      <c r="D281" s="420" t="n"/>
      <c r="E281" s="273" t="n"/>
      <c r="F281" s="273" t="n"/>
      <c r="G281" s="231" t="n"/>
      <c r="H281" s="429" t="n"/>
      <c r="I281" s="429" t="n"/>
      <c r="J281" s="430" t="n"/>
      <c r="K281" s="431" t="n"/>
      <c r="L281" s="316" t="n"/>
      <c r="M281" s="316" t="n"/>
      <c r="N281" s="325" t="n"/>
      <c r="O281" s="325" t="n"/>
      <c r="P281" s="432" t="n"/>
      <c r="Q281" s="325" t="n"/>
      <c r="R281" s="325" t="n"/>
      <c r="S281" s="429" t="n"/>
      <c r="T281" s="232" t="n"/>
      <c r="U281" s="232" t="n"/>
      <c r="V281" s="232" t="n"/>
      <c r="W281" s="232" t="n"/>
      <c r="X281" s="233" t="n"/>
      <c r="Y281" s="232" t="n"/>
      <c r="Z281" s="232" t="n"/>
      <c r="AA281" s="232" t="n"/>
      <c r="AB281" s="330" t="n"/>
      <c r="AC281" s="230" t="n"/>
      <c r="AD281" s="331" t="n"/>
      <c r="AE281" s="441" t="n"/>
      <c r="AF281" s="526" t="n"/>
      <c r="AH281" s="391" t="n"/>
    </row>
    <row r="282" customFormat="1" s="141">
      <c r="A282" s="251" t="n"/>
      <c r="B282" s="429" t="n"/>
      <c r="C282" s="306" t="n"/>
      <c r="D282" s="420" t="n"/>
      <c r="E282" s="273" t="n"/>
      <c r="F282" s="273" t="n"/>
      <c r="G282" s="231" t="n"/>
      <c r="H282" s="429" t="n"/>
      <c r="I282" s="429" t="n"/>
      <c r="J282" s="430" t="n"/>
      <c r="K282" s="431" t="n"/>
      <c r="L282" s="316" t="n"/>
      <c r="M282" s="316" t="n"/>
      <c r="N282" s="325" t="n"/>
      <c r="O282" s="325" t="n"/>
      <c r="P282" s="432" t="n"/>
      <c r="Q282" s="325" t="n"/>
      <c r="R282" s="325" t="n"/>
      <c r="S282" s="429" t="n"/>
      <c r="T282" s="232" t="n"/>
      <c r="U282" s="232" t="n"/>
      <c r="V282" s="232" t="n"/>
      <c r="W282" s="232" t="n"/>
      <c r="X282" s="233" t="n"/>
      <c r="Y282" s="232" t="n"/>
      <c r="Z282" s="232" t="n"/>
      <c r="AA282" s="232" t="n"/>
      <c r="AB282" s="330" t="n"/>
      <c r="AC282" s="230" t="n"/>
      <c r="AD282" s="331" t="n"/>
      <c r="AE282" s="441" t="n"/>
      <c r="AF282" s="526" t="n"/>
      <c r="AH282" s="391" t="n"/>
    </row>
    <row r="283" customFormat="1" s="141">
      <c r="A283" s="251" t="n"/>
      <c r="B283" s="429" t="n"/>
      <c r="C283" s="306" t="n"/>
      <c r="D283" s="420" t="n"/>
      <c r="E283" s="273" t="n"/>
      <c r="F283" s="273" t="n"/>
      <c r="G283" s="231" t="n"/>
      <c r="H283" s="429" t="n"/>
      <c r="I283" s="429" t="n"/>
      <c r="J283" s="430" t="n"/>
      <c r="K283" s="431" t="n"/>
      <c r="L283" s="316" t="n"/>
      <c r="M283" s="316" t="n"/>
      <c r="N283" s="325" t="n"/>
      <c r="O283" s="325" t="n"/>
      <c r="P283" s="432" t="n"/>
      <c r="Q283" s="325" t="n"/>
      <c r="R283" s="325" t="n"/>
      <c r="S283" s="429" t="n"/>
      <c r="T283" s="232" t="n"/>
      <c r="U283" s="232" t="n"/>
      <c r="V283" s="232" t="n"/>
      <c r="W283" s="232" t="n"/>
      <c r="X283" s="233" t="n"/>
      <c r="Y283" s="232" t="n"/>
      <c r="Z283" s="232" t="n"/>
      <c r="AA283" s="232" t="n"/>
      <c r="AB283" s="330" t="n"/>
      <c r="AC283" s="230" t="n"/>
      <c r="AD283" s="331" t="n"/>
      <c r="AE283" s="441" t="n"/>
      <c r="AF283" s="526" t="n"/>
      <c r="AH283" s="391" t="n"/>
    </row>
    <row r="284" customFormat="1" s="141">
      <c r="A284" s="251" t="n"/>
      <c r="B284" s="429" t="n"/>
      <c r="C284" s="306" t="n"/>
      <c r="D284" s="420" t="n"/>
      <c r="E284" s="273" t="n"/>
      <c r="F284" s="273" t="n"/>
      <c r="G284" s="231" t="n"/>
      <c r="H284" s="429" t="n"/>
      <c r="I284" s="429" t="n"/>
      <c r="J284" s="430" t="n"/>
      <c r="K284" s="431" t="n"/>
      <c r="L284" s="316" t="n"/>
      <c r="M284" s="316" t="n"/>
      <c r="N284" s="325" t="n"/>
      <c r="O284" s="325" t="n"/>
      <c r="P284" s="432" t="n"/>
      <c r="Q284" s="325" t="n"/>
      <c r="R284" s="325" t="n"/>
      <c r="S284" s="429" t="n"/>
      <c r="T284" s="232" t="n"/>
      <c r="U284" s="232" t="n"/>
      <c r="V284" s="232" t="n"/>
      <c r="W284" s="232" t="n"/>
      <c r="X284" s="233" t="n"/>
      <c r="Y284" s="232" t="n"/>
      <c r="Z284" s="232" t="n"/>
      <c r="AA284" s="232" t="n"/>
      <c r="AB284" s="330" t="n"/>
      <c r="AC284" s="230" t="n"/>
      <c r="AD284" s="331" t="n"/>
      <c r="AE284" s="441" t="n"/>
      <c r="AF284" s="526" t="n"/>
      <c r="AH284" s="391" t="n"/>
    </row>
    <row r="285" customFormat="1" s="141">
      <c r="A285" s="251" t="n"/>
      <c r="B285" s="429" t="n"/>
      <c r="C285" s="306" t="n"/>
      <c r="D285" s="420" t="n"/>
      <c r="E285" s="273" t="n"/>
      <c r="F285" s="273" t="n"/>
      <c r="G285" s="231" t="n"/>
      <c r="H285" s="429" t="n"/>
      <c r="I285" s="429" t="n"/>
      <c r="J285" s="430" t="n"/>
      <c r="K285" s="431" t="n"/>
      <c r="L285" s="316" t="n"/>
      <c r="M285" s="316" t="n"/>
      <c r="N285" s="325" t="n"/>
      <c r="O285" s="325" t="n"/>
      <c r="P285" s="432" t="n"/>
      <c r="Q285" s="325" t="n"/>
      <c r="R285" s="325" t="n"/>
      <c r="S285" s="429" t="n"/>
      <c r="T285" s="232" t="n"/>
      <c r="U285" s="232" t="n"/>
      <c r="V285" s="232" t="n"/>
      <c r="W285" s="232" t="n"/>
      <c r="X285" s="233" t="n"/>
      <c r="Y285" s="232" t="n"/>
      <c r="Z285" s="232" t="n"/>
      <c r="AA285" s="232" t="n"/>
      <c r="AB285" s="330" t="n"/>
      <c r="AC285" s="230" t="n"/>
      <c r="AD285" s="331" t="n"/>
      <c r="AE285" s="441" t="n"/>
      <c r="AF285" s="526" t="n"/>
      <c r="AH285" s="391" t="n"/>
    </row>
    <row r="286" customFormat="1" s="141">
      <c r="A286" s="251" t="n"/>
      <c r="B286" s="429" t="n"/>
      <c r="C286" s="306" t="n"/>
      <c r="D286" s="420" t="n"/>
      <c r="E286" s="273" t="n"/>
      <c r="F286" s="273" t="n"/>
      <c r="G286" s="231" t="n"/>
      <c r="H286" s="429" t="n"/>
      <c r="I286" s="429" t="n"/>
      <c r="J286" s="430" t="n"/>
      <c r="K286" s="431" t="n"/>
      <c r="L286" s="316" t="n"/>
      <c r="M286" s="316" t="n"/>
      <c r="N286" s="325" t="n"/>
      <c r="O286" s="325" t="n"/>
      <c r="P286" s="432" t="n"/>
      <c r="Q286" s="325" t="n"/>
      <c r="R286" s="325" t="n"/>
      <c r="S286" s="429" t="n"/>
      <c r="T286" s="232" t="n"/>
      <c r="U286" s="232" t="n"/>
      <c r="V286" s="232" t="n"/>
      <c r="W286" s="232" t="n"/>
      <c r="X286" s="233" t="n"/>
      <c r="Y286" s="232" t="n"/>
      <c r="Z286" s="232" t="n"/>
      <c r="AA286" s="232" t="n"/>
      <c r="AB286" s="330" t="n"/>
      <c r="AC286" s="230" t="n"/>
      <c r="AD286" s="331" t="n"/>
      <c r="AE286" s="441" t="n"/>
      <c r="AF286" s="526" t="n"/>
      <c r="AH286" s="391" t="n"/>
    </row>
    <row r="287" customFormat="1" s="141">
      <c r="A287" s="251" t="n"/>
      <c r="B287" s="429" t="n"/>
      <c r="C287" s="306" t="n"/>
      <c r="D287" s="420" t="n"/>
      <c r="E287" s="273" t="n"/>
      <c r="F287" s="273" t="n"/>
      <c r="G287" s="231" t="n"/>
      <c r="H287" s="429" t="n"/>
      <c r="I287" s="429" t="n"/>
      <c r="J287" s="430" t="n"/>
      <c r="K287" s="431" t="n"/>
      <c r="L287" s="316" t="n"/>
      <c r="M287" s="316" t="n"/>
      <c r="N287" s="325" t="n"/>
      <c r="O287" s="325" t="n"/>
      <c r="P287" s="432" t="n"/>
      <c r="Q287" s="325" t="n"/>
      <c r="R287" s="325" t="n"/>
      <c r="S287" s="429" t="n"/>
      <c r="T287" s="232" t="n"/>
      <c r="U287" s="232" t="n"/>
      <c r="V287" s="232" t="n"/>
      <c r="W287" s="232" t="n"/>
      <c r="X287" s="233" t="n"/>
      <c r="Y287" s="232" t="n"/>
      <c r="Z287" s="232" t="n"/>
      <c r="AA287" s="232" t="n"/>
      <c r="AB287" s="330" t="n"/>
      <c r="AC287" s="230" t="n"/>
      <c r="AD287" s="331" t="n"/>
      <c r="AE287" s="441" t="n"/>
      <c r="AF287" s="526" t="n"/>
      <c r="AH287" s="391" t="n"/>
    </row>
    <row r="288" customFormat="1" s="141">
      <c r="A288" s="251" t="n"/>
      <c r="B288" s="429" t="n"/>
      <c r="C288" s="306" t="n"/>
      <c r="D288" s="420" t="n"/>
      <c r="E288" s="273" t="n"/>
      <c r="F288" s="273" t="n"/>
      <c r="G288" s="231" t="n"/>
      <c r="H288" s="429" t="n"/>
      <c r="I288" s="429" t="n"/>
      <c r="J288" s="430" t="n"/>
      <c r="K288" s="431" t="n"/>
      <c r="L288" s="316" t="n"/>
      <c r="M288" s="316" t="n"/>
      <c r="N288" s="325" t="n"/>
      <c r="O288" s="325" t="n"/>
      <c r="P288" s="432" t="n"/>
      <c r="Q288" s="325" t="n"/>
      <c r="R288" s="325" t="n"/>
      <c r="S288" s="429" t="n"/>
      <c r="T288" s="232" t="n"/>
      <c r="U288" s="232" t="n"/>
      <c r="V288" s="232" t="n"/>
      <c r="W288" s="232" t="n"/>
      <c r="X288" s="233" t="n"/>
      <c r="Y288" s="232" t="n"/>
      <c r="Z288" s="232" t="n"/>
      <c r="AA288" s="232" t="n"/>
      <c r="AB288" s="330" t="n"/>
      <c r="AC288" s="230" t="n"/>
      <c r="AD288" s="331" t="n"/>
      <c r="AE288" s="441" t="n"/>
      <c r="AF288" s="526" t="n"/>
      <c r="AH288" s="391" t="n"/>
    </row>
    <row r="289" customFormat="1" s="141">
      <c r="A289" s="251" t="n"/>
      <c r="B289" s="429" t="n"/>
      <c r="C289" s="306" t="n"/>
      <c r="D289" s="420" t="n"/>
      <c r="E289" s="273" t="n"/>
      <c r="F289" s="273" t="n"/>
      <c r="G289" s="231" t="n"/>
      <c r="H289" s="429" t="n"/>
      <c r="I289" s="429" t="n"/>
      <c r="J289" s="430" t="n"/>
      <c r="K289" s="431" t="n"/>
      <c r="L289" s="316" t="n"/>
      <c r="M289" s="316" t="n"/>
      <c r="N289" s="325" t="n"/>
      <c r="O289" s="325" t="n"/>
      <c r="P289" s="432" t="n"/>
      <c r="Q289" s="325" t="n"/>
      <c r="R289" s="325" t="n"/>
      <c r="S289" s="429" t="n"/>
      <c r="T289" s="232" t="n"/>
      <c r="U289" s="232" t="n"/>
      <c r="V289" s="232" t="n"/>
      <c r="W289" s="232" t="n"/>
      <c r="X289" s="233" t="n"/>
      <c r="Y289" s="232" t="n"/>
      <c r="Z289" s="232" t="n"/>
      <c r="AA289" s="232" t="n"/>
      <c r="AB289" s="330" t="n"/>
      <c r="AC289" s="230" t="n"/>
      <c r="AD289" s="331" t="n"/>
      <c r="AE289" s="441" t="n"/>
      <c r="AF289" s="526" t="n"/>
      <c r="AH289" s="391" t="n"/>
    </row>
    <row r="290" customFormat="1" s="141">
      <c r="A290" s="251" t="n"/>
      <c r="B290" s="429" t="n"/>
      <c r="C290" s="306" t="n"/>
      <c r="D290" s="420" t="n"/>
      <c r="E290" s="273" t="n"/>
      <c r="F290" s="273" t="n"/>
      <c r="G290" s="231" t="n"/>
      <c r="H290" s="429" t="n"/>
      <c r="I290" s="429" t="n"/>
      <c r="J290" s="430" t="n"/>
      <c r="K290" s="431" t="n"/>
      <c r="L290" s="316" t="n"/>
      <c r="M290" s="316" t="n"/>
      <c r="N290" s="325" t="n"/>
      <c r="O290" s="325" t="n"/>
      <c r="P290" s="432" t="n"/>
      <c r="Q290" s="325" t="n"/>
      <c r="R290" s="325" t="n"/>
      <c r="S290" s="429" t="n"/>
      <c r="T290" s="232" t="n"/>
      <c r="U290" s="232" t="n"/>
      <c r="V290" s="232" t="n"/>
      <c r="W290" s="232" t="n"/>
      <c r="X290" s="233" t="n"/>
      <c r="Y290" s="232" t="n"/>
      <c r="Z290" s="232" t="n"/>
      <c r="AA290" s="232" t="n"/>
      <c r="AB290" s="330" t="n"/>
      <c r="AC290" s="230" t="n"/>
      <c r="AD290" s="331" t="n"/>
      <c r="AE290" s="441" t="n"/>
      <c r="AF290" s="526" t="n"/>
      <c r="AH290" s="391" t="n"/>
    </row>
    <row r="291" customFormat="1" s="141">
      <c r="A291" s="251" t="n"/>
      <c r="B291" s="429" t="n"/>
      <c r="C291" s="306" t="n"/>
      <c r="D291" s="420" t="n"/>
      <c r="E291" s="273" t="n"/>
      <c r="F291" s="273" t="n"/>
      <c r="G291" s="231" t="n"/>
      <c r="H291" s="429" t="n"/>
      <c r="I291" s="429" t="n"/>
      <c r="J291" s="430" t="n"/>
      <c r="K291" s="431" t="n"/>
      <c r="L291" s="316" t="n"/>
      <c r="M291" s="316" t="n"/>
      <c r="N291" s="325" t="n"/>
      <c r="O291" s="325" t="n"/>
      <c r="P291" s="432" t="n"/>
      <c r="Q291" s="325" t="n"/>
      <c r="R291" s="325" t="n"/>
      <c r="S291" s="429" t="n"/>
      <c r="T291" s="232" t="n"/>
      <c r="U291" s="232" t="n"/>
      <c r="V291" s="232" t="n"/>
      <c r="W291" s="232" t="n"/>
      <c r="X291" s="233" t="n"/>
      <c r="Y291" s="232" t="n"/>
      <c r="Z291" s="232" t="n"/>
      <c r="AA291" s="232" t="n"/>
      <c r="AB291" s="330" t="n"/>
      <c r="AC291" s="230" t="n"/>
      <c r="AD291" s="331" t="n"/>
      <c r="AE291" s="441" t="n"/>
      <c r="AF291" s="526" t="n"/>
      <c r="AH291" s="391" t="n"/>
    </row>
  </sheetData>
  <autoFilter ref="A2:AF100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</autoFilter>
  <mergeCells count="26">
    <mergeCell ref="F13:F15"/>
    <mergeCell ref="P9:P10"/>
    <mergeCell ref="F16:F19"/>
    <mergeCell ref="B11:B12"/>
    <mergeCell ref="K13:K15"/>
    <mergeCell ref="P11:P12"/>
    <mergeCell ref="E9:E10"/>
    <mergeCell ref="K11:K12"/>
    <mergeCell ref="Q9:Q10"/>
    <mergeCell ref="Q13:Q15"/>
    <mergeCell ref="E11:E12"/>
    <mergeCell ref="P16:P19"/>
    <mergeCell ref="B9:B10"/>
    <mergeCell ref="F9:F10"/>
    <mergeCell ref="Q11:Q12"/>
    <mergeCell ref="E16:E19"/>
    <mergeCell ref="F11:F12"/>
    <mergeCell ref="A5:Q5"/>
    <mergeCell ref="E13:E15"/>
    <mergeCell ref="K9:K10"/>
    <mergeCell ref="N6:O6"/>
    <mergeCell ref="B13:B15"/>
    <mergeCell ref="Q16:Q19"/>
    <mergeCell ref="K16:K19"/>
    <mergeCell ref="P13:P15"/>
    <mergeCell ref="B16:B19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95"/>
  <sheetViews>
    <sheetView workbookViewId="0">
      <selection activeCell="M11" sqref="M11"/>
    </sheetView>
  </sheetViews>
  <sheetFormatPr baseColWidth="8" defaultColWidth="10.33203125" defaultRowHeight="13.2"/>
  <cols>
    <col width="5.33203125" customWidth="1" style="42" min="1" max="1"/>
    <col width="12.33203125" customWidth="1" style="791" min="2" max="2"/>
    <col width="16.109375" customWidth="1" style="789" min="3" max="3"/>
    <col width="11.109375" customWidth="1" style="277" min="4" max="4"/>
    <col width="22.33203125" customWidth="1" style="789" min="5" max="5"/>
    <col width="16.44140625" customWidth="1" style="789" min="6" max="6"/>
    <col width="5.109375" customWidth="1" style="790" min="7" max="7"/>
    <col width="5.109375" customWidth="1" style="791" min="8" max="9"/>
    <col width="7.44140625" customWidth="1" style="792" min="10" max="10"/>
    <col width="11.33203125" customWidth="1" style="792" min="11" max="11"/>
    <col width="19.109375" customWidth="1" style="792" min="12" max="12"/>
    <col width="21.109375" customWidth="1" style="793" min="13" max="13"/>
    <col width="23.5546875" customWidth="1" style="141" min="14" max="14"/>
    <col width="16.6640625" customWidth="1" style="142" min="15" max="16"/>
    <col width="10.33203125" customWidth="1" style="791" min="17" max="18"/>
    <col width="13" customWidth="1" style="791" min="19" max="19"/>
    <col width="12.6640625" customWidth="1" style="148" min="20" max="20"/>
    <col width="13.109375" customWidth="1" style="148" min="21" max="21"/>
    <col width="13" customWidth="1" style="148" min="22" max="22"/>
    <col width="11.88671875" customWidth="1" style="148" min="23" max="23"/>
    <col width="15.33203125" customWidth="1" style="149" min="24" max="24"/>
    <col width="14.6640625" customWidth="1" style="148" min="25" max="26"/>
    <col width="11.88671875" customWidth="1" style="148" min="27" max="27"/>
    <col width="16.33203125" customWidth="1" style="148" min="28" max="28"/>
    <col width="19.44140625" customWidth="1" style="148" min="29" max="29"/>
    <col width="20" customWidth="1" style="150" min="30" max="30"/>
    <col width="34.33203125" customWidth="1" style="151" min="31" max="31"/>
    <col width="18.6640625" customWidth="1" style="152" min="32" max="32"/>
    <col width="16.6640625" customWidth="1" style="153" min="33" max="33"/>
    <col width="18.5546875" customWidth="1" style="154" min="34" max="34"/>
    <col width="37.109375" customWidth="1" style="141" min="35" max="35"/>
    <col width="10.33203125" customWidth="1" style="391" min="36" max="199"/>
    <col width="7" customWidth="1" style="391" min="200" max="200"/>
    <col width="13" customWidth="1" style="391" min="201" max="201"/>
    <col width="14.109375" customWidth="1" style="391" min="202" max="202"/>
    <col width="17.33203125" customWidth="1" style="391" min="203" max="203"/>
    <col width="18.88671875" customWidth="1" style="391" min="204" max="204"/>
    <col width="14.109375" customWidth="1" style="391" min="205" max="205"/>
    <col width="21.5546875" customWidth="1" style="391" min="206" max="206"/>
    <col width="14.109375" customWidth="1" style="391" min="207" max="208"/>
    <col width="15" customWidth="1" style="391" min="209" max="209"/>
    <col width="13.33203125" customWidth="1" style="391" min="210" max="210"/>
    <col width="17" customWidth="1" style="391" min="211" max="211"/>
    <col width="24.88671875" customWidth="1" style="391" min="212" max="212"/>
    <col width="14.44140625" customWidth="1" style="391" min="213" max="213"/>
    <col width="23.109375" customWidth="1" style="391" min="214" max="214"/>
    <col width="13.109375" customWidth="1" style="391" min="215" max="215"/>
    <col hidden="1" style="391" min="216" max="219"/>
    <col width="10.33203125" customWidth="1" style="391" min="220" max="455"/>
    <col width="7" customWidth="1" style="391" min="456" max="456"/>
    <col width="13" customWidth="1" style="391" min="457" max="457"/>
    <col width="14.109375" customWidth="1" style="391" min="458" max="458"/>
    <col width="17.33203125" customWidth="1" style="391" min="459" max="459"/>
    <col width="18.88671875" customWidth="1" style="391" min="460" max="460"/>
    <col width="14.109375" customWidth="1" style="391" min="461" max="461"/>
    <col width="21.5546875" customWidth="1" style="391" min="462" max="462"/>
    <col width="14.109375" customWidth="1" style="391" min="463" max="464"/>
    <col width="15" customWidth="1" style="391" min="465" max="465"/>
    <col width="13.33203125" customWidth="1" style="391" min="466" max="466"/>
    <col width="17" customWidth="1" style="391" min="467" max="467"/>
    <col width="24.88671875" customWidth="1" style="391" min="468" max="468"/>
    <col width="14.44140625" customWidth="1" style="391" min="469" max="469"/>
    <col width="23.109375" customWidth="1" style="391" min="470" max="470"/>
    <col width="13.109375" customWidth="1" style="391" min="471" max="471"/>
    <col hidden="1" style="391" min="472" max="475"/>
    <col width="10.33203125" customWidth="1" style="391" min="476" max="711"/>
    <col width="7" customWidth="1" style="391" min="712" max="712"/>
    <col width="13" customWidth="1" style="391" min="713" max="713"/>
    <col width="14.109375" customWidth="1" style="391" min="714" max="714"/>
    <col width="17.33203125" customWidth="1" style="391" min="715" max="715"/>
    <col width="18.88671875" customWidth="1" style="391" min="716" max="716"/>
    <col width="14.109375" customWidth="1" style="391" min="717" max="717"/>
    <col width="21.5546875" customWidth="1" style="391" min="718" max="718"/>
    <col width="14.109375" customWidth="1" style="391" min="719" max="720"/>
    <col width="15" customWidth="1" style="391" min="721" max="721"/>
    <col width="13.33203125" customWidth="1" style="391" min="722" max="722"/>
    <col width="17" customWidth="1" style="391" min="723" max="723"/>
    <col width="24.88671875" customWidth="1" style="391" min="724" max="724"/>
    <col width="14.44140625" customWidth="1" style="391" min="725" max="725"/>
    <col width="23.109375" customWidth="1" style="391" min="726" max="726"/>
    <col width="13.109375" customWidth="1" style="391" min="727" max="727"/>
    <col hidden="1" style="391" min="728" max="731"/>
    <col width="10.33203125" customWidth="1" style="391" min="732" max="967"/>
    <col width="7" customWidth="1" style="391" min="968" max="968"/>
    <col width="13" customWidth="1" style="391" min="969" max="969"/>
    <col width="14.109375" customWidth="1" style="391" min="970" max="970"/>
    <col width="17.33203125" customWidth="1" style="391" min="971" max="971"/>
    <col width="18.88671875" customWidth="1" style="391" min="972" max="972"/>
    <col width="14.109375" customWidth="1" style="391" min="973" max="973"/>
    <col width="21.5546875" customWidth="1" style="391" min="974" max="974"/>
    <col width="14.109375" customWidth="1" style="391" min="975" max="976"/>
    <col width="15" customWidth="1" style="391" min="977" max="977"/>
    <col width="13.33203125" customWidth="1" style="391" min="978" max="978"/>
    <col width="17" customWidth="1" style="391" min="979" max="979"/>
    <col width="24.88671875" customWidth="1" style="391" min="980" max="980"/>
    <col width="14.44140625" customWidth="1" style="391" min="981" max="981"/>
    <col width="23.109375" customWidth="1" style="391" min="982" max="982"/>
    <col width="13.109375" customWidth="1" style="391" min="983" max="983"/>
    <col hidden="1" style="391" min="984" max="987"/>
    <col width="10.33203125" customWidth="1" style="391" min="988" max="1223"/>
    <col width="7" customWidth="1" style="391" min="1224" max="1224"/>
    <col width="13" customWidth="1" style="391" min="1225" max="1225"/>
    <col width="14.109375" customWidth="1" style="391" min="1226" max="1226"/>
    <col width="17.33203125" customWidth="1" style="391" min="1227" max="1227"/>
    <col width="18.88671875" customWidth="1" style="391" min="1228" max="1228"/>
    <col width="14.109375" customWidth="1" style="391" min="1229" max="1229"/>
    <col width="21.5546875" customWidth="1" style="391" min="1230" max="1230"/>
    <col width="14.109375" customWidth="1" style="391" min="1231" max="1232"/>
    <col width="15" customWidth="1" style="391" min="1233" max="1233"/>
    <col width="13.33203125" customWidth="1" style="391" min="1234" max="1234"/>
    <col width="17" customWidth="1" style="391" min="1235" max="1235"/>
    <col width="24.88671875" customWidth="1" style="391" min="1236" max="1236"/>
    <col width="14.44140625" customWidth="1" style="391" min="1237" max="1237"/>
    <col width="23.109375" customWidth="1" style="391" min="1238" max="1238"/>
    <col width="13.109375" customWidth="1" style="391" min="1239" max="1239"/>
    <col hidden="1" style="391" min="1240" max="1243"/>
    <col width="10.33203125" customWidth="1" style="391" min="1244" max="1479"/>
    <col width="7" customWidth="1" style="391" min="1480" max="1480"/>
    <col width="13" customWidth="1" style="391" min="1481" max="1481"/>
    <col width="14.109375" customWidth="1" style="391" min="1482" max="1482"/>
    <col width="17.33203125" customWidth="1" style="391" min="1483" max="1483"/>
    <col width="18.88671875" customWidth="1" style="391" min="1484" max="1484"/>
    <col width="14.109375" customWidth="1" style="391" min="1485" max="1485"/>
    <col width="21.5546875" customWidth="1" style="391" min="1486" max="1486"/>
    <col width="14.109375" customWidth="1" style="391" min="1487" max="1488"/>
    <col width="15" customWidth="1" style="391" min="1489" max="1489"/>
    <col width="13.33203125" customWidth="1" style="391" min="1490" max="1490"/>
    <col width="17" customWidth="1" style="391" min="1491" max="1491"/>
    <col width="24.88671875" customWidth="1" style="391" min="1492" max="1492"/>
    <col width="14.44140625" customWidth="1" style="391" min="1493" max="1493"/>
    <col width="23.109375" customWidth="1" style="391" min="1494" max="1494"/>
    <col width="13.109375" customWidth="1" style="391" min="1495" max="1495"/>
    <col hidden="1" style="391" min="1496" max="1499"/>
    <col width="10.33203125" customWidth="1" style="391" min="1500" max="1735"/>
    <col width="7" customWidth="1" style="391" min="1736" max="1736"/>
    <col width="13" customWidth="1" style="391" min="1737" max="1737"/>
    <col width="14.109375" customWidth="1" style="391" min="1738" max="1738"/>
    <col width="17.33203125" customWidth="1" style="391" min="1739" max="1739"/>
    <col width="18.88671875" customWidth="1" style="391" min="1740" max="1740"/>
    <col width="14.109375" customWidth="1" style="391" min="1741" max="1741"/>
    <col width="21.5546875" customWidth="1" style="391" min="1742" max="1742"/>
    <col width="14.109375" customWidth="1" style="391" min="1743" max="1744"/>
    <col width="15" customWidth="1" style="391" min="1745" max="1745"/>
    <col width="13.33203125" customWidth="1" style="391" min="1746" max="1746"/>
    <col width="17" customWidth="1" style="391" min="1747" max="1747"/>
    <col width="24.88671875" customWidth="1" style="391" min="1748" max="1748"/>
    <col width="14.44140625" customWidth="1" style="391" min="1749" max="1749"/>
    <col width="23.109375" customWidth="1" style="391" min="1750" max="1750"/>
    <col width="13.109375" customWidth="1" style="391" min="1751" max="1751"/>
    <col hidden="1" style="391" min="1752" max="1755"/>
    <col width="10.33203125" customWidth="1" style="391" min="1756" max="1991"/>
    <col width="7" customWidth="1" style="391" min="1992" max="1992"/>
    <col width="13" customWidth="1" style="391" min="1993" max="1993"/>
    <col width="14.109375" customWidth="1" style="391" min="1994" max="1994"/>
    <col width="17.33203125" customWidth="1" style="391" min="1995" max="1995"/>
    <col width="18.88671875" customWidth="1" style="391" min="1996" max="1996"/>
    <col width="14.109375" customWidth="1" style="391" min="1997" max="1997"/>
    <col width="21.5546875" customWidth="1" style="391" min="1998" max="1998"/>
    <col width="14.109375" customWidth="1" style="391" min="1999" max="2000"/>
    <col width="15" customWidth="1" style="391" min="2001" max="2001"/>
    <col width="13.33203125" customWidth="1" style="391" min="2002" max="2002"/>
    <col width="17" customWidth="1" style="391" min="2003" max="2003"/>
    <col width="24.88671875" customWidth="1" style="391" min="2004" max="2004"/>
    <col width="14.44140625" customWidth="1" style="391" min="2005" max="2005"/>
    <col width="23.109375" customWidth="1" style="391" min="2006" max="2006"/>
    <col width="13.109375" customWidth="1" style="391" min="2007" max="2007"/>
    <col hidden="1" style="391" min="2008" max="2011"/>
    <col width="10.33203125" customWidth="1" style="391" min="2012" max="2247"/>
    <col width="7" customWidth="1" style="391" min="2248" max="2248"/>
    <col width="13" customWidth="1" style="391" min="2249" max="2249"/>
    <col width="14.109375" customWidth="1" style="391" min="2250" max="2250"/>
    <col width="17.33203125" customWidth="1" style="391" min="2251" max="2251"/>
    <col width="18.88671875" customWidth="1" style="391" min="2252" max="2252"/>
    <col width="14.109375" customWidth="1" style="391" min="2253" max="2253"/>
    <col width="21.5546875" customWidth="1" style="391" min="2254" max="2254"/>
    <col width="14.109375" customWidth="1" style="391" min="2255" max="2256"/>
    <col width="15" customWidth="1" style="391" min="2257" max="2257"/>
    <col width="13.33203125" customWidth="1" style="391" min="2258" max="2258"/>
    <col width="17" customWidth="1" style="391" min="2259" max="2259"/>
    <col width="24.88671875" customWidth="1" style="391" min="2260" max="2260"/>
    <col width="14.44140625" customWidth="1" style="391" min="2261" max="2261"/>
    <col width="23.109375" customWidth="1" style="391" min="2262" max="2262"/>
    <col width="13.109375" customWidth="1" style="391" min="2263" max="2263"/>
    <col hidden="1" style="391" min="2264" max="2267"/>
    <col width="10.33203125" customWidth="1" style="391" min="2268" max="2503"/>
    <col width="7" customWidth="1" style="391" min="2504" max="2504"/>
    <col width="13" customWidth="1" style="391" min="2505" max="2505"/>
    <col width="14.109375" customWidth="1" style="391" min="2506" max="2506"/>
    <col width="17.33203125" customWidth="1" style="391" min="2507" max="2507"/>
    <col width="18.88671875" customWidth="1" style="391" min="2508" max="2508"/>
    <col width="14.109375" customWidth="1" style="391" min="2509" max="2509"/>
    <col width="21.5546875" customWidth="1" style="391" min="2510" max="2510"/>
    <col width="14.109375" customWidth="1" style="391" min="2511" max="2512"/>
    <col width="15" customWidth="1" style="391" min="2513" max="2513"/>
    <col width="13.33203125" customWidth="1" style="391" min="2514" max="2514"/>
    <col width="17" customWidth="1" style="391" min="2515" max="2515"/>
    <col width="24.88671875" customWidth="1" style="391" min="2516" max="2516"/>
    <col width="14.44140625" customWidth="1" style="391" min="2517" max="2517"/>
    <col width="23.109375" customWidth="1" style="391" min="2518" max="2518"/>
    <col width="13.109375" customWidth="1" style="391" min="2519" max="2519"/>
    <col hidden="1" style="391" min="2520" max="2523"/>
    <col width="10.33203125" customWidth="1" style="391" min="2524" max="2759"/>
    <col width="7" customWidth="1" style="391" min="2760" max="2760"/>
    <col width="13" customWidth="1" style="391" min="2761" max="2761"/>
    <col width="14.109375" customWidth="1" style="391" min="2762" max="2762"/>
    <col width="17.33203125" customWidth="1" style="391" min="2763" max="2763"/>
    <col width="18.88671875" customWidth="1" style="391" min="2764" max="2764"/>
    <col width="14.109375" customWidth="1" style="391" min="2765" max="2765"/>
    <col width="21.5546875" customWidth="1" style="391" min="2766" max="2766"/>
    <col width="14.109375" customWidth="1" style="391" min="2767" max="2768"/>
    <col width="15" customWidth="1" style="391" min="2769" max="2769"/>
    <col width="13.33203125" customWidth="1" style="391" min="2770" max="2770"/>
    <col width="17" customWidth="1" style="391" min="2771" max="2771"/>
    <col width="24.88671875" customWidth="1" style="391" min="2772" max="2772"/>
    <col width="14.44140625" customWidth="1" style="391" min="2773" max="2773"/>
    <col width="23.109375" customWidth="1" style="391" min="2774" max="2774"/>
    <col width="13.109375" customWidth="1" style="391" min="2775" max="2775"/>
    <col hidden="1" style="391" min="2776" max="2779"/>
    <col width="10.33203125" customWidth="1" style="391" min="2780" max="3015"/>
    <col width="7" customWidth="1" style="391" min="3016" max="3016"/>
    <col width="13" customWidth="1" style="391" min="3017" max="3017"/>
    <col width="14.109375" customWidth="1" style="391" min="3018" max="3018"/>
    <col width="17.33203125" customWidth="1" style="391" min="3019" max="3019"/>
    <col width="18.88671875" customWidth="1" style="391" min="3020" max="3020"/>
    <col width="14.109375" customWidth="1" style="391" min="3021" max="3021"/>
    <col width="21.5546875" customWidth="1" style="391" min="3022" max="3022"/>
    <col width="14.109375" customWidth="1" style="391" min="3023" max="3024"/>
    <col width="15" customWidth="1" style="391" min="3025" max="3025"/>
    <col width="13.33203125" customWidth="1" style="391" min="3026" max="3026"/>
    <col width="17" customWidth="1" style="391" min="3027" max="3027"/>
    <col width="24.88671875" customWidth="1" style="391" min="3028" max="3028"/>
    <col width="14.44140625" customWidth="1" style="391" min="3029" max="3029"/>
    <col width="23.109375" customWidth="1" style="391" min="3030" max="3030"/>
    <col width="13.109375" customWidth="1" style="391" min="3031" max="3031"/>
    <col hidden="1" style="391" min="3032" max="3035"/>
    <col width="10.33203125" customWidth="1" style="391" min="3036" max="3271"/>
    <col width="7" customWidth="1" style="391" min="3272" max="3272"/>
    <col width="13" customWidth="1" style="391" min="3273" max="3273"/>
    <col width="14.109375" customWidth="1" style="391" min="3274" max="3274"/>
    <col width="17.33203125" customWidth="1" style="391" min="3275" max="3275"/>
    <col width="18.88671875" customWidth="1" style="391" min="3276" max="3276"/>
    <col width="14.109375" customWidth="1" style="391" min="3277" max="3277"/>
    <col width="21.5546875" customWidth="1" style="391" min="3278" max="3278"/>
    <col width="14.109375" customWidth="1" style="391" min="3279" max="3280"/>
    <col width="15" customWidth="1" style="391" min="3281" max="3281"/>
    <col width="13.33203125" customWidth="1" style="391" min="3282" max="3282"/>
    <col width="17" customWidth="1" style="391" min="3283" max="3283"/>
    <col width="24.88671875" customWidth="1" style="391" min="3284" max="3284"/>
    <col width="14.44140625" customWidth="1" style="391" min="3285" max="3285"/>
    <col width="23.109375" customWidth="1" style="391" min="3286" max="3286"/>
    <col width="13.109375" customWidth="1" style="391" min="3287" max="3287"/>
    <col hidden="1" style="391" min="3288" max="3291"/>
    <col width="10.33203125" customWidth="1" style="391" min="3292" max="3527"/>
    <col width="7" customWidth="1" style="391" min="3528" max="3528"/>
    <col width="13" customWidth="1" style="391" min="3529" max="3529"/>
    <col width="14.109375" customWidth="1" style="391" min="3530" max="3530"/>
    <col width="17.33203125" customWidth="1" style="391" min="3531" max="3531"/>
    <col width="18.88671875" customWidth="1" style="391" min="3532" max="3532"/>
    <col width="14.109375" customWidth="1" style="391" min="3533" max="3533"/>
    <col width="21.5546875" customWidth="1" style="391" min="3534" max="3534"/>
    <col width="14.109375" customWidth="1" style="391" min="3535" max="3536"/>
    <col width="15" customWidth="1" style="391" min="3537" max="3537"/>
    <col width="13.33203125" customWidth="1" style="391" min="3538" max="3538"/>
    <col width="17" customWidth="1" style="391" min="3539" max="3539"/>
    <col width="24.88671875" customWidth="1" style="391" min="3540" max="3540"/>
    <col width="14.44140625" customWidth="1" style="391" min="3541" max="3541"/>
    <col width="23.109375" customWidth="1" style="391" min="3542" max="3542"/>
    <col width="13.109375" customWidth="1" style="391" min="3543" max="3543"/>
    <col hidden="1" style="391" min="3544" max="3547"/>
    <col width="10.33203125" customWidth="1" style="391" min="3548" max="3783"/>
    <col width="7" customWidth="1" style="391" min="3784" max="3784"/>
    <col width="13" customWidth="1" style="391" min="3785" max="3785"/>
    <col width="14.109375" customWidth="1" style="391" min="3786" max="3786"/>
    <col width="17.33203125" customWidth="1" style="391" min="3787" max="3787"/>
    <col width="18.88671875" customWidth="1" style="391" min="3788" max="3788"/>
    <col width="14.109375" customWidth="1" style="391" min="3789" max="3789"/>
    <col width="21.5546875" customWidth="1" style="391" min="3790" max="3790"/>
    <col width="14.109375" customWidth="1" style="391" min="3791" max="3792"/>
    <col width="15" customWidth="1" style="391" min="3793" max="3793"/>
    <col width="13.33203125" customWidth="1" style="391" min="3794" max="3794"/>
    <col width="17" customWidth="1" style="391" min="3795" max="3795"/>
    <col width="24.88671875" customWidth="1" style="391" min="3796" max="3796"/>
    <col width="14.44140625" customWidth="1" style="391" min="3797" max="3797"/>
    <col width="23.109375" customWidth="1" style="391" min="3798" max="3798"/>
    <col width="13.109375" customWidth="1" style="391" min="3799" max="3799"/>
    <col hidden="1" style="391" min="3800" max="3803"/>
    <col width="10.33203125" customWidth="1" style="391" min="3804" max="4039"/>
    <col width="7" customWidth="1" style="391" min="4040" max="4040"/>
    <col width="13" customWidth="1" style="391" min="4041" max="4041"/>
    <col width="14.109375" customWidth="1" style="391" min="4042" max="4042"/>
    <col width="17.33203125" customWidth="1" style="391" min="4043" max="4043"/>
    <col width="18.88671875" customWidth="1" style="391" min="4044" max="4044"/>
    <col width="14.109375" customWidth="1" style="391" min="4045" max="4045"/>
    <col width="21.5546875" customWidth="1" style="391" min="4046" max="4046"/>
    <col width="14.109375" customWidth="1" style="391" min="4047" max="4048"/>
    <col width="15" customWidth="1" style="391" min="4049" max="4049"/>
    <col width="13.33203125" customWidth="1" style="391" min="4050" max="4050"/>
    <col width="17" customWidth="1" style="391" min="4051" max="4051"/>
    <col width="24.88671875" customWidth="1" style="391" min="4052" max="4052"/>
    <col width="14.44140625" customWidth="1" style="391" min="4053" max="4053"/>
    <col width="23.109375" customWidth="1" style="391" min="4054" max="4054"/>
    <col width="13.109375" customWidth="1" style="391" min="4055" max="4055"/>
    <col hidden="1" style="391" min="4056" max="4059"/>
    <col width="10.33203125" customWidth="1" style="391" min="4060" max="4295"/>
    <col width="7" customWidth="1" style="391" min="4296" max="4296"/>
    <col width="13" customWidth="1" style="391" min="4297" max="4297"/>
    <col width="14.109375" customWidth="1" style="391" min="4298" max="4298"/>
    <col width="17.33203125" customWidth="1" style="391" min="4299" max="4299"/>
    <col width="18.88671875" customWidth="1" style="391" min="4300" max="4300"/>
    <col width="14.109375" customWidth="1" style="391" min="4301" max="4301"/>
    <col width="21.5546875" customWidth="1" style="391" min="4302" max="4302"/>
    <col width="14.109375" customWidth="1" style="391" min="4303" max="4304"/>
    <col width="15" customWidth="1" style="391" min="4305" max="4305"/>
    <col width="13.33203125" customWidth="1" style="391" min="4306" max="4306"/>
    <col width="17" customWidth="1" style="391" min="4307" max="4307"/>
    <col width="24.88671875" customWidth="1" style="391" min="4308" max="4308"/>
    <col width="14.44140625" customWidth="1" style="391" min="4309" max="4309"/>
    <col width="23.109375" customWidth="1" style="391" min="4310" max="4310"/>
    <col width="13.109375" customWidth="1" style="391" min="4311" max="4311"/>
    <col hidden="1" style="391" min="4312" max="4315"/>
    <col width="10.33203125" customWidth="1" style="391" min="4316" max="4551"/>
    <col width="7" customWidth="1" style="391" min="4552" max="4552"/>
    <col width="13" customWidth="1" style="391" min="4553" max="4553"/>
    <col width="14.109375" customWidth="1" style="391" min="4554" max="4554"/>
    <col width="17.33203125" customWidth="1" style="391" min="4555" max="4555"/>
    <col width="18.88671875" customWidth="1" style="391" min="4556" max="4556"/>
    <col width="14.109375" customWidth="1" style="391" min="4557" max="4557"/>
    <col width="21.5546875" customWidth="1" style="391" min="4558" max="4558"/>
    <col width="14.109375" customWidth="1" style="391" min="4559" max="4560"/>
    <col width="15" customWidth="1" style="391" min="4561" max="4561"/>
    <col width="13.33203125" customWidth="1" style="391" min="4562" max="4562"/>
    <col width="17" customWidth="1" style="391" min="4563" max="4563"/>
    <col width="24.88671875" customWidth="1" style="391" min="4564" max="4564"/>
    <col width="14.44140625" customWidth="1" style="391" min="4565" max="4565"/>
    <col width="23.109375" customWidth="1" style="391" min="4566" max="4566"/>
    <col width="13.109375" customWidth="1" style="391" min="4567" max="4567"/>
    <col hidden="1" style="391" min="4568" max="4571"/>
    <col width="10.33203125" customWidth="1" style="391" min="4572" max="4807"/>
    <col width="7" customWidth="1" style="391" min="4808" max="4808"/>
    <col width="13" customWidth="1" style="391" min="4809" max="4809"/>
    <col width="14.109375" customWidth="1" style="391" min="4810" max="4810"/>
    <col width="17.33203125" customWidth="1" style="391" min="4811" max="4811"/>
    <col width="18.88671875" customWidth="1" style="391" min="4812" max="4812"/>
    <col width="14.109375" customWidth="1" style="391" min="4813" max="4813"/>
    <col width="21.5546875" customWidth="1" style="391" min="4814" max="4814"/>
    <col width="14.109375" customWidth="1" style="391" min="4815" max="4816"/>
    <col width="15" customWidth="1" style="391" min="4817" max="4817"/>
    <col width="13.33203125" customWidth="1" style="391" min="4818" max="4818"/>
    <col width="17" customWidth="1" style="391" min="4819" max="4819"/>
    <col width="24.88671875" customWidth="1" style="391" min="4820" max="4820"/>
    <col width="14.44140625" customWidth="1" style="391" min="4821" max="4821"/>
    <col width="23.109375" customWidth="1" style="391" min="4822" max="4822"/>
    <col width="13.109375" customWidth="1" style="391" min="4823" max="4823"/>
    <col hidden="1" style="391" min="4824" max="4827"/>
    <col width="10.33203125" customWidth="1" style="391" min="4828" max="5063"/>
    <col width="7" customWidth="1" style="391" min="5064" max="5064"/>
    <col width="13" customWidth="1" style="391" min="5065" max="5065"/>
    <col width="14.109375" customWidth="1" style="391" min="5066" max="5066"/>
    <col width="17.33203125" customWidth="1" style="391" min="5067" max="5067"/>
    <col width="18.88671875" customWidth="1" style="391" min="5068" max="5068"/>
    <col width="14.109375" customWidth="1" style="391" min="5069" max="5069"/>
    <col width="21.5546875" customWidth="1" style="391" min="5070" max="5070"/>
    <col width="14.109375" customWidth="1" style="391" min="5071" max="5072"/>
    <col width="15" customWidth="1" style="391" min="5073" max="5073"/>
    <col width="13.33203125" customWidth="1" style="391" min="5074" max="5074"/>
    <col width="17" customWidth="1" style="391" min="5075" max="5075"/>
    <col width="24.88671875" customWidth="1" style="391" min="5076" max="5076"/>
    <col width="14.44140625" customWidth="1" style="391" min="5077" max="5077"/>
    <col width="23.109375" customWidth="1" style="391" min="5078" max="5078"/>
    <col width="13.109375" customWidth="1" style="391" min="5079" max="5079"/>
    <col hidden="1" style="391" min="5080" max="5083"/>
    <col width="10.33203125" customWidth="1" style="391" min="5084" max="5319"/>
    <col width="7" customWidth="1" style="391" min="5320" max="5320"/>
    <col width="13" customWidth="1" style="391" min="5321" max="5321"/>
    <col width="14.109375" customWidth="1" style="391" min="5322" max="5322"/>
    <col width="17.33203125" customWidth="1" style="391" min="5323" max="5323"/>
    <col width="18.88671875" customWidth="1" style="391" min="5324" max="5324"/>
    <col width="14.109375" customWidth="1" style="391" min="5325" max="5325"/>
    <col width="21.5546875" customWidth="1" style="391" min="5326" max="5326"/>
    <col width="14.109375" customWidth="1" style="391" min="5327" max="5328"/>
    <col width="15" customWidth="1" style="391" min="5329" max="5329"/>
    <col width="13.33203125" customWidth="1" style="391" min="5330" max="5330"/>
    <col width="17" customWidth="1" style="391" min="5331" max="5331"/>
    <col width="24.88671875" customWidth="1" style="391" min="5332" max="5332"/>
    <col width="14.44140625" customWidth="1" style="391" min="5333" max="5333"/>
    <col width="23.109375" customWidth="1" style="391" min="5334" max="5334"/>
    <col width="13.109375" customWidth="1" style="391" min="5335" max="5335"/>
    <col hidden="1" style="391" min="5336" max="5339"/>
    <col width="10.33203125" customWidth="1" style="391" min="5340" max="5575"/>
    <col width="7" customWidth="1" style="391" min="5576" max="5576"/>
    <col width="13" customWidth="1" style="391" min="5577" max="5577"/>
    <col width="14.109375" customWidth="1" style="391" min="5578" max="5578"/>
    <col width="17.33203125" customWidth="1" style="391" min="5579" max="5579"/>
    <col width="18.88671875" customWidth="1" style="391" min="5580" max="5580"/>
    <col width="14.109375" customWidth="1" style="391" min="5581" max="5581"/>
    <col width="21.5546875" customWidth="1" style="391" min="5582" max="5582"/>
    <col width="14.109375" customWidth="1" style="391" min="5583" max="5584"/>
    <col width="15" customWidth="1" style="391" min="5585" max="5585"/>
    <col width="13.33203125" customWidth="1" style="391" min="5586" max="5586"/>
    <col width="17" customWidth="1" style="391" min="5587" max="5587"/>
    <col width="24.88671875" customWidth="1" style="391" min="5588" max="5588"/>
    <col width="14.44140625" customWidth="1" style="391" min="5589" max="5589"/>
    <col width="23.109375" customWidth="1" style="391" min="5590" max="5590"/>
    <col width="13.109375" customWidth="1" style="391" min="5591" max="5591"/>
    <col hidden="1" style="391" min="5592" max="5595"/>
    <col width="10.33203125" customWidth="1" style="391" min="5596" max="5831"/>
    <col width="7" customWidth="1" style="391" min="5832" max="5832"/>
    <col width="13" customWidth="1" style="391" min="5833" max="5833"/>
    <col width="14.109375" customWidth="1" style="391" min="5834" max="5834"/>
    <col width="17.33203125" customWidth="1" style="391" min="5835" max="5835"/>
    <col width="18.88671875" customWidth="1" style="391" min="5836" max="5836"/>
    <col width="14.109375" customWidth="1" style="391" min="5837" max="5837"/>
    <col width="21.5546875" customWidth="1" style="391" min="5838" max="5838"/>
    <col width="14.109375" customWidth="1" style="391" min="5839" max="5840"/>
    <col width="15" customWidth="1" style="391" min="5841" max="5841"/>
    <col width="13.33203125" customWidth="1" style="391" min="5842" max="5842"/>
    <col width="17" customWidth="1" style="391" min="5843" max="5843"/>
    <col width="24.88671875" customWidth="1" style="391" min="5844" max="5844"/>
    <col width="14.44140625" customWidth="1" style="391" min="5845" max="5845"/>
    <col width="23.109375" customWidth="1" style="391" min="5846" max="5846"/>
    <col width="13.109375" customWidth="1" style="391" min="5847" max="5847"/>
    <col hidden="1" style="391" min="5848" max="5851"/>
    <col width="10.33203125" customWidth="1" style="391" min="5852" max="6087"/>
    <col width="7" customWidth="1" style="391" min="6088" max="6088"/>
    <col width="13" customWidth="1" style="391" min="6089" max="6089"/>
    <col width="14.109375" customWidth="1" style="391" min="6090" max="6090"/>
    <col width="17.33203125" customWidth="1" style="391" min="6091" max="6091"/>
    <col width="18.88671875" customWidth="1" style="391" min="6092" max="6092"/>
    <col width="14.109375" customWidth="1" style="391" min="6093" max="6093"/>
    <col width="21.5546875" customWidth="1" style="391" min="6094" max="6094"/>
    <col width="14.109375" customWidth="1" style="391" min="6095" max="6096"/>
    <col width="15" customWidth="1" style="391" min="6097" max="6097"/>
    <col width="13.33203125" customWidth="1" style="391" min="6098" max="6098"/>
    <col width="17" customWidth="1" style="391" min="6099" max="6099"/>
    <col width="24.88671875" customWidth="1" style="391" min="6100" max="6100"/>
    <col width="14.44140625" customWidth="1" style="391" min="6101" max="6101"/>
    <col width="23.109375" customWidth="1" style="391" min="6102" max="6102"/>
    <col width="13.109375" customWidth="1" style="391" min="6103" max="6103"/>
    <col hidden="1" style="391" min="6104" max="6107"/>
    <col width="10.33203125" customWidth="1" style="391" min="6108" max="6343"/>
    <col width="7" customWidth="1" style="391" min="6344" max="6344"/>
    <col width="13" customWidth="1" style="391" min="6345" max="6345"/>
    <col width="14.109375" customWidth="1" style="391" min="6346" max="6346"/>
    <col width="17.33203125" customWidth="1" style="391" min="6347" max="6347"/>
    <col width="18.88671875" customWidth="1" style="391" min="6348" max="6348"/>
    <col width="14.109375" customWidth="1" style="391" min="6349" max="6349"/>
    <col width="21.5546875" customWidth="1" style="391" min="6350" max="6350"/>
    <col width="14.109375" customWidth="1" style="391" min="6351" max="6352"/>
    <col width="15" customWidth="1" style="391" min="6353" max="6353"/>
    <col width="13.33203125" customWidth="1" style="391" min="6354" max="6354"/>
    <col width="17" customWidth="1" style="391" min="6355" max="6355"/>
    <col width="24.88671875" customWidth="1" style="391" min="6356" max="6356"/>
    <col width="14.44140625" customWidth="1" style="391" min="6357" max="6357"/>
    <col width="23.109375" customWidth="1" style="391" min="6358" max="6358"/>
    <col width="13.109375" customWidth="1" style="391" min="6359" max="6359"/>
    <col hidden="1" style="391" min="6360" max="6363"/>
    <col width="10.33203125" customWidth="1" style="391" min="6364" max="6599"/>
    <col width="7" customWidth="1" style="391" min="6600" max="6600"/>
    <col width="13" customWidth="1" style="391" min="6601" max="6601"/>
    <col width="14.109375" customWidth="1" style="391" min="6602" max="6602"/>
    <col width="17.33203125" customWidth="1" style="391" min="6603" max="6603"/>
    <col width="18.88671875" customWidth="1" style="391" min="6604" max="6604"/>
    <col width="14.109375" customWidth="1" style="391" min="6605" max="6605"/>
    <col width="21.5546875" customWidth="1" style="391" min="6606" max="6606"/>
    <col width="14.109375" customWidth="1" style="391" min="6607" max="6608"/>
    <col width="15" customWidth="1" style="391" min="6609" max="6609"/>
    <col width="13.33203125" customWidth="1" style="391" min="6610" max="6610"/>
    <col width="17" customWidth="1" style="391" min="6611" max="6611"/>
    <col width="24.88671875" customWidth="1" style="391" min="6612" max="6612"/>
    <col width="14.44140625" customWidth="1" style="391" min="6613" max="6613"/>
    <col width="23.109375" customWidth="1" style="391" min="6614" max="6614"/>
    <col width="13.109375" customWidth="1" style="391" min="6615" max="6615"/>
    <col hidden="1" style="391" min="6616" max="6619"/>
    <col width="10.33203125" customWidth="1" style="391" min="6620" max="6855"/>
    <col width="7" customWidth="1" style="391" min="6856" max="6856"/>
    <col width="13" customWidth="1" style="391" min="6857" max="6857"/>
    <col width="14.109375" customWidth="1" style="391" min="6858" max="6858"/>
    <col width="17.33203125" customWidth="1" style="391" min="6859" max="6859"/>
    <col width="18.88671875" customWidth="1" style="391" min="6860" max="6860"/>
    <col width="14.109375" customWidth="1" style="391" min="6861" max="6861"/>
    <col width="21.5546875" customWidth="1" style="391" min="6862" max="6862"/>
    <col width="14.109375" customWidth="1" style="391" min="6863" max="6864"/>
    <col width="15" customWidth="1" style="391" min="6865" max="6865"/>
    <col width="13.33203125" customWidth="1" style="391" min="6866" max="6866"/>
    <col width="17" customWidth="1" style="391" min="6867" max="6867"/>
    <col width="24.88671875" customWidth="1" style="391" min="6868" max="6868"/>
    <col width="14.44140625" customWidth="1" style="391" min="6869" max="6869"/>
    <col width="23.109375" customWidth="1" style="391" min="6870" max="6870"/>
    <col width="13.109375" customWidth="1" style="391" min="6871" max="6871"/>
    <col hidden="1" style="391" min="6872" max="6875"/>
    <col width="10.33203125" customWidth="1" style="391" min="6876" max="7111"/>
    <col width="7" customWidth="1" style="391" min="7112" max="7112"/>
    <col width="13" customWidth="1" style="391" min="7113" max="7113"/>
    <col width="14.109375" customWidth="1" style="391" min="7114" max="7114"/>
    <col width="17.33203125" customWidth="1" style="391" min="7115" max="7115"/>
    <col width="18.88671875" customWidth="1" style="391" min="7116" max="7116"/>
    <col width="14.109375" customWidth="1" style="391" min="7117" max="7117"/>
    <col width="21.5546875" customWidth="1" style="391" min="7118" max="7118"/>
    <col width="14.109375" customWidth="1" style="391" min="7119" max="7120"/>
    <col width="15" customWidth="1" style="391" min="7121" max="7121"/>
    <col width="13.33203125" customWidth="1" style="391" min="7122" max="7122"/>
    <col width="17" customWidth="1" style="391" min="7123" max="7123"/>
    <col width="24.88671875" customWidth="1" style="391" min="7124" max="7124"/>
    <col width="14.44140625" customWidth="1" style="391" min="7125" max="7125"/>
    <col width="23.109375" customWidth="1" style="391" min="7126" max="7126"/>
    <col width="13.109375" customWidth="1" style="391" min="7127" max="7127"/>
    <col hidden="1" style="391" min="7128" max="7131"/>
    <col width="10.33203125" customWidth="1" style="391" min="7132" max="7367"/>
    <col width="7" customWidth="1" style="391" min="7368" max="7368"/>
    <col width="13" customWidth="1" style="391" min="7369" max="7369"/>
    <col width="14.109375" customWidth="1" style="391" min="7370" max="7370"/>
    <col width="17.33203125" customWidth="1" style="391" min="7371" max="7371"/>
    <col width="18.88671875" customWidth="1" style="391" min="7372" max="7372"/>
    <col width="14.109375" customWidth="1" style="391" min="7373" max="7373"/>
    <col width="21.5546875" customWidth="1" style="391" min="7374" max="7374"/>
    <col width="14.109375" customWidth="1" style="391" min="7375" max="7376"/>
    <col width="15" customWidth="1" style="391" min="7377" max="7377"/>
    <col width="13.33203125" customWidth="1" style="391" min="7378" max="7378"/>
    <col width="17" customWidth="1" style="391" min="7379" max="7379"/>
    <col width="24.88671875" customWidth="1" style="391" min="7380" max="7380"/>
    <col width="14.44140625" customWidth="1" style="391" min="7381" max="7381"/>
    <col width="23.109375" customWidth="1" style="391" min="7382" max="7382"/>
    <col width="13.109375" customWidth="1" style="391" min="7383" max="7383"/>
    <col hidden="1" style="391" min="7384" max="7387"/>
    <col width="10.33203125" customWidth="1" style="391" min="7388" max="7623"/>
    <col width="7" customWidth="1" style="391" min="7624" max="7624"/>
    <col width="13" customWidth="1" style="391" min="7625" max="7625"/>
    <col width="14.109375" customWidth="1" style="391" min="7626" max="7626"/>
    <col width="17.33203125" customWidth="1" style="391" min="7627" max="7627"/>
    <col width="18.88671875" customWidth="1" style="391" min="7628" max="7628"/>
    <col width="14.109375" customWidth="1" style="391" min="7629" max="7629"/>
    <col width="21.5546875" customWidth="1" style="391" min="7630" max="7630"/>
    <col width="14.109375" customWidth="1" style="391" min="7631" max="7632"/>
    <col width="15" customWidth="1" style="391" min="7633" max="7633"/>
    <col width="13.33203125" customWidth="1" style="391" min="7634" max="7634"/>
    <col width="17" customWidth="1" style="391" min="7635" max="7635"/>
    <col width="24.88671875" customWidth="1" style="391" min="7636" max="7636"/>
    <col width="14.44140625" customWidth="1" style="391" min="7637" max="7637"/>
    <col width="23.109375" customWidth="1" style="391" min="7638" max="7638"/>
    <col width="13.109375" customWidth="1" style="391" min="7639" max="7639"/>
    <col hidden="1" style="391" min="7640" max="7643"/>
    <col width="10.33203125" customWidth="1" style="391" min="7644" max="7879"/>
    <col width="7" customWidth="1" style="391" min="7880" max="7880"/>
    <col width="13" customWidth="1" style="391" min="7881" max="7881"/>
    <col width="14.109375" customWidth="1" style="391" min="7882" max="7882"/>
    <col width="17.33203125" customWidth="1" style="391" min="7883" max="7883"/>
    <col width="18.88671875" customWidth="1" style="391" min="7884" max="7884"/>
    <col width="14.109375" customWidth="1" style="391" min="7885" max="7885"/>
    <col width="21.5546875" customWidth="1" style="391" min="7886" max="7886"/>
    <col width="14.109375" customWidth="1" style="391" min="7887" max="7888"/>
    <col width="15" customWidth="1" style="391" min="7889" max="7889"/>
    <col width="13.33203125" customWidth="1" style="391" min="7890" max="7890"/>
    <col width="17" customWidth="1" style="391" min="7891" max="7891"/>
    <col width="24.88671875" customWidth="1" style="391" min="7892" max="7892"/>
    <col width="14.44140625" customWidth="1" style="391" min="7893" max="7893"/>
    <col width="23.109375" customWidth="1" style="391" min="7894" max="7894"/>
    <col width="13.109375" customWidth="1" style="391" min="7895" max="7895"/>
    <col hidden="1" style="391" min="7896" max="7899"/>
    <col width="10.33203125" customWidth="1" style="391" min="7900" max="8135"/>
    <col width="7" customWidth="1" style="391" min="8136" max="8136"/>
    <col width="13" customWidth="1" style="391" min="8137" max="8137"/>
    <col width="14.109375" customWidth="1" style="391" min="8138" max="8138"/>
    <col width="17.33203125" customWidth="1" style="391" min="8139" max="8139"/>
    <col width="18.88671875" customWidth="1" style="391" min="8140" max="8140"/>
    <col width="14.109375" customWidth="1" style="391" min="8141" max="8141"/>
    <col width="21.5546875" customWidth="1" style="391" min="8142" max="8142"/>
    <col width="14.109375" customWidth="1" style="391" min="8143" max="8144"/>
    <col width="15" customWidth="1" style="391" min="8145" max="8145"/>
    <col width="13.33203125" customWidth="1" style="391" min="8146" max="8146"/>
    <col width="17" customWidth="1" style="391" min="8147" max="8147"/>
    <col width="24.88671875" customWidth="1" style="391" min="8148" max="8148"/>
    <col width="14.44140625" customWidth="1" style="391" min="8149" max="8149"/>
    <col width="23.109375" customWidth="1" style="391" min="8150" max="8150"/>
    <col width="13.109375" customWidth="1" style="391" min="8151" max="8151"/>
    <col hidden="1" style="391" min="8152" max="8155"/>
    <col width="10.33203125" customWidth="1" style="391" min="8156" max="8391"/>
    <col width="7" customWidth="1" style="391" min="8392" max="8392"/>
    <col width="13" customWidth="1" style="391" min="8393" max="8393"/>
    <col width="14.109375" customWidth="1" style="391" min="8394" max="8394"/>
    <col width="17.33203125" customWidth="1" style="391" min="8395" max="8395"/>
    <col width="18.88671875" customWidth="1" style="391" min="8396" max="8396"/>
    <col width="14.109375" customWidth="1" style="391" min="8397" max="8397"/>
    <col width="21.5546875" customWidth="1" style="391" min="8398" max="8398"/>
    <col width="14.109375" customWidth="1" style="391" min="8399" max="8400"/>
    <col width="15" customWidth="1" style="391" min="8401" max="8401"/>
    <col width="13.33203125" customWidth="1" style="391" min="8402" max="8402"/>
    <col width="17" customWidth="1" style="391" min="8403" max="8403"/>
    <col width="24.88671875" customWidth="1" style="391" min="8404" max="8404"/>
    <col width="14.44140625" customWidth="1" style="391" min="8405" max="8405"/>
    <col width="23.109375" customWidth="1" style="391" min="8406" max="8406"/>
    <col width="13.109375" customWidth="1" style="391" min="8407" max="8407"/>
    <col hidden="1" style="391" min="8408" max="8411"/>
    <col width="10.33203125" customWidth="1" style="391" min="8412" max="8647"/>
    <col width="7" customWidth="1" style="391" min="8648" max="8648"/>
    <col width="13" customWidth="1" style="391" min="8649" max="8649"/>
    <col width="14.109375" customWidth="1" style="391" min="8650" max="8650"/>
    <col width="17.33203125" customWidth="1" style="391" min="8651" max="8651"/>
    <col width="18.88671875" customWidth="1" style="391" min="8652" max="8652"/>
    <col width="14.109375" customWidth="1" style="391" min="8653" max="8653"/>
    <col width="21.5546875" customWidth="1" style="391" min="8654" max="8654"/>
    <col width="14.109375" customWidth="1" style="391" min="8655" max="8656"/>
    <col width="15" customWidth="1" style="391" min="8657" max="8657"/>
    <col width="13.33203125" customWidth="1" style="391" min="8658" max="8658"/>
    <col width="17" customWidth="1" style="391" min="8659" max="8659"/>
    <col width="24.88671875" customWidth="1" style="391" min="8660" max="8660"/>
    <col width="14.44140625" customWidth="1" style="391" min="8661" max="8661"/>
    <col width="23.109375" customWidth="1" style="391" min="8662" max="8662"/>
    <col width="13.109375" customWidth="1" style="391" min="8663" max="8663"/>
    <col hidden="1" style="391" min="8664" max="8667"/>
    <col width="10.33203125" customWidth="1" style="391" min="8668" max="8903"/>
    <col width="7" customWidth="1" style="391" min="8904" max="8904"/>
    <col width="13" customWidth="1" style="391" min="8905" max="8905"/>
    <col width="14.109375" customWidth="1" style="391" min="8906" max="8906"/>
    <col width="17.33203125" customWidth="1" style="391" min="8907" max="8907"/>
    <col width="18.88671875" customWidth="1" style="391" min="8908" max="8908"/>
    <col width="14.109375" customWidth="1" style="391" min="8909" max="8909"/>
    <col width="21.5546875" customWidth="1" style="391" min="8910" max="8910"/>
    <col width="14.109375" customWidth="1" style="391" min="8911" max="8912"/>
    <col width="15" customWidth="1" style="391" min="8913" max="8913"/>
    <col width="13.33203125" customWidth="1" style="391" min="8914" max="8914"/>
    <col width="17" customWidth="1" style="391" min="8915" max="8915"/>
    <col width="24.88671875" customWidth="1" style="391" min="8916" max="8916"/>
    <col width="14.44140625" customWidth="1" style="391" min="8917" max="8917"/>
    <col width="23.109375" customWidth="1" style="391" min="8918" max="8918"/>
    <col width="13.109375" customWidth="1" style="391" min="8919" max="8919"/>
    <col hidden="1" style="391" min="8920" max="8923"/>
    <col width="10.33203125" customWidth="1" style="391" min="8924" max="9159"/>
    <col width="7" customWidth="1" style="391" min="9160" max="9160"/>
    <col width="13" customWidth="1" style="391" min="9161" max="9161"/>
    <col width="14.109375" customWidth="1" style="391" min="9162" max="9162"/>
    <col width="17.33203125" customWidth="1" style="391" min="9163" max="9163"/>
    <col width="18.88671875" customWidth="1" style="391" min="9164" max="9164"/>
    <col width="14.109375" customWidth="1" style="391" min="9165" max="9165"/>
    <col width="21.5546875" customWidth="1" style="391" min="9166" max="9166"/>
    <col width="14.109375" customWidth="1" style="391" min="9167" max="9168"/>
    <col width="15" customWidth="1" style="391" min="9169" max="9169"/>
    <col width="13.33203125" customWidth="1" style="391" min="9170" max="9170"/>
    <col width="17" customWidth="1" style="391" min="9171" max="9171"/>
    <col width="24.88671875" customWidth="1" style="391" min="9172" max="9172"/>
    <col width="14.44140625" customWidth="1" style="391" min="9173" max="9173"/>
    <col width="23.109375" customWidth="1" style="391" min="9174" max="9174"/>
    <col width="13.109375" customWidth="1" style="391" min="9175" max="9175"/>
    <col hidden="1" style="391" min="9176" max="9179"/>
    <col width="10.33203125" customWidth="1" style="391" min="9180" max="9415"/>
    <col width="7" customWidth="1" style="391" min="9416" max="9416"/>
    <col width="13" customWidth="1" style="391" min="9417" max="9417"/>
    <col width="14.109375" customWidth="1" style="391" min="9418" max="9418"/>
    <col width="17.33203125" customWidth="1" style="391" min="9419" max="9419"/>
    <col width="18.88671875" customWidth="1" style="391" min="9420" max="9420"/>
    <col width="14.109375" customWidth="1" style="391" min="9421" max="9421"/>
    <col width="21.5546875" customWidth="1" style="391" min="9422" max="9422"/>
    <col width="14.109375" customWidth="1" style="391" min="9423" max="9424"/>
    <col width="15" customWidth="1" style="391" min="9425" max="9425"/>
    <col width="13.33203125" customWidth="1" style="391" min="9426" max="9426"/>
    <col width="17" customWidth="1" style="391" min="9427" max="9427"/>
    <col width="24.88671875" customWidth="1" style="391" min="9428" max="9428"/>
    <col width="14.44140625" customWidth="1" style="391" min="9429" max="9429"/>
    <col width="23.109375" customWidth="1" style="391" min="9430" max="9430"/>
    <col width="13.109375" customWidth="1" style="391" min="9431" max="9431"/>
    <col hidden="1" style="391" min="9432" max="9435"/>
    <col width="10.33203125" customWidth="1" style="391" min="9436" max="9671"/>
    <col width="7" customWidth="1" style="391" min="9672" max="9672"/>
    <col width="13" customWidth="1" style="391" min="9673" max="9673"/>
    <col width="14.109375" customWidth="1" style="391" min="9674" max="9674"/>
    <col width="17.33203125" customWidth="1" style="391" min="9675" max="9675"/>
    <col width="18.88671875" customWidth="1" style="391" min="9676" max="9676"/>
    <col width="14.109375" customWidth="1" style="391" min="9677" max="9677"/>
    <col width="21.5546875" customWidth="1" style="391" min="9678" max="9678"/>
    <col width="14.109375" customWidth="1" style="391" min="9679" max="9680"/>
    <col width="15" customWidth="1" style="391" min="9681" max="9681"/>
    <col width="13.33203125" customWidth="1" style="391" min="9682" max="9682"/>
    <col width="17" customWidth="1" style="391" min="9683" max="9683"/>
    <col width="24.88671875" customWidth="1" style="391" min="9684" max="9684"/>
    <col width="14.44140625" customWidth="1" style="391" min="9685" max="9685"/>
    <col width="23.109375" customWidth="1" style="391" min="9686" max="9686"/>
    <col width="13.109375" customWidth="1" style="391" min="9687" max="9687"/>
    <col hidden="1" style="391" min="9688" max="9691"/>
    <col width="10.33203125" customWidth="1" style="391" min="9692" max="9927"/>
    <col width="7" customWidth="1" style="391" min="9928" max="9928"/>
    <col width="13" customWidth="1" style="391" min="9929" max="9929"/>
    <col width="14.109375" customWidth="1" style="391" min="9930" max="9930"/>
    <col width="17.33203125" customWidth="1" style="391" min="9931" max="9931"/>
    <col width="18.88671875" customWidth="1" style="391" min="9932" max="9932"/>
    <col width="14.109375" customWidth="1" style="391" min="9933" max="9933"/>
    <col width="21.5546875" customWidth="1" style="391" min="9934" max="9934"/>
    <col width="14.109375" customWidth="1" style="391" min="9935" max="9936"/>
    <col width="15" customWidth="1" style="391" min="9937" max="9937"/>
    <col width="13.33203125" customWidth="1" style="391" min="9938" max="9938"/>
    <col width="17" customWidth="1" style="391" min="9939" max="9939"/>
    <col width="24.88671875" customWidth="1" style="391" min="9940" max="9940"/>
    <col width="14.44140625" customWidth="1" style="391" min="9941" max="9941"/>
    <col width="23.109375" customWidth="1" style="391" min="9942" max="9942"/>
    <col width="13.109375" customWidth="1" style="391" min="9943" max="9943"/>
    <col hidden="1" style="391" min="9944" max="9947"/>
    <col width="10.33203125" customWidth="1" style="391" min="9948" max="10183"/>
    <col width="7" customWidth="1" style="391" min="10184" max="10184"/>
    <col width="13" customWidth="1" style="391" min="10185" max="10185"/>
    <col width="14.109375" customWidth="1" style="391" min="10186" max="10186"/>
    <col width="17.33203125" customWidth="1" style="391" min="10187" max="10187"/>
    <col width="18.88671875" customWidth="1" style="391" min="10188" max="10188"/>
    <col width="14.109375" customWidth="1" style="391" min="10189" max="10189"/>
    <col width="21.5546875" customWidth="1" style="391" min="10190" max="10190"/>
    <col width="14.109375" customWidth="1" style="391" min="10191" max="10192"/>
    <col width="15" customWidth="1" style="391" min="10193" max="10193"/>
    <col width="13.33203125" customWidth="1" style="391" min="10194" max="10194"/>
    <col width="17" customWidth="1" style="391" min="10195" max="10195"/>
    <col width="24.88671875" customWidth="1" style="391" min="10196" max="10196"/>
    <col width="14.44140625" customWidth="1" style="391" min="10197" max="10197"/>
    <col width="23.109375" customWidth="1" style="391" min="10198" max="10198"/>
    <col width="13.109375" customWidth="1" style="391" min="10199" max="10199"/>
    <col hidden="1" style="391" min="10200" max="10203"/>
    <col width="10.33203125" customWidth="1" style="391" min="10204" max="10439"/>
    <col width="7" customWidth="1" style="391" min="10440" max="10440"/>
    <col width="13" customWidth="1" style="391" min="10441" max="10441"/>
    <col width="14.109375" customWidth="1" style="391" min="10442" max="10442"/>
    <col width="17.33203125" customWidth="1" style="391" min="10443" max="10443"/>
    <col width="18.88671875" customWidth="1" style="391" min="10444" max="10444"/>
    <col width="14.109375" customWidth="1" style="391" min="10445" max="10445"/>
    <col width="21.5546875" customWidth="1" style="391" min="10446" max="10446"/>
    <col width="14.109375" customWidth="1" style="391" min="10447" max="10448"/>
    <col width="15" customWidth="1" style="391" min="10449" max="10449"/>
    <col width="13.33203125" customWidth="1" style="391" min="10450" max="10450"/>
    <col width="17" customWidth="1" style="391" min="10451" max="10451"/>
    <col width="24.88671875" customWidth="1" style="391" min="10452" max="10452"/>
    <col width="14.44140625" customWidth="1" style="391" min="10453" max="10453"/>
    <col width="23.109375" customWidth="1" style="391" min="10454" max="10454"/>
    <col width="13.109375" customWidth="1" style="391" min="10455" max="10455"/>
    <col hidden="1" style="391" min="10456" max="10459"/>
    <col width="10.33203125" customWidth="1" style="391" min="10460" max="10695"/>
    <col width="7" customWidth="1" style="391" min="10696" max="10696"/>
    <col width="13" customWidth="1" style="391" min="10697" max="10697"/>
    <col width="14.109375" customWidth="1" style="391" min="10698" max="10698"/>
    <col width="17.33203125" customWidth="1" style="391" min="10699" max="10699"/>
    <col width="18.88671875" customWidth="1" style="391" min="10700" max="10700"/>
    <col width="14.109375" customWidth="1" style="391" min="10701" max="10701"/>
    <col width="21.5546875" customWidth="1" style="391" min="10702" max="10702"/>
    <col width="14.109375" customWidth="1" style="391" min="10703" max="10704"/>
    <col width="15" customWidth="1" style="391" min="10705" max="10705"/>
    <col width="13.33203125" customWidth="1" style="391" min="10706" max="10706"/>
    <col width="17" customWidth="1" style="391" min="10707" max="10707"/>
    <col width="24.88671875" customWidth="1" style="391" min="10708" max="10708"/>
    <col width="14.44140625" customWidth="1" style="391" min="10709" max="10709"/>
    <col width="23.109375" customWidth="1" style="391" min="10710" max="10710"/>
    <col width="13.109375" customWidth="1" style="391" min="10711" max="10711"/>
    <col hidden="1" style="391" min="10712" max="10715"/>
    <col width="10.33203125" customWidth="1" style="391" min="10716" max="10951"/>
    <col width="7" customWidth="1" style="391" min="10952" max="10952"/>
    <col width="13" customWidth="1" style="391" min="10953" max="10953"/>
    <col width="14.109375" customWidth="1" style="391" min="10954" max="10954"/>
    <col width="17.33203125" customWidth="1" style="391" min="10955" max="10955"/>
    <col width="18.88671875" customWidth="1" style="391" min="10956" max="10956"/>
    <col width="14.109375" customWidth="1" style="391" min="10957" max="10957"/>
    <col width="21.5546875" customWidth="1" style="391" min="10958" max="10958"/>
    <col width="14.109375" customWidth="1" style="391" min="10959" max="10960"/>
    <col width="15" customWidth="1" style="391" min="10961" max="10961"/>
    <col width="13.33203125" customWidth="1" style="391" min="10962" max="10962"/>
    <col width="17" customWidth="1" style="391" min="10963" max="10963"/>
    <col width="24.88671875" customWidth="1" style="391" min="10964" max="10964"/>
    <col width="14.44140625" customWidth="1" style="391" min="10965" max="10965"/>
    <col width="23.109375" customWidth="1" style="391" min="10966" max="10966"/>
    <col width="13.109375" customWidth="1" style="391" min="10967" max="10967"/>
    <col hidden="1" style="391" min="10968" max="10971"/>
    <col width="10.33203125" customWidth="1" style="391" min="10972" max="11207"/>
    <col width="7" customWidth="1" style="391" min="11208" max="11208"/>
    <col width="13" customWidth="1" style="391" min="11209" max="11209"/>
    <col width="14.109375" customWidth="1" style="391" min="11210" max="11210"/>
    <col width="17.33203125" customWidth="1" style="391" min="11211" max="11211"/>
    <col width="18.88671875" customWidth="1" style="391" min="11212" max="11212"/>
    <col width="14.109375" customWidth="1" style="391" min="11213" max="11213"/>
    <col width="21.5546875" customWidth="1" style="391" min="11214" max="11214"/>
    <col width="14.109375" customWidth="1" style="391" min="11215" max="11216"/>
    <col width="15" customWidth="1" style="391" min="11217" max="11217"/>
    <col width="13.33203125" customWidth="1" style="391" min="11218" max="11218"/>
    <col width="17" customWidth="1" style="391" min="11219" max="11219"/>
    <col width="24.88671875" customWidth="1" style="391" min="11220" max="11220"/>
    <col width="14.44140625" customWidth="1" style="391" min="11221" max="11221"/>
    <col width="23.109375" customWidth="1" style="391" min="11222" max="11222"/>
    <col width="13.109375" customWidth="1" style="391" min="11223" max="11223"/>
    <col hidden="1" style="391" min="11224" max="11227"/>
    <col width="10.33203125" customWidth="1" style="391" min="11228" max="11463"/>
    <col width="7" customWidth="1" style="391" min="11464" max="11464"/>
    <col width="13" customWidth="1" style="391" min="11465" max="11465"/>
    <col width="14.109375" customWidth="1" style="391" min="11466" max="11466"/>
    <col width="17.33203125" customWidth="1" style="391" min="11467" max="11467"/>
    <col width="18.88671875" customWidth="1" style="391" min="11468" max="11468"/>
    <col width="14.109375" customWidth="1" style="391" min="11469" max="11469"/>
    <col width="21.5546875" customWidth="1" style="391" min="11470" max="11470"/>
    <col width="14.109375" customWidth="1" style="391" min="11471" max="11472"/>
    <col width="15" customWidth="1" style="391" min="11473" max="11473"/>
    <col width="13.33203125" customWidth="1" style="391" min="11474" max="11474"/>
    <col width="17" customWidth="1" style="391" min="11475" max="11475"/>
    <col width="24.88671875" customWidth="1" style="391" min="11476" max="11476"/>
    <col width="14.44140625" customWidth="1" style="391" min="11477" max="11477"/>
    <col width="23.109375" customWidth="1" style="391" min="11478" max="11478"/>
    <col width="13.109375" customWidth="1" style="391" min="11479" max="11479"/>
    <col hidden="1" style="391" min="11480" max="11483"/>
    <col width="10.33203125" customWidth="1" style="391" min="11484" max="11719"/>
    <col width="7" customWidth="1" style="391" min="11720" max="11720"/>
    <col width="13" customWidth="1" style="391" min="11721" max="11721"/>
    <col width="14.109375" customWidth="1" style="391" min="11722" max="11722"/>
    <col width="17.33203125" customWidth="1" style="391" min="11723" max="11723"/>
    <col width="18.88671875" customWidth="1" style="391" min="11724" max="11724"/>
    <col width="14.109375" customWidth="1" style="391" min="11725" max="11725"/>
    <col width="21.5546875" customWidth="1" style="391" min="11726" max="11726"/>
    <col width="14.109375" customWidth="1" style="391" min="11727" max="11728"/>
    <col width="15" customWidth="1" style="391" min="11729" max="11729"/>
    <col width="13.33203125" customWidth="1" style="391" min="11730" max="11730"/>
    <col width="17" customWidth="1" style="391" min="11731" max="11731"/>
    <col width="24.88671875" customWidth="1" style="391" min="11732" max="11732"/>
    <col width="14.44140625" customWidth="1" style="391" min="11733" max="11733"/>
    <col width="23.109375" customWidth="1" style="391" min="11734" max="11734"/>
    <col width="13.109375" customWidth="1" style="391" min="11735" max="11735"/>
    <col hidden="1" style="391" min="11736" max="11739"/>
    <col width="10.33203125" customWidth="1" style="391" min="11740" max="11975"/>
    <col width="7" customWidth="1" style="391" min="11976" max="11976"/>
    <col width="13" customWidth="1" style="391" min="11977" max="11977"/>
    <col width="14.109375" customWidth="1" style="391" min="11978" max="11978"/>
    <col width="17.33203125" customWidth="1" style="391" min="11979" max="11979"/>
    <col width="18.88671875" customWidth="1" style="391" min="11980" max="11980"/>
    <col width="14.109375" customWidth="1" style="391" min="11981" max="11981"/>
    <col width="21.5546875" customWidth="1" style="391" min="11982" max="11982"/>
    <col width="14.109375" customWidth="1" style="391" min="11983" max="11984"/>
    <col width="15" customWidth="1" style="391" min="11985" max="11985"/>
    <col width="13.33203125" customWidth="1" style="391" min="11986" max="11986"/>
    <col width="17" customWidth="1" style="391" min="11987" max="11987"/>
    <col width="24.88671875" customWidth="1" style="391" min="11988" max="11988"/>
    <col width="14.44140625" customWidth="1" style="391" min="11989" max="11989"/>
    <col width="23.109375" customWidth="1" style="391" min="11990" max="11990"/>
    <col width="13.109375" customWidth="1" style="391" min="11991" max="11991"/>
    <col hidden="1" style="391" min="11992" max="11995"/>
    <col width="10.33203125" customWidth="1" style="391" min="11996" max="12231"/>
    <col width="7" customWidth="1" style="391" min="12232" max="12232"/>
    <col width="13" customWidth="1" style="391" min="12233" max="12233"/>
    <col width="14.109375" customWidth="1" style="391" min="12234" max="12234"/>
    <col width="17.33203125" customWidth="1" style="391" min="12235" max="12235"/>
    <col width="18.88671875" customWidth="1" style="391" min="12236" max="12236"/>
    <col width="14.109375" customWidth="1" style="391" min="12237" max="12237"/>
    <col width="21.5546875" customWidth="1" style="391" min="12238" max="12238"/>
    <col width="14.109375" customWidth="1" style="391" min="12239" max="12240"/>
    <col width="15" customWidth="1" style="391" min="12241" max="12241"/>
    <col width="13.33203125" customWidth="1" style="391" min="12242" max="12242"/>
    <col width="17" customWidth="1" style="391" min="12243" max="12243"/>
    <col width="24.88671875" customWidth="1" style="391" min="12244" max="12244"/>
    <col width="14.44140625" customWidth="1" style="391" min="12245" max="12245"/>
    <col width="23.109375" customWidth="1" style="391" min="12246" max="12246"/>
    <col width="13.109375" customWidth="1" style="391" min="12247" max="12247"/>
    <col hidden="1" style="391" min="12248" max="12251"/>
    <col width="10.33203125" customWidth="1" style="391" min="12252" max="12487"/>
    <col width="7" customWidth="1" style="391" min="12488" max="12488"/>
    <col width="13" customWidth="1" style="391" min="12489" max="12489"/>
    <col width="14.109375" customWidth="1" style="391" min="12490" max="12490"/>
    <col width="17.33203125" customWidth="1" style="391" min="12491" max="12491"/>
    <col width="18.88671875" customWidth="1" style="391" min="12492" max="12492"/>
    <col width="14.109375" customWidth="1" style="391" min="12493" max="12493"/>
    <col width="21.5546875" customWidth="1" style="391" min="12494" max="12494"/>
    <col width="14.109375" customWidth="1" style="391" min="12495" max="12496"/>
    <col width="15" customWidth="1" style="391" min="12497" max="12497"/>
    <col width="13.33203125" customWidth="1" style="391" min="12498" max="12498"/>
    <col width="17" customWidth="1" style="391" min="12499" max="12499"/>
    <col width="24.88671875" customWidth="1" style="391" min="12500" max="12500"/>
    <col width="14.44140625" customWidth="1" style="391" min="12501" max="12501"/>
    <col width="23.109375" customWidth="1" style="391" min="12502" max="12502"/>
    <col width="13.109375" customWidth="1" style="391" min="12503" max="12503"/>
    <col hidden="1" style="391" min="12504" max="12507"/>
    <col width="10.33203125" customWidth="1" style="391" min="12508" max="12743"/>
    <col width="7" customWidth="1" style="391" min="12744" max="12744"/>
    <col width="13" customWidth="1" style="391" min="12745" max="12745"/>
    <col width="14.109375" customWidth="1" style="391" min="12746" max="12746"/>
    <col width="17.33203125" customWidth="1" style="391" min="12747" max="12747"/>
    <col width="18.88671875" customWidth="1" style="391" min="12748" max="12748"/>
    <col width="14.109375" customWidth="1" style="391" min="12749" max="12749"/>
    <col width="21.5546875" customWidth="1" style="391" min="12750" max="12750"/>
    <col width="14.109375" customWidth="1" style="391" min="12751" max="12752"/>
    <col width="15" customWidth="1" style="391" min="12753" max="12753"/>
    <col width="13.33203125" customWidth="1" style="391" min="12754" max="12754"/>
    <col width="17" customWidth="1" style="391" min="12755" max="12755"/>
    <col width="24.88671875" customWidth="1" style="391" min="12756" max="12756"/>
    <col width="14.44140625" customWidth="1" style="391" min="12757" max="12757"/>
    <col width="23.109375" customWidth="1" style="391" min="12758" max="12758"/>
    <col width="13.109375" customWidth="1" style="391" min="12759" max="12759"/>
    <col hidden="1" style="391" min="12760" max="12763"/>
    <col width="10.33203125" customWidth="1" style="391" min="12764" max="12999"/>
    <col width="7" customWidth="1" style="391" min="13000" max="13000"/>
    <col width="13" customWidth="1" style="391" min="13001" max="13001"/>
    <col width="14.109375" customWidth="1" style="391" min="13002" max="13002"/>
    <col width="17.33203125" customWidth="1" style="391" min="13003" max="13003"/>
    <col width="18.88671875" customWidth="1" style="391" min="13004" max="13004"/>
    <col width="14.109375" customWidth="1" style="391" min="13005" max="13005"/>
    <col width="21.5546875" customWidth="1" style="391" min="13006" max="13006"/>
    <col width="14.109375" customWidth="1" style="391" min="13007" max="13008"/>
    <col width="15" customWidth="1" style="391" min="13009" max="13009"/>
    <col width="13.33203125" customWidth="1" style="391" min="13010" max="13010"/>
    <col width="17" customWidth="1" style="391" min="13011" max="13011"/>
    <col width="24.88671875" customWidth="1" style="391" min="13012" max="13012"/>
    <col width="14.44140625" customWidth="1" style="391" min="13013" max="13013"/>
    <col width="23.109375" customWidth="1" style="391" min="13014" max="13014"/>
    <col width="13.109375" customWidth="1" style="391" min="13015" max="13015"/>
    <col hidden="1" style="391" min="13016" max="13019"/>
    <col width="10.33203125" customWidth="1" style="391" min="13020" max="13255"/>
    <col width="7" customWidth="1" style="391" min="13256" max="13256"/>
    <col width="13" customWidth="1" style="391" min="13257" max="13257"/>
    <col width="14.109375" customWidth="1" style="391" min="13258" max="13258"/>
    <col width="17.33203125" customWidth="1" style="391" min="13259" max="13259"/>
    <col width="18.88671875" customWidth="1" style="391" min="13260" max="13260"/>
    <col width="14.109375" customWidth="1" style="391" min="13261" max="13261"/>
    <col width="21.5546875" customWidth="1" style="391" min="13262" max="13262"/>
    <col width="14.109375" customWidth="1" style="391" min="13263" max="13264"/>
    <col width="15" customWidth="1" style="391" min="13265" max="13265"/>
    <col width="13.33203125" customWidth="1" style="391" min="13266" max="13266"/>
    <col width="17" customWidth="1" style="391" min="13267" max="13267"/>
    <col width="24.88671875" customWidth="1" style="391" min="13268" max="13268"/>
    <col width="14.44140625" customWidth="1" style="391" min="13269" max="13269"/>
    <col width="23.109375" customWidth="1" style="391" min="13270" max="13270"/>
    <col width="13.109375" customWidth="1" style="391" min="13271" max="13271"/>
    <col hidden="1" style="391" min="13272" max="13275"/>
    <col width="10.33203125" customWidth="1" style="391" min="13276" max="13511"/>
    <col width="7" customWidth="1" style="391" min="13512" max="13512"/>
    <col width="13" customWidth="1" style="391" min="13513" max="13513"/>
    <col width="14.109375" customWidth="1" style="391" min="13514" max="13514"/>
    <col width="17.33203125" customWidth="1" style="391" min="13515" max="13515"/>
    <col width="18.88671875" customWidth="1" style="391" min="13516" max="13516"/>
    <col width="14.109375" customWidth="1" style="391" min="13517" max="13517"/>
    <col width="21.5546875" customWidth="1" style="391" min="13518" max="13518"/>
    <col width="14.109375" customWidth="1" style="391" min="13519" max="13520"/>
    <col width="15" customWidth="1" style="391" min="13521" max="13521"/>
    <col width="13.33203125" customWidth="1" style="391" min="13522" max="13522"/>
    <col width="17" customWidth="1" style="391" min="13523" max="13523"/>
    <col width="24.88671875" customWidth="1" style="391" min="13524" max="13524"/>
    <col width="14.44140625" customWidth="1" style="391" min="13525" max="13525"/>
    <col width="23.109375" customWidth="1" style="391" min="13526" max="13526"/>
    <col width="13.109375" customWidth="1" style="391" min="13527" max="13527"/>
    <col hidden="1" style="391" min="13528" max="13531"/>
    <col width="10.33203125" customWidth="1" style="391" min="13532" max="13767"/>
    <col width="7" customWidth="1" style="391" min="13768" max="13768"/>
    <col width="13" customWidth="1" style="391" min="13769" max="13769"/>
    <col width="14.109375" customWidth="1" style="391" min="13770" max="13770"/>
    <col width="17.33203125" customWidth="1" style="391" min="13771" max="13771"/>
    <col width="18.88671875" customWidth="1" style="391" min="13772" max="13772"/>
    <col width="14.109375" customWidth="1" style="391" min="13773" max="13773"/>
    <col width="21.5546875" customWidth="1" style="391" min="13774" max="13774"/>
    <col width="14.109375" customWidth="1" style="391" min="13775" max="13776"/>
    <col width="15" customWidth="1" style="391" min="13777" max="13777"/>
    <col width="13.33203125" customWidth="1" style="391" min="13778" max="13778"/>
    <col width="17" customWidth="1" style="391" min="13779" max="13779"/>
    <col width="24.88671875" customWidth="1" style="391" min="13780" max="13780"/>
    <col width="14.44140625" customWidth="1" style="391" min="13781" max="13781"/>
    <col width="23.109375" customWidth="1" style="391" min="13782" max="13782"/>
    <col width="13.109375" customWidth="1" style="391" min="13783" max="13783"/>
    <col hidden="1" style="391" min="13784" max="13787"/>
    <col width="10.33203125" customWidth="1" style="391" min="13788" max="14023"/>
    <col width="7" customWidth="1" style="391" min="14024" max="14024"/>
    <col width="13" customWidth="1" style="391" min="14025" max="14025"/>
    <col width="14.109375" customWidth="1" style="391" min="14026" max="14026"/>
    <col width="17.33203125" customWidth="1" style="391" min="14027" max="14027"/>
    <col width="18.88671875" customWidth="1" style="391" min="14028" max="14028"/>
    <col width="14.109375" customWidth="1" style="391" min="14029" max="14029"/>
    <col width="21.5546875" customWidth="1" style="391" min="14030" max="14030"/>
    <col width="14.109375" customWidth="1" style="391" min="14031" max="14032"/>
    <col width="15" customWidth="1" style="391" min="14033" max="14033"/>
    <col width="13.33203125" customWidth="1" style="391" min="14034" max="14034"/>
    <col width="17" customWidth="1" style="391" min="14035" max="14035"/>
    <col width="24.88671875" customWidth="1" style="391" min="14036" max="14036"/>
    <col width="14.44140625" customWidth="1" style="391" min="14037" max="14037"/>
    <col width="23.109375" customWidth="1" style="391" min="14038" max="14038"/>
    <col width="13.109375" customWidth="1" style="391" min="14039" max="14039"/>
    <col hidden="1" style="391" min="14040" max="14043"/>
    <col width="10.33203125" customWidth="1" style="391" min="14044" max="14279"/>
    <col width="7" customWidth="1" style="391" min="14280" max="14280"/>
    <col width="13" customWidth="1" style="391" min="14281" max="14281"/>
    <col width="14.109375" customWidth="1" style="391" min="14282" max="14282"/>
    <col width="17.33203125" customWidth="1" style="391" min="14283" max="14283"/>
    <col width="18.88671875" customWidth="1" style="391" min="14284" max="14284"/>
    <col width="14.109375" customWidth="1" style="391" min="14285" max="14285"/>
    <col width="21.5546875" customWidth="1" style="391" min="14286" max="14286"/>
    <col width="14.109375" customWidth="1" style="391" min="14287" max="14288"/>
    <col width="15" customWidth="1" style="391" min="14289" max="14289"/>
    <col width="13.33203125" customWidth="1" style="391" min="14290" max="14290"/>
    <col width="17" customWidth="1" style="391" min="14291" max="14291"/>
    <col width="24.88671875" customWidth="1" style="391" min="14292" max="14292"/>
    <col width="14.44140625" customWidth="1" style="391" min="14293" max="14293"/>
    <col width="23.109375" customWidth="1" style="391" min="14294" max="14294"/>
    <col width="13.109375" customWidth="1" style="391" min="14295" max="14295"/>
    <col hidden="1" style="391" min="14296" max="14299"/>
    <col width="10.33203125" customWidth="1" style="391" min="14300" max="14535"/>
    <col width="7" customWidth="1" style="391" min="14536" max="14536"/>
    <col width="13" customWidth="1" style="391" min="14537" max="14537"/>
    <col width="14.109375" customWidth="1" style="391" min="14538" max="14538"/>
    <col width="17.33203125" customWidth="1" style="391" min="14539" max="14539"/>
    <col width="18.88671875" customWidth="1" style="391" min="14540" max="14540"/>
    <col width="14.109375" customWidth="1" style="391" min="14541" max="14541"/>
    <col width="21.5546875" customWidth="1" style="391" min="14542" max="14542"/>
    <col width="14.109375" customWidth="1" style="391" min="14543" max="14544"/>
    <col width="15" customWidth="1" style="391" min="14545" max="14545"/>
    <col width="13.33203125" customWidth="1" style="391" min="14546" max="14546"/>
    <col width="17" customWidth="1" style="391" min="14547" max="14547"/>
    <col width="24.88671875" customWidth="1" style="391" min="14548" max="14548"/>
    <col width="14.44140625" customWidth="1" style="391" min="14549" max="14549"/>
    <col width="23.109375" customWidth="1" style="391" min="14550" max="14550"/>
    <col width="13.109375" customWidth="1" style="391" min="14551" max="14551"/>
    <col hidden="1" style="391" min="14552" max="14555"/>
    <col width="10.33203125" customWidth="1" style="391" min="14556" max="14791"/>
    <col width="7" customWidth="1" style="391" min="14792" max="14792"/>
    <col width="13" customWidth="1" style="391" min="14793" max="14793"/>
    <col width="14.109375" customWidth="1" style="391" min="14794" max="14794"/>
    <col width="17.33203125" customWidth="1" style="391" min="14795" max="14795"/>
    <col width="18.88671875" customWidth="1" style="391" min="14796" max="14796"/>
    <col width="14.109375" customWidth="1" style="391" min="14797" max="14797"/>
    <col width="21.5546875" customWidth="1" style="391" min="14798" max="14798"/>
    <col width="14.109375" customWidth="1" style="391" min="14799" max="14800"/>
    <col width="15" customWidth="1" style="391" min="14801" max="14801"/>
    <col width="13.33203125" customWidth="1" style="391" min="14802" max="14802"/>
    <col width="17" customWidth="1" style="391" min="14803" max="14803"/>
    <col width="24.88671875" customWidth="1" style="391" min="14804" max="14804"/>
    <col width="14.44140625" customWidth="1" style="391" min="14805" max="14805"/>
    <col width="23.109375" customWidth="1" style="391" min="14806" max="14806"/>
    <col width="13.109375" customWidth="1" style="391" min="14807" max="14807"/>
    <col hidden="1" style="391" min="14808" max="14811"/>
    <col width="10.33203125" customWidth="1" style="391" min="14812" max="15047"/>
    <col width="7" customWidth="1" style="391" min="15048" max="15048"/>
    <col width="13" customWidth="1" style="391" min="15049" max="15049"/>
    <col width="14.109375" customWidth="1" style="391" min="15050" max="15050"/>
    <col width="17.33203125" customWidth="1" style="391" min="15051" max="15051"/>
    <col width="18.88671875" customWidth="1" style="391" min="15052" max="15052"/>
    <col width="14.109375" customWidth="1" style="391" min="15053" max="15053"/>
    <col width="21.5546875" customWidth="1" style="391" min="15054" max="15054"/>
    <col width="14.109375" customWidth="1" style="391" min="15055" max="15056"/>
    <col width="15" customWidth="1" style="391" min="15057" max="15057"/>
    <col width="13.33203125" customWidth="1" style="391" min="15058" max="15058"/>
    <col width="17" customWidth="1" style="391" min="15059" max="15059"/>
    <col width="24.88671875" customWidth="1" style="391" min="15060" max="15060"/>
    <col width="14.44140625" customWidth="1" style="391" min="15061" max="15061"/>
    <col width="23.109375" customWidth="1" style="391" min="15062" max="15062"/>
    <col width="13.109375" customWidth="1" style="391" min="15063" max="15063"/>
    <col hidden="1" style="391" min="15064" max="15067"/>
    <col width="10.33203125" customWidth="1" style="391" min="15068" max="15303"/>
    <col width="7" customWidth="1" style="391" min="15304" max="15304"/>
    <col width="13" customWidth="1" style="391" min="15305" max="15305"/>
    <col width="14.109375" customWidth="1" style="391" min="15306" max="15306"/>
    <col width="17.33203125" customWidth="1" style="391" min="15307" max="15307"/>
    <col width="18.88671875" customWidth="1" style="391" min="15308" max="15308"/>
    <col width="14.109375" customWidth="1" style="391" min="15309" max="15309"/>
    <col width="21.5546875" customWidth="1" style="391" min="15310" max="15310"/>
    <col width="14.109375" customWidth="1" style="391" min="15311" max="15312"/>
    <col width="15" customWidth="1" style="391" min="15313" max="15313"/>
    <col width="13.33203125" customWidth="1" style="391" min="15314" max="15314"/>
    <col width="17" customWidth="1" style="391" min="15315" max="15315"/>
    <col width="24.88671875" customWidth="1" style="391" min="15316" max="15316"/>
    <col width="14.44140625" customWidth="1" style="391" min="15317" max="15317"/>
    <col width="23.109375" customWidth="1" style="391" min="15318" max="15318"/>
    <col width="13.109375" customWidth="1" style="391" min="15319" max="15319"/>
    <col hidden="1" style="391" min="15320" max="15323"/>
    <col width="10.33203125" customWidth="1" style="391" min="15324" max="15559"/>
    <col width="7" customWidth="1" style="391" min="15560" max="15560"/>
    <col width="13" customWidth="1" style="391" min="15561" max="15561"/>
    <col width="14.109375" customWidth="1" style="391" min="15562" max="15562"/>
    <col width="17.33203125" customWidth="1" style="391" min="15563" max="15563"/>
    <col width="18.88671875" customWidth="1" style="391" min="15564" max="15564"/>
    <col width="14.109375" customWidth="1" style="391" min="15565" max="15565"/>
    <col width="21.5546875" customWidth="1" style="391" min="15566" max="15566"/>
    <col width="14.109375" customWidth="1" style="391" min="15567" max="15568"/>
    <col width="15" customWidth="1" style="391" min="15569" max="15569"/>
    <col width="13.33203125" customWidth="1" style="391" min="15570" max="15570"/>
    <col width="17" customWidth="1" style="391" min="15571" max="15571"/>
    <col width="24.88671875" customWidth="1" style="391" min="15572" max="15572"/>
    <col width="14.44140625" customWidth="1" style="391" min="15573" max="15573"/>
    <col width="23.109375" customWidth="1" style="391" min="15574" max="15574"/>
    <col width="13.109375" customWidth="1" style="391" min="15575" max="15575"/>
    <col hidden="1" style="391" min="15576" max="15579"/>
    <col width="10.33203125" customWidth="1" style="391" min="15580" max="15815"/>
    <col width="7" customWidth="1" style="391" min="15816" max="15816"/>
    <col width="13" customWidth="1" style="391" min="15817" max="15817"/>
    <col width="14.109375" customWidth="1" style="391" min="15818" max="15818"/>
    <col width="17.33203125" customWidth="1" style="391" min="15819" max="15819"/>
    <col width="18.88671875" customWidth="1" style="391" min="15820" max="15820"/>
    <col width="14.109375" customWidth="1" style="391" min="15821" max="15821"/>
    <col width="21.5546875" customWidth="1" style="391" min="15822" max="15822"/>
    <col width="14.109375" customWidth="1" style="391" min="15823" max="15824"/>
    <col width="15" customWidth="1" style="391" min="15825" max="15825"/>
    <col width="13.33203125" customWidth="1" style="391" min="15826" max="15826"/>
    <col width="17" customWidth="1" style="391" min="15827" max="15827"/>
    <col width="24.88671875" customWidth="1" style="391" min="15828" max="15828"/>
    <col width="14.44140625" customWidth="1" style="391" min="15829" max="15829"/>
    <col width="23.109375" customWidth="1" style="391" min="15830" max="15830"/>
    <col width="13.109375" customWidth="1" style="391" min="15831" max="15831"/>
    <col hidden="1" style="391" min="15832" max="15835"/>
    <col width="10.33203125" customWidth="1" style="391" min="15836" max="16071"/>
    <col width="7" customWidth="1" style="391" min="16072" max="16072"/>
    <col width="13" customWidth="1" style="391" min="16073" max="16073"/>
    <col width="14.109375" customWidth="1" style="391" min="16074" max="16074"/>
    <col width="17.33203125" customWidth="1" style="391" min="16075" max="16075"/>
    <col width="18.88671875" customWidth="1" style="391" min="16076" max="16076"/>
    <col width="14.109375" customWidth="1" style="391" min="16077" max="16077"/>
    <col width="21.5546875" customWidth="1" style="391" min="16078" max="16078"/>
    <col width="14.109375" customWidth="1" style="391" min="16079" max="16080"/>
    <col width="15" customWidth="1" style="391" min="16081" max="16081"/>
    <col width="13.33203125" customWidth="1" style="391" min="16082" max="16082"/>
    <col width="17" customWidth="1" style="391" min="16083" max="16083"/>
    <col width="24.88671875" customWidth="1" style="391" min="16084" max="16084"/>
    <col width="14.44140625" customWidth="1" style="391" min="16085" max="16085"/>
    <col width="23.109375" customWidth="1" style="391" min="16086" max="16086"/>
    <col width="13.109375" customWidth="1" style="391" min="16087" max="16087"/>
    <col hidden="1" style="391" min="16088" max="16091"/>
    <col width="10.33203125" customWidth="1" style="391" min="16092" max="16384"/>
  </cols>
  <sheetData>
    <row r="1" ht="15" customHeight="1">
      <c r="B1" s="275" t="n"/>
      <c r="T1" s="143" t="n"/>
      <c r="U1" s="143" t="n"/>
      <c r="V1" s="143" t="n"/>
      <c r="W1" s="143" t="n"/>
      <c r="X1" s="144" t="n"/>
      <c r="Y1" s="144" t="n"/>
      <c r="Z1" s="144" t="n"/>
      <c r="AA1" s="229" t="n"/>
      <c r="AB1" s="144" t="n"/>
      <c r="AC1" s="144" t="n"/>
      <c r="AD1" s="144" t="n"/>
      <c r="AE1" s="145" t="n"/>
      <c r="AF1" s="144" t="n"/>
      <c r="AG1" s="144" t="n"/>
      <c r="AH1" s="394" t="n"/>
    </row>
    <row r="2" ht="20.25" customFormat="1" customHeight="1" s="795">
      <c r="A2" s="794" t="inlineStr">
        <is>
          <t>THEO DÕI HÀNG HÓA TẠM ỨNG, THANH TOÁN, ĐIỀU XE  - NOVA</t>
        </is>
      </c>
      <c r="Q2" s="146" t="n"/>
      <c r="R2" s="146" t="n"/>
      <c r="S2" s="146" t="n"/>
      <c r="T2" s="146" t="n"/>
      <c r="U2" s="146" t="n"/>
      <c r="V2" s="146" t="n"/>
      <c r="W2" s="146" t="n"/>
      <c r="X2" s="146" t="n"/>
      <c r="Y2" s="146" t="n"/>
      <c r="Z2" s="146" t="n"/>
      <c r="AA2" s="146" t="n"/>
      <c r="AB2" s="146" t="n"/>
      <c r="AC2" s="146" t="n"/>
      <c r="AD2" s="146" t="n"/>
      <c r="AE2" s="146" t="n"/>
      <c r="AF2" s="146" t="n"/>
      <c r="AG2" s="146" t="n"/>
      <c r="AH2" s="525" t="n"/>
    </row>
    <row r="3">
      <c r="B3" s="147" t="n"/>
      <c r="C3" s="280" t="inlineStr">
        <is>
          <t>MST: 3703185737</t>
        </is>
      </c>
      <c r="D3" s="788" t="inlineStr">
        <is>
          <t>Địa chỉ: E5-1 (khu B4), Đường D9, Khu công nghiệp Rạch Bắp, Phường An Tây, Thành phố Bến Cát, Tỉnh Bình Dương, Việt Nam</t>
        </is>
      </c>
      <c r="N3" s="147" t="n"/>
      <c r="AH3" s="526" t="n"/>
    </row>
    <row r="4" ht="39.6" customHeight="1">
      <c r="A4" s="155" t="inlineStr">
        <is>
          <t>STT</t>
        </is>
      </c>
      <c r="B4" s="281" t="inlineStr">
        <is>
          <t>NGÀY GIAO HÀNG</t>
        </is>
      </c>
      <c r="C4" s="282" t="inlineStr">
        <is>
          <t>Số TK</t>
        </is>
      </c>
      <c r="D4" s="283" t="inlineStr">
        <is>
          <t>Ngày ĐK</t>
        </is>
      </c>
      <c r="E4" s="282" t="inlineStr">
        <is>
          <t>NHÀ NK</t>
        </is>
      </c>
      <c r="F4" s="282" t="inlineStr">
        <is>
          <t>JOB</t>
        </is>
      </c>
      <c r="G4" s="284" t="inlineStr">
        <is>
          <t>20'</t>
        </is>
      </c>
      <c r="H4" s="284" t="inlineStr">
        <is>
          <t>40'</t>
        </is>
      </c>
      <c r="I4" s="284" t="inlineStr">
        <is>
          <t>LCL</t>
        </is>
      </c>
      <c r="J4" s="156" t="inlineStr">
        <is>
          <t>LUỒNG</t>
        </is>
      </c>
      <c r="K4" s="156" t="inlineStr">
        <is>
          <t>KHỐI LƯỢNG</t>
        </is>
      </c>
      <c r="L4" s="156" t="inlineStr">
        <is>
          <t>Vận đơn</t>
        </is>
      </c>
      <c r="M4" s="166" t="inlineStr">
        <is>
          <t>SỐ INVOICE</t>
        </is>
      </c>
      <c r="N4" s="157" t="inlineStr">
        <is>
          <t>SỐ CONT/SEAL</t>
        </is>
      </c>
      <c r="O4" s="156" t="inlineStr">
        <is>
          <t>ETA/ETD</t>
        </is>
      </c>
      <c r="P4" s="156" t="inlineStr">
        <is>
          <t>SỐ XE</t>
        </is>
      </c>
      <c r="Q4" s="168" t="inlineStr">
        <is>
          <t>CẢNG ĐẾN</t>
        </is>
      </c>
      <c r="R4" s="168" t="inlineStr">
        <is>
          <t>NƠI ĐẾN</t>
        </is>
      </c>
      <c r="S4" s="167" t="inlineStr">
        <is>
          <t>TÊN HÀNG</t>
        </is>
      </c>
      <c r="T4" s="158" t="inlineStr">
        <is>
          <t>PHỤ PHÍ NÂNG</t>
        </is>
      </c>
      <c r="U4" s="158" t="inlineStr">
        <is>
          <t>PHÍ NÂNG</t>
        </is>
      </c>
      <c r="V4" s="158" t="inlineStr">
        <is>
          <t>PHÍ HẠ</t>
        </is>
      </c>
      <c r="W4" s="159" t="inlineStr">
        <is>
          <t>PHÍ CHỨNG TỪ
(TM)</t>
        </is>
      </c>
      <c r="X4" s="159" t="inlineStr">
        <is>
          <t>PHÍ CHỨNG TỪ
(ST CK)</t>
        </is>
      </c>
      <c r="Y4" s="159" t="inlineStr">
        <is>
          <t>CSHT</t>
        </is>
      </c>
      <c r="Z4" s="577" t="inlineStr">
        <is>
          <t>PHÍ SỬA CHỮA CONT</t>
        </is>
      </c>
      <c r="AA4" s="160" t="inlineStr">
        <is>
          <t>PHÍ DEM/DET</t>
        </is>
      </c>
      <c r="AB4" s="160" t="inlineStr">
        <is>
          <t>TỜ KHAI THỨ 2</t>
        </is>
      </c>
      <c r="AC4" s="160" t="inlineStr">
        <is>
          <t>TỔNG CHI HỘ (CASH)</t>
        </is>
      </c>
      <c r="AD4" s="161" t="inlineStr">
        <is>
          <t>TỔNG CHI HỘ (ST CK)</t>
        </is>
      </c>
      <c r="AE4" s="162" t="inlineStr">
        <is>
          <t>GHI CHÚ PHÁT SINH</t>
        </is>
      </c>
      <c r="AF4" s="159" t="inlineStr">
        <is>
          <t>PHÍ DỊCH VỤ GN</t>
        </is>
      </c>
      <c r="AG4" s="395" t="inlineStr">
        <is>
          <t>DT BẢNG KÊ
(GỒM VAT)</t>
        </is>
      </c>
      <c r="AH4" s="527" t="inlineStr">
        <is>
          <t>GIAO BẢNG KÊ</t>
        </is>
      </c>
      <c r="AI4" s="393" t="n"/>
    </row>
    <row r="5" ht="15.6" customHeight="1">
      <c r="A5" s="787" t="inlineStr">
        <is>
          <t>THÁNG 10/2025</t>
        </is>
      </c>
      <c r="B5" s="706" t="n"/>
      <c r="C5" s="706" t="n"/>
      <c r="D5" s="706" t="n"/>
      <c r="E5" s="706" t="n"/>
      <c r="F5" s="706" t="n"/>
      <c r="G5" s="706" t="n"/>
      <c r="H5" s="706" t="n"/>
      <c r="I5" s="706" t="n"/>
      <c r="J5" s="706" t="n"/>
      <c r="K5" s="706" t="n"/>
      <c r="L5" s="706" t="n"/>
      <c r="M5" s="706" t="n"/>
      <c r="N5" s="707" t="n"/>
      <c r="O5" s="523" t="n"/>
      <c r="P5" s="523" t="n"/>
      <c r="Q5" s="522" t="n"/>
      <c r="R5" s="522" t="n"/>
      <c r="S5" s="466" t="n"/>
      <c r="T5" s="467" t="n"/>
      <c r="U5" s="466" t="n"/>
      <c r="V5" s="466" t="n"/>
      <c r="W5" s="466" t="n"/>
      <c r="X5" s="468" t="n"/>
      <c r="Y5" s="466" t="n"/>
      <c r="Z5" s="466" t="n"/>
      <c r="AA5" s="466" t="n"/>
      <c r="AB5" s="469" t="n"/>
      <c r="AC5" s="469" t="n"/>
      <c r="AD5" s="455" t="n"/>
      <c r="AE5" s="471" t="n"/>
      <c r="AF5" s="472" t="n"/>
      <c r="AG5" s="581" t="n"/>
      <c r="AH5" s="473" t="n"/>
      <c r="AI5" s="791" t="n"/>
      <c r="AJ5" s="791" t="n"/>
      <c r="AK5" s="141" t="n"/>
    </row>
    <row r="6" ht="52.8" customFormat="1" customHeight="1" s="141">
      <c r="A6" s="480" t="n">
        <v>1</v>
      </c>
      <c r="B6" s="603" t="n"/>
      <c r="C6" s="569" t="n"/>
      <c r="D6" s="562" t="n"/>
      <c r="E6" s="420" t="n"/>
      <c r="F6" s="608" t="n"/>
      <c r="G6" s="163" t="n"/>
      <c r="H6" s="163" t="n"/>
      <c r="I6" s="163" t="n"/>
      <c r="J6" s="609" t="n"/>
      <c r="K6" s="421" t="n"/>
      <c r="L6" s="421" t="n"/>
      <c r="M6" s="422" t="n"/>
      <c r="N6" s="571" t="n"/>
      <c r="O6" s="572" t="n"/>
      <c r="P6" s="610" t="n"/>
      <c r="Q6" s="613" t="n"/>
      <c r="R6" s="520" t="n"/>
      <c r="S6" s="615" t="n"/>
      <c r="T6" s="616" t="n"/>
      <c r="U6" s="616" t="n"/>
      <c r="V6" s="616" t="n"/>
      <c r="W6" s="619" t="n"/>
      <c r="X6" s="640" t="n"/>
      <c r="Y6" s="641" t="n"/>
      <c r="Z6" s="573" t="n"/>
      <c r="AA6" s="309" t="n"/>
      <c r="AB6" s="309" t="n"/>
      <c r="AC6" s="524" t="n"/>
      <c r="AD6" s="327" t="n"/>
      <c r="AE6" s="519" t="n"/>
      <c r="AF6" s="580" t="n"/>
      <c r="AG6" s="606" t="n"/>
      <c r="AH6" s="528" t="n"/>
      <c r="AJ6" s="391" t="n"/>
    </row>
    <row r="7" ht="39.6" customFormat="1" customHeight="1" s="141">
      <c r="A7" s="480">
        <f>+A6+1</f>
        <v/>
      </c>
      <c r="B7" s="604" t="n"/>
      <c r="C7" s="569" t="n"/>
      <c r="D7" s="562" t="n"/>
      <c r="E7" s="570" t="n"/>
      <c r="F7" s="608" t="n"/>
      <c r="G7" s="163" t="n"/>
      <c r="H7" s="163" t="n"/>
      <c r="I7" s="163" t="n"/>
      <c r="J7" s="609" t="n"/>
      <c r="K7" s="605" t="n"/>
      <c r="L7" s="421" t="n"/>
      <c r="M7" s="422" t="n"/>
      <c r="N7" s="571" t="n"/>
      <c r="O7" s="572" t="n"/>
      <c r="P7" s="610" t="n"/>
      <c r="Q7" s="613" t="n"/>
      <c r="R7" s="520" t="n"/>
      <c r="S7" s="615" t="n"/>
      <c r="U7" s="616" t="n"/>
      <c r="V7" s="616" t="n"/>
      <c r="W7" s="619" t="n"/>
      <c r="X7" s="640" t="n"/>
      <c r="Y7" s="641" t="n"/>
      <c r="Z7" s="574" t="n"/>
      <c r="AA7" s="309" t="n"/>
      <c r="AB7" s="309" t="n"/>
      <c r="AC7" s="524" t="n"/>
      <c r="AD7" s="327" t="n"/>
      <c r="AE7" s="607" t="n"/>
      <c r="AF7" s="580" t="n"/>
      <c r="AG7" s="606" t="n"/>
      <c r="AH7" s="528" t="n"/>
      <c r="AJ7" s="391" t="n"/>
    </row>
    <row r="8" ht="39.6" customFormat="1" customHeight="1" s="141">
      <c r="A8" s="480">
        <f>+A7+1</f>
        <v/>
      </c>
      <c r="B8" s="521" t="n"/>
      <c r="C8" s="273" t="n"/>
      <c r="D8" s="325" t="n"/>
      <c r="E8" s="420" t="n"/>
      <c r="F8" s="608" t="n"/>
      <c r="G8" s="163" t="n"/>
      <c r="H8" s="457" t="n"/>
      <c r="I8" s="457" t="n"/>
      <c r="J8" s="609" t="n"/>
      <c r="K8" s="605" t="n"/>
      <c r="L8" s="611" t="n"/>
      <c r="M8" s="422" t="n"/>
      <c r="N8" s="571" t="n"/>
      <c r="O8" s="572" t="n"/>
      <c r="P8" s="610" t="n"/>
      <c r="Q8" s="613" t="n"/>
      <c r="R8" s="520" t="n"/>
      <c r="S8" s="615" t="n"/>
      <c r="T8" s="617" t="n"/>
      <c r="U8" s="616" t="n"/>
      <c r="V8" s="618" t="n"/>
      <c r="W8" s="619" t="n"/>
      <c r="X8" s="642" t="n"/>
      <c r="Y8" s="641" t="n"/>
      <c r="Z8" s="574" t="n"/>
      <c r="AA8" s="309" t="n"/>
      <c r="AB8" s="309" t="n"/>
      <c r="AC8" s="524" t="n"/>
      <c r="AD8" s="327" t="n"/>
      <c r="AE8" s="315" t="n"/>
      <c r="AF8" s="580" t="n"/>
      <c r="AG8" s="606" t="n"/>
      <c r="AH8" s="528" t="n"/>
      <c r="AJ8" s="391" t="n"/>
    </row>
    <row r="9" ht="39.6" customFormat="1" customHeight="1" s="141">
      <c r="A9" s="480">
        <f>+A8+1</f>
        <v/>
      </c>
      <c r="B9" s="461" t="n"/>
      <c r="C9" s="273" t="n"/>
      <c r="D9" s="325" t="n"/>
      <c r="E9" s="420" t="n"/>
      <c r="F9" s="608" t="n"/>
      <c r="G9" s="163" t="n"/>
      <c r="H9" s="163" t="n"/>
      <c r="I9" s="163" t="n"/>
      <c r="J9" s="609" t="n"/>
      <c r="K9" s="611" t="n"/>
      <c r="L9" s="326" t="n"/>
      <c r="M9" s="422" t="n"/>
      <c r="N9" s="638" t="n"/>
      <c r="O9" s="572" t="n"/>
      <c r="P9" s="610" t="n"/>
      <c r="Q9" s="613" t="n"/>
      <c r="R9" s="520" t="n"/>
      <c r="S9" s="615" t="n"/>
      <c r="T9" s="617" t="n"/>
      <c r="U9" s="616" t="n"/>
      <c r="V9" s="617" t="n"/>
      <c r="W9" s="617" t="n"/>
      <c r="X9" s="617" t="n"/>
      <c r="Y9" s="641" t="n"/>
      <c r="Z9" s="575" t="n"/>
      <c r="AA9" s="309" t="n"/>
      <c r="AB9" s="309" t="n"/>
      <c r="AC9" s="524" t="n"/>
      <c r="AD9" s="327" t="n"/>
      <c r="AE9" s="620" t="n"/>
      <c r="AF9" s="580" t="n"/>
      <c r="AG9" s="606" t="n"/>
      <c r="AH9" s="528" t="n"/>
      <c r="AJ9" s="391" t="n"/>
    </row>
    <row r="10" ht="26.4" customFormat="1" customHeight="1" s="141">
      <c r="A10" s="480">
        <f>+A9+1</f>
        <v/>
      </c>
      <c r="B10" s="461" t="n"/>
      <c r="C10" s="273" t="n"/>
      <c r="D10" s="325" t="n"/>
      <c r="E10" s="420" t="n"/>
      <c r="F10" s="608" t="n"/>
      <c r="G10" s="457" t="n"/>
      <c r="H10" s="457" t="n"/>
      <c r="I10" s="457" t="n"/>
      <c r="J10" s="609" t="n"/>
      <c r="K10" s="326" t="n"/>
      <c r="L10" s="326" t="n"/>
      <c r="M10" s="305" t="n"/>
      <c r="N10" s="612" t="n"/>
      <c r="O10" s="572" t="n"/>
      <c r="P10" s="610" t="n"/>
      <c r="Q10" s="613" t="n"/>
      <c r="R10" s="520" t="n"/>
      <c r="S10" s="615" t="n"/>
      <c r="T10" s="619" t="n"/>
      <c r="U10" s="616" t="n"/>
      <c r="V10" s="619" t="n"/>
      <c r="W10" s="619" t="n"/>
      <c r="X10" s="640" t="n"/>
      <c r="Y10" s="641" t="n"/>
      <c r="Z10" s="575" t="n"/>
      <c r="AA10" s="309" t="n"/>
      <c r="AB10" s="309" t="n"/>
      <c r="AC10" s="524" t="n"/>
      <c r="AD10" s="327" t="n"/>
      <c r="AE10" s="315" t="n"/>
      <c r="AF10" s="580" t="n"/>
      <c r="AG10" s="606" t="n"/>
      <c r="AH10" s="528" t="n"/>
      <c r="AJ10" s="391" t="n"/>
    </row>
    <row r="11" ht="26.4" customFormat="1" customHeight="1" s="141">
      <c r="A11" s="480">
        <f>+A10+1</f>
        <v/>
      </c>
      <c r="B11" s="461" t="n"/>
      <c r="C11" s="273" t="n"/>
      <c r="D11" s="325" t="n"/>
      <c r="E11" s="570" t="n"/>
      <c r="F11" s="608" t="n"/>
      <c r="G11" s="457" t="n"/>
      <c r="H11" s="457" t="n"/>
      <c r="I11" s="457" t="n"/>
      <c r="J11" s="609" t="n"/>
      <c r="K11" s="326" t="n"/>
      <c r="L11" s="326" t="n"/>
      <c r="M11" s="305" t="n"/>
      <c r="N11" s="612" t="n"/>
      <c r="O11" s="572" t="n"/>
      <c r="P11" s="610" t="n"/>
      <c r="Q11" s="614" t="n"/>
      <c r="R11" s="520" t="n"/>
      <c r="S11" s="615" t="n"/>
      <c r="T11" s="618" t="n"/>
      <c r="U11" s="616" t="n"/>
      <c r="W11" s="619" t="n"/>
      <c r="X11" s="640" t="n"/>
      <c r="Y11" s="641" t="n"/>
      <c r="Z11" s="575" t="n"/>
      <c r="AA11" s="309" t="n"/>
      <c r="AB11" s="309" t="n"/>
      <c r="AC11" s="524" t="n"/>
      <c r="AD11" s="327" t="n"/>
      <c r="AE11" s="620" t="n"/>
      <c r="AF11" s="580" t="n"/>
      <c r="AG11" s="606" t="n"/>
      <c r="AH11" s="528" t="n"/>
      <c r="AJ11" s="391" t="n"/>
    </row>
    <row r="12" ht="39.6" customFormat="1" customHeight="1" s="141">
      <c r="A12" s="480">
        <f>+A11+1</f>
        <v/>
      </c>
      <c r="B12" s="516" t="n"/>
      <c r="C12" s="320" t="n"/>
      <c r="D12" s="321" t="n"/>
      <c r="E12" s="570" t="n"/>
      <c r="F12" s="636" t="n"/>
      <c r="G12" s="457" t="n"/>
      <c r="H12" s="517" t="n"/>
      <c r="I12" s="517" t="n"/>
      <c r="J12" s="637" t="n"/>
      <c r="K12" s="326" t="n"/>
      <c r="L12" s="326" t="n"/>
      <c r="M12" s="305" t="n"/>
      <c r="N12" s="612" t="n"/>
      <c r="O12" s="572" t="n"/>
      <c r="P12" s="610" t="n"/>
      <c r="Q12" s="613" t="n"/>
      <c r="R12" s="520" t="n"/>
      <c r="S12" s="615" t="n"/>
      <c r="T12" s="619" t="n"/>
      <c r="U12" s="616" t="n"/>
      <c r="V12" s="619" t="n"/>
      <c r="W12" s="619" t="n"/>
      <c r="X12" s="640" t="n"/>
      <c r="Y12" s="641" t="n"/>
      <c r="Z12" s="476" t="n"/>
      <c r="AA12" s="476" t="n"/>
      <c r="AB12" s="476" t="n"/>
      <c r="AC12" s="524" t="n"/>
      <c r="AD12" s="478" t="n"/>
      <c r="AE12" s="643" t="n"/>
      <c r="AF12" s="580" t="n"/>
      <c r="AG12" s="606" t="n"/>
      <c r="AH12" s="529" t="n"/>
      <c r="AJ12" s="391" t="n"/>
    </row>
    <row r="13" ht="39.6" customFormat="1" customHeight="1" s="141">
      <c r="A13" s="480">
        <f>+A12+1</f>
        <v/>
      </c>
      <c r="B13" s="461" t="n"/>
      <c r="C13" s="273" t="n"/>
      <c r="D13" s="325" t="n"/>
      <c r="E13" s="420" t="n"/>
      <c r="F13" s="608" t="n"/>
      <c r="G13" s="163" t="n"/>
      <c r="H13" s="269" t="n"/>
      <c r="I13" s="269" t="n"/>
      <c r="J13" s="609" t="n"/>
      <c r="K13" s="326" t="n"/>
      <c r="L13" s="326" t="n"/>
      <c r="M13" s="305" t="n"/>
      <c r="N13" s="612" t="n"/>
      <c r="O13" s="639" t="n"/>
      <c r="P13" s="610" t="n"/>
      <c r="Q13" s="613" t="n"/>
      <c r="R13" s="520" t="n"/>
      <c r="S13" s="615" t="n"/>
      <c r="T13" s="619" t="n"/>
      <c r="U13" s="619" t="n"/>
      <c r="V13" s="619" t="n"/>
      <c r="W13" s="619" t="n"/>
      <c r="X13" s="640" t="n"/>
      <c r="Y13" s="640" t="n"/>
      <c r="Z13" s="575" t="n"/>
      <c r="AA13" s="309" t="n"/>
      <c r="AB13" s="309" t="n"/>
      <c r="AC13" s="524" t="n"/>
      <c r="AD13" s="327" t="n"/>
      <c r="AE13" s="315" t="n"/>
      <c r="AF13" s="580" t="n"/>
      <c r="AG13" s="606" t="n"/>
      <c r="AH13" s="528" t="n"/>
      <c r="AJ13" s="391" t="n"/>
    </row>
    <row r="14" ht="39.6" customFormat="1" customHeight="1" s="141">
      <c r="A14" s="480">
        <f>+A13+1</f>
        <v/>
      </c>
      <c r="B14" s="461" t="n"/>
      <c r="C14" s="273" t="n"/>
      <c r="D14" s="325" t="n"/>
      <c r="E14" s="420" t="n"/>
      <c r="F14" s="608" t="n"/>
      <c r="G14" s="163" t="n"/>
      <c r="H14" s="269" t="n"/>
      <c r="I14" s="269" t="n"/>
      <c r="J14" s="609" t="n"/>
      <c r="K14" s="326" t="n"/>
      <c r="L14" s="326" t="n"/>
      <c r="M14" s="305" t="n"/>
      <c r="N14" s="612" t="n"/>
      <c r="O14" s="639" t="n"/>
      <c r="P14" s="610" t="n"/>
      <c r="Q14" s="613" t="n"/>
      <c r="R14" s="520" t="n"/>
      <c r="S14" s="615" t="n"/>
      <c r="T14" s="619" t="n"/>
      <c r="U14" s="619" t="n"/>
      <c r="V14" s="619" t="n"/>
      <c r="W14" s="619" t="n"/>
      <c r="X14" s="640" t="n"/>
      <c r="Y14" s="640" t="n"/>
      <c r="Z14" s="575" t="n"/>
      <c r="AA14" s="309" t="n"/>
      <c r="AB14" s="309" t="n"/>
      <c r="AC14" s="524" t="n"/>
      <c r="AD14" s="327" t="n"/>
      <c r="AE14" s="315" t="n"/>
      <c r="AF14" s="580" t="n"/>
      <c r="AG14" s="606" t="n"/>
      <c r="AH14" s="528" t="n"/>
      <c r="AJ14" s="391" t="n"/>
    </row>
    <row r="15" customFormat="1" s="141">
      <c r="A15" s="480">
        <f>+A14+1</f>
        <v/>
      </c>
      <c r="B15" s="461" t="n"/>
      <c r="C15" s="320" t="n"/>
      <c r="D15" s="661" t="n"/>
      <c r="E15" s="329" t="n"/>
      <c r="F15" s="608" t="n"/>
      <c r="G15" s="289" t="n"/>
      <c r="H15" s="269" t="n"/>
      <c r="I15" s="269" t="n"/>
      <c r="J15" s="609" t="n"/>
      <c r="K15" s="269" t="n"/>
      <c r="L15" s="326" t="n"/>
      <c r="M15" s="305" t="n"/>
      <c r="N15" s="307" t="n"/>
      <c r="O15" s="462" t="n"/>
      <c r="P15" s="462" t="n"/>
      <c r="Q15" s="308" t="n"/>
      <c r="R15" s="308" t="n"/>
      <c r="S15" s="328" t="n"/>
      <c r="T15" s="309" t="n"/>
      <c r="U15" s="309" t="n"/>
      <c r="V15" s="309" t="n"/>
      <c r="W15" s="309" t="n"/>
      <c r="X15" s="310" t="n"/>
      <c r="Y15" s="309" t="n"/>
      <c r="Z15" s="575" t="n"/>
      <c r="AA15" s="309" t="n"/>
      <c r="AB15" s="309" t="n"/>
      <c r="AC15" s="524" t="n"/>
      <c r="AD15" s="327" t="n"/>
      <c r="AE15" s="315" t="n"/>
      <c r="AF15" s="580" t="n"/>
      <c r="AG15" s="606" t="n"/>
      <c r="AH15" s="528" t="n"/>
      <c r="AJ15" s="391" t="n"/>
    </row>
    <row r="16" customFormat="1" s="141">
      <c r="A16" s="480">
        <f>+A15+1</f>
        <v/>
      </c>
      <c r="B16" s="461" t="n"/>
      <c r="C16" s="273" t="n"/>
      <c r="D16" s="325" t="n"/>
      <c r="E16" s="329" t="n"/>
      <c r="F16" s="313" t="n"/>
      <c r="G16" s="289" t="n"/>
      <c r="H16" s="269" t="n"/>
      <c r="I16" s="269" t="n"/>
      <c r="J16" s="272" t="n"/>
      <c r="K16" s="272" t="n"/>
      <c r="L16" s="272" t="n"/>
      <c r="M16" s="463" t="n"/>
      <c r="N16" s="307" t="n"/>
      <c r="O16" s="462" t="n"/>
      <c r="P16" s="462" t="n"/>
      <c r="Q16" s="308" t="n"/>
      <c r="R16" s="308" t="n"/>
      <c r="S16" s="328" t="n"/>
      <c r="T16" s="309" t="n"/>
      <c r="U16" s="309" t="n"/>
      <c r="V16" s="309" t="n"/>
      <c r="W16" s="309" t="n"/>
      <c r="X16" s="310" t="n"/>
      <c r="Y16" s="309" t="n"/>
      <c r="Z16" s="575" t="n"/>
      <c r="AA16" s="309" t="n"/>
      <c r="AB16" s="309" t="n"/>
      <c r="AC16" s="309" t="n"/>
      <c r="AD16" s="327" t="n"/>
      <c r="AE16" s="315" t="n"/>
      <c r="AF16" s="311" t="n"/>
      <c r="AG16" s="396" t="n"/>
      <c r="AH16" s="528" t="n"/>
      <c r="AJ16" s="391" t="n"/>
    </row>
    <row r="17" customFormat="1" s="141">
      <c r="A17" s="480">
        <f>+A16+1</f>
        <v/>
      </c>
      <c r="B17" s="319" t="n"/>
      <c r="C17" s="320" t="n"/>
      <c r="D17" s="321" t="n"/>
      <c r="E17" s="322" t="n"/>
      <c r="F17" s="323" t="n"/>
      <c r="G17" s="270" t="n"/>
      <c r="H17" s="271" t="n"/>
      <c r="I17" s="271" t="n"/>
      <c r="J17" s="324" t="n"/>
      <c r="K17" s="294" t="n"/>
      <c r="L17" s="294" t="n"/>
      <c r="M17" s="481" t="n"/>
      <c r="N17" s="465" t="n"/>
      <c r="O17" s="474" t="n"/>
      <c r="P17" s="482" t="n"/>
      <c r="Q17" s="475" t="n"/>
      <c r="R17" s="475" t="n"/>
      <c r="S17" s="483" t="n"/>
      <c r="T17" s="476" t="n"/>
      <c r="U17" s="476" t="n"/>
      <c r="V17" s="476" t="n"/>
      <c r="W17" s="476" t="n"/>
      <c r="X17" s="477" t="n"/>
      <c r="Y17" s="476" t="n"/>
      <c r="Z17" s="476" t="n"/>
      <c r="AA17" s="476" t="n"/>
      <c r="AB17" s="476" t="n"/>
      <c r="AC17" s="476" t="n"/>
      <c r="AD17" s="478" t="n"/>
      <c r="AE17" s="479" t="n"/>
      <c r="AF17" s="484" t="n"/>
      <c r="AG17" s="485" t="n"/>
      <c r="AH17" s="528" t="n"/>
      <c r="AJ17" s="391" t="n"/>
    </row>
    <row r="18" customFormat="1" s="141">
      <c r="A18" s="480">
        <f>+A17+1</f>
        <v/>
      </c>
      <c r="B18" s="286" t="n"/>
      <c r="C18" s="287" t="n"/>
      <c r="D18" s="288" t="n"/>
      <c r="E18" s="290" t="n"/>
      <c r="F18" s="291" t="n"/>
      <c r="G18" s="292" t="n"/>
      <c r="H18" s="285" t="n"/>
      <c r="I18" s="285" t="n"/>
      <c r="J18" s="293" t="n"/>
      <c r="K18" s="294" t="n"/>
      <c r="L18" s="294" t="n"/>
      <c r="M18" s="486" t="n"/>
      <c r="N18" s="465" t="n"/>
      <c r="O18" s="487" t="n"/>
      <c r="P18" s="482" t="n"/>
      <c r="Q18" s="488" t="n"/>
      <c r="R18" s="308" t="n"/>
      <c r="S18" s="489" t="n"/>
      <c r="T18" s="490" t="n"/>
      <c r="U18" s="490" t="n"/>
      <c r="V18" s="490" t="n"/>
      <c r="W18" s="490" t="n"/>
      <c r="X18" s="491" t="n"/>
      <c r="Y18" s="490" t="n"/>
      <c r="Z18" s="575" t="n"/>
      <c r="AA18" s="492" t="n"/>
      <c r="AB18" s="490" t="n"/>
      <c r="AC18" s="490" t="n"/>
      <c r="AD18" s="493" t="n"/>
      <c r="AE18" s="494" t="n"/>
      <c r="AF18" s="495" t="n"/>
      <c r="AG18" s="396" t="n"/>
      <c r="AH18" s="528" t="n"/>
      <c r="AJ18" s="391" t="n"/>
    </row>
    <row r="19" customFormat="1" s="141">
      <c r="A19" s="251">
        <f>+A18+1</f>
        <v/>
      </c>
      <c r="B19" s="286" t="n"/>
      <c r="C19" s="287" t="n"/>
      <c r="D19" s="288" t="n"/>
      <c r="E19" s="290" t="n"/>
      <c r="F19" s="291" t="n"/>
      <c r="G19" s="292" t="n"/>
      <c r="H19" s="285" t="n"/>
      <c r="I19" s="285" t="n"/>
      <c r="J19" s="293" t="n"/>
      <c r="K19" s="294" t="n"/>
      <c r="L19" s="294" t="n"/>
      <c r="M19" s="486" t="n"/>
      <c r="N19" s="465" t="n"/>
      <c r="O19" s="487" t="n"/>
      <c r="P19" s="482" t="n"/>
      <c r="Q19" s="488" t="n"/>
      <c r="R19" s="308" t="n"/>
      <c r="S19" s="489" t="n"/>
      <c r="T19" s="490" t="n"/>
      <c r="U19" s="490" t="n"/>
      <c r="V19" s="490" t="n"/>
      <c r="W19" s="490" t="n"/>
      <c r="X19" s="491" t="n"/>
      <c r="Y19" s="490" t="n"/>
      <c r="Z19" s="575" t="n"/>
      <c r="AA19" s="492" t="n"/>
      <c r="AB19" s="490" t="n"/>
      <c r="AC19" s="490" t="n"/>
      <c r="AD19" s="493" t="n"/>
      <c r="AE19" s="494" t="n"/>
      <c r="AF19" s="495" t="n"/>
      <c r="AG19" s="396" t="n"/>
      <c r="AH19" s="528" t="n"/>
      <c r="AJ19" s="391" t="n"/>
    </row>
    <row r="20" customFormat="1" s="141">
      <c r="A20" s="251">
        <f>+A19+1</f>
        <v/>
      </c>
      <c r="B20" s="286" t="n"/>
      <c r="C20" s="287" t="n"/>
      <c r="D20" s="288" t="n"/>
      <c r="E20" s="290" t="n"/>
      <c r="F20" s="291" t="n"/>
      <c r="G20" s="292" t="n"/>
      <c r="H20" s="285" t="n"/>
      <c r="I20" s="285" t="n"/>
      <c r="J20" s="293" t="n"/>
      <c r="K20" s="294" t="n"/>
      <c r="L20" s="294" t="n"/>
      <c r="M20" s="486" t="n"/>
      <c r="N20" s="465" t="n"/>
      <c r="O20" s="487" t="n"/>
      <c r="P20" s="482" t="n"/>
      <c r="Q20" s="488" t="n"/>
      <c r="R20" s="308" t="n"/>
      <c r="S20" s="489" t="n"/>
      <c r="T20" s="490" t="n"/>
      <c r="U20" s="490" t="n"/>
      <c r="V20" s="490" t="n"/>
      <c r="W20" s="490" t="n"/>
      <c r="X20" s="491" t="n"/>
      <c r="Y20" s="490" t="n"/>
      <c r="Z20" s="575" t="n"/>
      <c r="AA20" s="492" t="n"/>
      <c r="AB20" s="490" t="n"/>
      <c r="AC20" s="490" t="n"/>
      <c r="AD20" s="493" t="n"/>
      <c r="AE20" s="494" t="n"/>
      <c r="AF20" s="495" t="n"/>
      <c r="AG20" s="396" t="n"/>
      <c r="AH20" s="528" t="n"/>
      <c r="AJ20" s="391" t="n"/>
    </row>
    <row r="21" customFormat="1" s="141">
      <c r="A21" s="251">
        <f>+A20+1</f>
        <v/>
      </c>
      <c r="B21" s="286" t="n"/>
      <c r="C21" s="287" t="n"/>
      <c r="D21" s="288" t="n"/>
      <c r="E21" s="290" t="n"/>
      <c r="F21" s="291" t="n"/>
      <c r="G21" s="292" t="n"/>
      <c r="H21" s="285" t="n"/>
      <c r="I21" s="285" t="n"/>
      <c r="J21" s="293" t="n"/>
      <c r="K21" s="294" t="n"/>
      <c r="L21" s="294" t="n"/>
      <c r="M21" s="486" t="n"/>
      <c r="N21" s="465" t="n"/>
      <c r="O21" s="487" t="n"/>
      <c r="P21" s="482" t="n"/>
      <c r="Q21" s="488" t="n"/>
      <c r="R21" s="308" t="n"/>
      <c r="S21" s="489" t="n"/>
      <c r="T21" s="490" t="n"/>
      <c r="U21" s="490" t="n"/>
      <c r="V21" s="490" t="n"/>
      <c r="W21" s="490" t="n"/>
      <c r="X21" s="491" t="n"/>
      <c r="Y21" s="490" t="n"/>
      <c r="Z21" s="575" t="n"/>
      <c r="AA21" s="492" t="n"/>
      <c r="AB21" s="490" t="n"/>
      <c r="AC21" s="490" t="n"/>
      <c r="AD21" s="493" t="n"/>
      <c r="AE21" s="494" t="n"/>
      <c r="AF21" s="495" t="n"/>
      <c r="AG21" s="396" t="n"/>
      <c r="AH21" s="528" t="n"/>
      <c r="AJ21" s="391" t="n"/>
    </row>
    <row r="22" customFormat="1" s="141">
      <c r="A22" s="251">
        <f>+A21+1</f>
        <v/>
      </c>
      <c r="B22" s="286" t="n"/>
      <c r="C22" s="287" t="n"/>
      <c r="D22" s="288" t="n"/>
      <c r="E22" s="290" t="n"/>
      <c r="F22" s="291" t="n"/>
      <c r="G22" s="292" t="n"/>
      <c r="H22" s="285" t="n"/>
      <c r="I22" s="285" t="n"/>
      <c r="J22" s="293" t="n"/>
      <c r="K22" s="294" t="n"/>
      <c r="L22" s="294" t="n"/>
      <c r="M22" s="486" t="n"/>
      <c r="N22" s="465" t="n"/>
      <c r="O22" s="487" t="n"/>
      <c r="P22" s="482" t="n"/>
      <c r="Q22" s="488" t="n"/>
      <c r="R22" s="308" t="n"/>
      <c r="S22" s="489" t="n"/>
      <c r="T22" s="490" t="n"/>
      <c r="U22" s="490" t="n"/>
      <c r="V22" s="490" t="n"/>
      <c r="W22" s="490" t="n"/>
      <c r="X22" s="491" t="n"/>
      <c r="Y22" s="490" t="n"/>
      <c r="Z22" s="575" t="n"/>
      <c r="AA22" s="492" t="n"/>
      <c r="AB22" s="490" t="n"/>
      <c r="AC22" s="490" t="n"/>
      <c r="AD22" s="493" t="n"/>
      <c r="AE22" s="494" t="n"/>
      <c r="AF22" s="495" t="n"/>
      <c r="AG22" s="396" t="n"/>
      <c r="AH22" s="528" t="n"/>
      <c r="AJ22" s="391" t="n"/>
    </row>
    <row r="23" customFormat="1" s="141">
      <c r="A23" s="251">
        <f>+A22+1</f>
        <v/>
      </c>
      <c r="B23" s="286" t="n"/>
      <c r="C23" s="287" t="n"/>
      <c r="D23" s="288" t="n"/>
      <c r="E23" s="290" t="n"/>
      <c r="F23" s="291" t="n"/>
      <c r="G23" s="292" t="n"/>
      <c r="H23" s="285" t="n"/>
      <c r="I23" s="285" t="n"/>
      <c r="J23" s="293" t="n"/>
      <c r="K23" s="294" t="n"/>
      <c r="L23" s="294" t="n"/>
      <c r="M23" s="486" t="n"/>
      <c r="N23" s="465" t="n"/>
      <c r="O23" s="487" t="n"/>
      <c r="P23" s="482" t="n"/>
      <c r="Q23" s="488" t="n"/>
      <c r="R23" s="308" t="n"/>
      <c r="S23" s="489" t="n"/>
      <c r="T23" s="490" t="n"/>
      <c r="U23" s="490" t="n"/>
      <c r="V23" s="490" t="n"/>
      <c r="W23" s="490" t="n"/>
      <c r="X23" s="491" t="n"/>
      <c r="Y23" s="490" t="n"/>
      <c r="Z23" s="575" t="n"/>
      <c r="AA23" s="492" t="n"/>
      <c r="AB23" s="490" t="n"/>
      <c r="AC23" s="490" t="n"/>
      <c r="AD23" s="493" t="n"/>
      <c r="AE23" s="494" t="n"/>
      <c r="AF23" s="495" t="n"/>
      <c r="AG23" s="396" t="n"/>
      <c r="AH23" s="528" t="n"/>
      <c r="AJ23" s="391" t="n"/>
    </row>
    <row r="24" customFormat="1" s="141">
      <c r="A24" s="251">
        <f>+A23+1</f>
        <v/>
      </c>
      <c r="B24" s="286" t="n"/>
      <c r="C24" s="287" t="n"/>
      <c r="D24" s="288" t="n"/>
      <c r="E24" s="290" t="n"/>
      <c r="F24" s="291" t="n"/>
      <c r="G24" s="292" t="n"/>
      <c r="H24" s="285" t="n"/>
      <c r="I24" s="285" t="n"/>
      <c r="J24" s="293" t="n"/>
      <c r="K24" s="294" t="n"/>
      <c r="L24" s="294" t="n"/>
      <c r="M24" s="486" t="n"/>
      <c r="N24" s="465" t="n"/>
      <c r="O24" s="487" t="n"/>
      <c r="P24" s="482" t="n"/>
      <c r="Q24" s="488" t="n"/>
      <c r="R24" s="308" t="n"/>
      <c r="S24" s="489" t="n"/>
      <c r="T24" s="490" t="n"/>
      <c r="U24" s="490" t="n"/>
      <c r="V24" s="490" t="n"/>
      <c r="W24" s="490" t="n"/>
      <c r="X24" s="491" t="n"/>
      <c r="Y24" s="490" t="n"/>
      <c r="Z24" s="575" t="n"/>
      <c r="AA24" s="492" t="n"/>
      <c r="AB24" s="490" t="n"/>
      <c r="AC24" s="490" t="n"/>
      <c r="AD24" s="493" t="n"/>
      <c r="AE24" s="494" t="n"/>
      <c r="AF24" s="495" t="n"/>
      <c r="AG24" s="396" t="n"/>
      <c r="AH24" s="528" t="n"/>
      <c r="AJ24" s="391" t="n"/>
    </row>
    <row r="25" customFormat="1" s="141">
      <c r="A25" s="251">
        <f>+A24+1</f>
        <v/>
      </c>
      <c r="B25" s="286" t="n"/>
      <c r="C25" s="287" t="n"/>
      <c r="D25" s="288" t="n"/>
      <c r="E25" s="290" t="n"/>
      <c r="F25" s="291" t="n"/>
      <c r="G25" s="292" t="n"/>
      <c r="H25" s="285" t="n"/>
      <c r="I25" s="285" t="n"/>
      <c r="J25" s="293" t="n"/>
      <c r="K25" s="294" t="n"/>
      <c r="L25" s="294" t="n"/>
      <c r="M25" s="486" t="n"/>
      <c r="N25" s="465" t="n"/>
      <c r="O25" s="487" t="n"/>
      <c r="P25" s="482" t="n"/>
      <c r="Q25" s="488" t="n"/>
      <c r="R25" s="308" t="n"/>
      <c r="S25" s="489" t="n"/>
      <c r="T25" s="490" t="n"/>
      <c r="U25" s="490" t="n"/>
      <c r="V25" s="490" t="n"/>
      <c r="W25" s="490" t="n"/>
      <c r="X25" s="491" t="n"/>
      <c r="Y25" s="490" t="n"/>
      <c r="Z25" s="575" t="n"/>
      <c r="AA25" s="492" t="n"/>
      <c r="AB25" s="490" t="n"/>
      <c r="AC25" s="490" t="n"/>
      <c r="AD25" s="493" t="n"/>
      <c r="AE25" s="494" t="n"/>
      <c r="AF25" s="495" t="n"/>
      <c r="AG25" s="396" t="n"/>
      <c r="AH25" s="528" t="n"/>
      <c r="AJ25" s="391" t="n"/>
    </row>
    <row r="26" customFormat="1" s="141">
      <c r="A26" s="251">
        <f>+A25+1</f>
        <v/>
      </c>
      <c r="B26" s="286" t="n"/>
      <c r="C26" s="287" t="n"/>
      <c r="D26" s="288" t="n"/>
      <c r="E26" s="290" t="n"/>
      <c r="F26" s="291" t="n"/>
      <c r="G26" s="292" t="n"/>
      <c r="H26" s="285" t="n"/>
      <c r="I26" s="285" t="n"/>
      <c r="J26" s="293" t="n"/>
      <c r="K26" s="294" t="n"/>
      <c r="L26" s="294" t="n"/>
      <c r="M26" s="486" t="n"/>
      <c r="N26" s="465" t="n"/>
      <c r="O26" s="487" t="n"/>
      <c r="P26" s="482" t="n"/>
      <c r="Q26" s="488" t="n"/>
      <c r="R26" s="308" t="n"/>
      <c r="S26" s="489" t="n"/>
      <c r="T26" s="490" t="n"/>
      <c r="U26" s="490" t="n"/>
      <c r="V26" s="490" t="n"/>
      <c r="W26" s="490" t="n"/>
      <c r="X26" s="491" t="n"/>
      <c r="Y26" s="490" t="n"/>
      <c r="Z26" s="575" t="n"/>
      <c r="AA26" s="492" t="n"/>
      <c r="AB26" s="490" t="n"/>
      <c r="AC26" s="490" t="n"/>
      <c r="AD26" s="493" t="n"/>
      <c r="AE26" s="494" t="n"/>
      <c r="AF26" s="495" t="n"/>
      <c r="AG26" s="396" t="n"/>
      <c r="AH26" s="528" t="n"/>
      <c r="AJ26" s="391" t="n"/>
    </row>
    <row r="27" customFormat="1" s="141">
      <c r="A27" s="251">
        <f>+A26+1</f>
        <v/>
      </c>
      <c r="B27" s="286" t="n"/>
      <c r="C27" s="287" t="n"/>
      <c r="D27" s="288" t="n"/>
      <c r="E27" s="290" t="n"/>
      <c r="F27" s="291" t="n"/>
      <c r="G27" s="292" t="n"/>
      <c r="H27" s="285" t="n"/>
      <c r="I27" s="285" t="n"/>
      <c r="J27" s="293" t="n"/>
      <c r="K27" s="294" t="n"/>
      <c r="L27" s="294" t="n"/>
      <c r="M27" s="165" t="n"/>
      <c r="N27" s="164" t="n"/>
      <c r="O27" s="170" t="n"/>
      <c r="P27" s="390" t="n"/>
      <c r="Q27" s="171" t="n"/>
      <c r="R27" s="274" t="n"/>
      <c r="S27" s="176" t="n"/>
      <c r="T27" s="169" t="n"/>
      <c r="U27" s="169" t="n"/>
      <c r="V27" s="169" t="n"/>
      <c r="W27" s="169" t="n"/>
      <c r="X27" s="174" t="n"/>
      <c r="Y27" s="169" t="n"/>
      <c r="Z27" s="576" t="n"/>
      <c r="AA27" s="228" t="n"/>
      <c r="AB27" s="169" t="n"/>
      <c r="AC27" s="169" t="n"/>
      <c r="AD27" s="173" t="n"/>
      <c r="AE27" s="172" t="n"/>
      <c r="AF27" s="175" t="n"/>
      <c r="AG27" s="397" t="n"/>
      <c r="AH27" s="526" t="n"/>
      <c r="AJ27" s="391" t="n"/>
    </row>
    <row r="28" customFormat="1" s="141">
      <c r="A28" s="251">
        <f>+A27+1</f>
        <v/>
      </c>
      <c r="B28" s="286" t="n"/>
      <c r="C28" s="287" t="n"/>
      <c r="D28" s="288" t="n"/>
      <c r="E28" s="290" t="n"/>
      <c r="F28" s="291" t="n"/>
      <c r="G28" s="292" t="n"/>
      <c r="H28" s="285" t="n"/>
      <c r="I28" s="285" t="n"/>
      <c r="J28" s="293" t="n"/>
      <c r="K28" s="294" t="n"/>
      <c r="L28" s="294" t="n"/>
      <c r="M28" s="165" t="n"/>
      <c r="N28" s="164" t="n"/>
      <c r="O28" s="170" t="n"/>
      <c r="P28" s="390" t="n"/>
      <c r="Q28" s="171" t="n"/>
      <c r="R28" s="274" t="n"/>
      <c r="S28" s="176" t="n"/>
      <c r="T28" s="169" t="n"/>
      <c r="U28" s="169" t="n"/>
      <c r="V28" s="169" t="n"/>
      <c r="W28" s="169" t="n"/>
      <c r="X28" s="174" t="n"/>
      <c r="Y28" s="169" t="n"/>
      <c r="Z28" s="576" t="n"/>
      <c r="AA28" s="228" t="n"/>
      <c r="AB28" s="169" t="n"/>
      <c r="AC28" s="169" t="n"/>
      <c r="AD28" s="173" t="n"/>
      <c r="AE28" s="172" t="n"/>
      <c r="AF28" s="175" t="n"/>
      <c r="AG28" s="397" t="n"/>
      <c r="AH28" s="526" t="n"/>
      <c r="AJ28" s="391" t="n"/>
    </row>
    <row r="29" customFormat="1" s="141">
      <c r="A29" s="251">
        <f>+A28+1</f>
        <v/>
      </c>
      <c r="B29" s="286" t="n"/>
      <c r="C29" s="287" t="n"/>
      <c r="D29" s="288" t="n"/>
      <c r="E29" s="290" t="n"/>
      <c r="F29" s="291" t="n"/>
      <c r="G29" s="292" t="n"/>
      <c r="H29" s="285" t="n"/>
      <c r="I29" s="285" t="n"/>
      <c r="J29" s="293" t="n"/>
      <c r="K29" s="294" t="n"/>
      <c r="L29" s="294" t="n"/>
      <c r="M29" s="165" t="n"/>
      <c r="N29" s="164" t="n"/>
      <c r="O29" s="170" t="n"/>
      <c r="P29" s="390" t="n"/>
      <c r="Q29" s="171" t="n"/>
      <c r="R29" s="274" t="n"/>
      <c r="S29" s="176" t="n"/>
      <c r="T29" s="169" t="n"/>
      <c r="U29" s="169" t="n"/>
      <c r="V29" s="169" t="n"/>
      <c r="W29" s="169" t="n"/>
      <c r="X29" s="174" t="n"/>
      <c r="Y29" s="169" t="n"/>
      <c r="Z29" s="576" t="n"/>
      <c r="AA29" s="228" t="n"/>
      <c r="AB29" s="169" t="n"/>
      <c r="AC29" s="169" t="n"/>
      <c r="AD29" s="173" t="n"/>
      <c r="AE29" s="172" t="n"/>
      <c r="AF29" s="175" t="n"/>
      <c r="AG29" s="397" t="n"/>
      <c r="AH29" s="526" t="n"/>
      <c r="AJ29" s="391" t="n"/>
    </row>
    <row r="30" customFormat="1" s="141">
      <c r="A30" s="251">
        <f>+A29+1</f>
        <v/>
      </c>
      <c r="B30" s="286" t="n"/>
      <c r="C30" s="287" t="n"/>
      <c r="D30" s="288" t="n"/>
      <c r="E30" s="290" t="n"/>
      <c r="F30" s="291" t="n"/>
      <c r="G30" s="292" t="n"/>
      <c r="H30" s="285" t="n"/>
      <c r="I30" s="285" t="n"/>
      <c r="J30" s="293" t="n"/>
      <c r="K30" s="294" t="n"/>
      <c r="L30" s="294" t="n"/>
      <c r="M30" s="165" t="n"/>
      <c r="N30" s="164" t="n"/>
      <c r="O30" s="170" t="n"/>
      <c r="P30" s="390" t="n"/>
      <c r="Q30" s="171" t="n"/>
      <c r="R30" s="274" t="n"/>
      <c r="S30" s="176" t="n"/>
      <c r="T30" s="169" t="n"/>
      <c r="U30" s="169" t="n"/>
      <c r="V30" s="169" t="n"/>
      <c r="W30" s="169" t="n"/>
      <c r="X30" s="174" t="n"/>
      <c r="Y30" s="169" t="n"/>
      <c r="Z30" s="576" t="n"/>
      <c r="AA30" s="228" t="n"/>
      <c r="AB30" s="169" t="n"/>
      <c r="AC30" s="169" t="n"/>
      <c r="AD30" s="173" t="n"/>
      <c r="AE30" s="172" t="n"/>
      <c r="AF30" s="175" t="n"/>
      <c r="AG30" s="397" t="n"/>
      <c r="AH30" s="526" t="n"/>
      <c r="AJ30" s="391" t="n"/>
    </row>
    <row r="31" customFormat="1" s="141">
      <c r="A31" s="251">
        <f>+A30+1</f>
        <v/>
      </c>
      <c r="B31" s="286" t="n"/>
      <c r="C31" s="287" t="n"/>
      <c r="D31" s="288" t="n"/>
      <c r="E31" s="290" t="n"/>
      <c r="F31" s="291" t="n"/>
      <c r="G31" s="292" t="n"/>
      <c r="H31" s="285" t="n"/>
      <c r="I31" s="285" t="n"/>
      <c r="J31" s="293" t="n"/>
      <c r="K31" s="294" t="n"/>
      <c r="L31" s="294" t="n"/>
      <c r="M31" s="165" t="n"/>
      <c r="N31" s="164" t="n"/>
      <c r="O31" s="170" t="n"/>
      <c r="P31" s="390" t="n"/>
      <c r="Q31" s="171" t="n"/>
      <c r="R31" s="274" t="n"/>
      <c r="S31" s="176" t="n"/>
      <c r="T31" s="169" t="n"/>
      <c r="U31" s="169" t="n"/>
      <c r="V31" s="169" t="n"/>
      <c r="W31" s="169" t="n"/>
      <c r="X31" s="174" t="n"/>
      <c r="Y31" s="169" t="n"/>
      <c r="Z31" s="576" t="n"/>
      <c r="AA31" s="228" t="n"/>
      <c r="AB31" s="169" t="n"/>
      <c r="AC31" s="169" t="n"/>
      <c r="AD31" s="173" t="n"/>
      <c r="AE31" s="172" t="n"/>
      <c r="AF31" s="175" t="n"/>
      <c r="AG31" s="397" t="n"/>
      <c r="AH31" s="526" t="n"/>
      <c r="AJ31" s="391" t="n"/>
    </row>
    <row r="32" customFormat="1" s="141">
      <c r="A32" s="251">
        <f>+A31+1</f>
        <v/>
      </c>
      <c r="B32" s="286" t="n"/>
      <c r="C32" s="287" t="n"/>
      <c r="D32" s="288" t="n"/>
      <c r="E32" s="290" t="n"/>
      <c r="F32" s="291" t="n"/>
      <c r="G32" s="292" t="n"/>
      <c r="H32" s="285" t="n"/>
      <c r="I32" s="285" t="n"/>
      <c r="J32" s="293" t="n"/>
      <c r="K32" s="294" t="n"/>
      <c r="L32" s="294" t="n"/>
      <c r="M32" s="165" t="n"/>
      <c r="N32" s="164" t="n"/>
      <c r="O32" s="170" t="n"/>
      <c r="P32" s="390" t="n"/>
      <c r="Q32" s="171" t="n"/>
      <c r="R32" s="274" t="n"/>
      <c r="S32" s="176" t="n"/>
      <c r="T32" s="169" t="n"/>
      <c r="U32" s="169" t="n"/>
      <c r="V32" s="169" t="n"/>
      <c r="W32" s="169" t="n"/>
      <c r="X32" s="174" t="n"/>
      <c r="Y32" s="169" t="n"/>
      <c r="Z32" s="576" t="n"/>
      <c r="AA32" s="228" t="n"/>
      <c r="AB32" s="169" t="n"/>
      <c r="AC32" s="169" t="n"/>
      <c r="AD32" s="173" t="n"/>
      <c r="AE32" s="172" t="n"/>
      <c r="AF32" s="175" t="n"/>
      <c r="AG32" s="397" t="n"/>
      <c r="AH32" s="526" t="n"/>
      <c r="AJ32" s="391" t="n"/>
    </row>
    <row r="33" customFormat="1" s="141">
      <c r="A33" s="251">
        <f>+A32+1</f>
        <v/>
      </c>
      <c r="B33" s="286" t="n"/>
      <c r="C33" s="287" t="n"/>
      <c r="D33" s="288" t="n"/>
      <c r="E33" s="290" t="n"/>
      <c r="F33" s="291" t="n"/>
      <c r="G33" s="292" t="n"/>
      <c r="H33" s="285" t="n"/>
      <c r="I33" s="285" t="n"/>
      <c r="J33" s="293" t="n"/>
      <c r="K33" s="294" t="n"/>
      <c r="L33" s="294" t="n"/>
      <c r="M33" s="165" t="n"/>
      <c r="N33" s="164" t="n"/>
      <c r="O33" s="170" t="n"/>
      <c r="P33" s="390" t="n"/>
      <c r="Q33" s="171" t="n"/>
      <c r="R33" s="274" t="n"/>
      <c r="S33" s="176" t="n"/>
      <c r="T33" s="169" t="n"/>
      <c r="U33" s="169" t="n"/>
      <c r="V33" s="169" t="n"/>
      <c r="W33" s="169" t="n"/>
      <c r="X33" s="174" t="n"/>
      <c r="Y33" s="169" t="n"/>
      <c r="Z33" s="576" t="n"/>
      <c r="AA33" s="228" t="n"/>
      <c r="AB33" s="169" t="n"/>
      <c r="AC33" s="169" t="n"/>
      <c r="AD33" s="173" t="n"/>
      <c r="AE33" s="172" t="n"/>
      <c r="AF33" s="175" t="n"/>
      <c r="AG33" s="397" t="n"/>
      <c r="AH33" s="526" t="n"/>
      <c r="AJ33" s="391" t="n"/>
    </row>
    <row r="34" customFormat="1" s="141">
      <c r="A34" s="251">
        <f>+A33+1</f>
        <v/>
      </c>
      <c r="B34" s="286" t="n"/>
      <c r="C34" s="287" t="n"/>
      <c r="D34" s="288" t="n"/>
      <c r="E34" s="290" t="n"/>
      <c r="F34" s="291" t="n"/>
      <c r="G34" s="292" t="n"/>
      <c r="H34" s="285" t="n"/>
      <c r="I34" s="285" t="n"/>
      <c r="J34" s="293" t="n"/>
      <c r="K34" s="294" t="n"/>
      <c r="L34" s="294" t="n"/>
      <c r="M34" s="165" t="n"/>
      <c r="N34" s="164" t="n"/>
      <c r="O34" s="170" t="n"/>
      <c r="P34" s="390" t="n"/>
      <c r="Q34" s="171" t="n"/>
      <c r="R34" s="274" t="n"/>
      <c r="S34" s="176" t="n"/>
      <c r="T34" s="169" t="n"/>
      <c r="U34" s="169" t="n"/>
      <c r="V34" s="169" t="n"/>
      <c r="W34" s="169" t="n"/>
      <c r="X34" s="174" t="n"/>
      <c r="Y34" s="169" t="n"/>
      <c r="Z34" s="576" t="n"/>
      <c r="AA34" s="228" t="n"/>
      <c r="AB34" s="169" t="n"/>
      <c r="AC34" s="169" t="n"/>
      <c r="AD34" s="173" t="n"/>
      <c r="AE34" s="172" t="n"/>
      <c r="AF34" s="175" t="n"/>
      <c r="AG34" s="397" t="n"/>
      <c r="AH34" s="526" t="n"/>
      <c r="AJ34" s="391" t="n"/>
    </row>
    <row r="35" customFormat="1" s="141">
      <c r="A35" s="251">
        <f>+A34+1</f>
        <v/>
      </c>
      <c r="B35" s="286" t="n"/>
      <c r="C35" s="287" t="n"/>
      <c r="D35" s="288" t="n"/>
      <c r="E35" s="290" t="n"/>
      <c r="F35" s="291" t="n"/>
      <c r="G35" s="292" t="n"/>
      <c r="H35" s="285" t="n"/>
      <c r="I35" s="285" t="n"/>
      <c r="J35" s="293" t="n"/>
      <c r="K35" s="294" t="n"/>
      <c r="L35" s="294" t="n"/>
      <c r="M35" s="165" t="n"/>
      <c r="N35" s="164" t="n"/>
      <c r="O35" s="170" t="n"/>
      <c r="P35" s="390" t="n"/>
      <c r="Q35" s="171" t="n"/>
      <c r="R35" s="274" t="n"/>
      <c r="S35" s="176" t="n"/>
      <c r="T35" s="169" t="n"/>
      <c r="U35" s="169" t="n"/>
      <c r="V35" s="169" t="n"/>
      <c r="W35" s="169" t="n"/>
      <c r="X35" s="174" t="n"/>
      <c r="Y35" s="169" t="n"/>
      <c r="Z35" s="576" t="n"/>
      <c r="AA35" s="228" t="n"/>
      <c r="AB35" s="169" t="n"/>
      <c r="AC35" s="169" t="n"/>
      <c r="AD35" s="173" t="n"/>
      <c r="AE35" s="172" t="n"/>
      <c r="AF35" s="175" t="n"/>
      <c r="AG35" s="397" t="n"/>
      <c r="AH35" s="526" t="n"/>
      <c r="AJ35" s="391" t="n"/>
    </row>
    <row r="36" customFormat="1" s="141">
      <c r="A36" s="251">
        <f>+A35+1</f>
        <v/>
      </c>
      <c r="B36" s="286" t="n"/>
      <c r="C36" s="287" t="n"/>
      <c r="D36" s="288" t="n"/>
      <c r="E36" s="290" t="n"/>
      <c r="F36" s="291" t="n"/>
      <c r="G36" s="292" t="n"/>
      <c r="H36" s="285" t="n"/>
      <c r="I36" s="285" t="n"/>
      <c r="J36" s="293" t="n"/>
      <c r="K36" s="294" t="n"/>
      <c r="L36" s="294" t="n"/>
      <c r="M36" s="165" t="n"/>
      <c r="N36" s="164" t="n"/>
      <c r="O36" s="170" t="n"/>
      <c r="P36" s="390" t="n"/>
      <c r="Q36" s="171" t="n"/>
      <c r="R36" s="274" t="n"/>
      <c r="S36" s="176" t="n"/>
      <c r="T36" s="169" t="n"/>
      <c r="U36" s="169" t="n"/>
      <c r="V36" s="169" t="n"/>
      <c r="W36" s="169" t="n"/>
      <c r="X36" s="174" t="n"/>
      <c r="Y36" s="169" t="n"/>
      <c r="Z36" s="576" t="n"/>
      <c r="AA36" s="228" t="n"/>
      <c r="AB36" s="169" t="n"/>
      <c r="AC36" s="169" t="n"/>
      <c r="AD36" s="173" t="n"/>
      <c r="AE36" s="172" t="n"/>
      <c r="AF36" s="175" t="n"/>
      <c r="AG36" s="397" t="n"/>
      <c r="AH36" s="526" t="n"/>
      <c r="AJ36" s="391" t="n"/>
    </row>
    <row r="37" customFormat="1" s="141">
      <c r="A37" s="251">
        <f>+A36+1</f>
        <v/>
      </c>
      <c r="B37" s="286" t="n"/>
      <c r="C37" s="287" t="n"/>
      <c r="D37" s="288" t="n"/>
      <c r="E37" s="290" t="n"/>
      <c r="F37" s="291" t="n"/>
      <c r="G37" s="292" t="n"/>
      <c r="H37" s="285" t="n"/>
      <c r="I37" s="285" t="n"/>
      <c r="J37" s="293" t="n"/>
      <c r="K37" s="294" t="n"/>
      <c r="L37" s="294" t="n"/>
      <c r="M37" s="165" t="n"/>
      <c r="N37" s="164" t="n"/>
      <c r="O37" s="170" t="n"/>
      <c r="P37" s="390" t="n"/>
      <c r="Q37" s="171" t="n"/>
      <c r="R37" s="274" t="n"/>
      <c r="S37" s="176" t="n"/>
      <c r="T37" s="169" t="n"/>
      <c r="U37" s="169" t="n"/>
      <c r="V37" s="169" t="n"/>
      <c r="W37" s="169" t="n"/>
      <c r="X37" s="174" t="n"/>
      <c r="Y37" s="169" t="n"/>
      <c r="Z37" s="576" t="n"/>
      <c r="AA37" s="228" t="n"/>
      <c r="AB37" s="169" t="n"/>
      <c r="AC37" s="169" t="n"/>
      <c r="AD37" s="173" t="n"/>
      <c r="AE37" s="172" t="n"/>
      <c r="AF37" s="175" t="n"/>
      <c r="AG37" s="397" t="n"/>
      <c r="AH37" s="526" t="n"/>
      <c r="AJ37" s="391" t="n"/>
    </row>
    <row r="38" customFormat="1" s="141">
      <c r="A38" s="251">
        <f>+A37+1</f>
        <v/>
      </c>
      <c r="B38" s="286" t="n"/>
      <c r="C38" s="287" t="n"/>
      <c r="D38" s="288" t="n"/>
      <c r="E38" s="290" t="n"/>
      <c r="F38" s="291" t="n"/>
      <c r="G38" s="292" t="n"/>
      <c r="H38" s="285" t="n"/>
      <c r="I38" s="285" t="n"/>
      <c r="J38" s="293" t="n"/>
      <c r="K38" s="294" t="n"/>
      <c r="L38" s="294" t="n"/>
      <c r="M38" s="165" t="n"/>
      <c r="N38" s="164" t="n"/>
      <c r="O38" s="170" t="n"/>
      <c r="P38" s="390" t="n"/>
      <c r="Q38" s="171" t="n"/>
      <c r="R38" s="274" t="n"/>
      <c r="S38" s="176" t="n"/>
      <c r="T38" s="169" t="n"/>
      <c r="U38" s="169" t="n"/>
      <c r="V38" s="169" t="n"/>
      <c r="W38" s="169" t="n"/>
      <c r="X38" s="174" t="n"/>
      <c r="Y38" s="169" t="n"/>
      <c r="Z38" s="576" t="n"/>
      <c r="AA38" s="228" t="n"/>
      <c r="AB38" s="169" t="n"/>
      <c r="AC38" s="169" t="n"/>
      <c r="AD38" s="173" t="n"/>
      <c r="AE38" s="172" t="n"/>
      <c r="AF38" s="175" t="n"/>
      <c r="AG38" s="397" t="n"/>
      <c r="AH38" s="526" t="n"/>
      <c r="AJ38" s="391" t="n"/>
    </row>
    <row r="39" customFormat="1" s="141">
      <c r="A39" s="251">
        <f>+A38+1</f>
        <v/>
      </c>
      <c r="B39" s="286" t="n"/>
      <c r="C39" s="287" t="n"/>
      <c r="D39" s="288" t="n"/>
      <c r="E39" s="290" t="n"/>
      <c r="F39" s="291" t="n"/>
      <c r="G39" s="292" t="n"/>
      <c r="H39" s="285" t="n"/>
      <c r="I39" s="285" t="n"/>
      <c r="J39" s="293" t="n"/>
      <c r="K39" s="294" t="n"/>
      <c r="L39" s="294" t="n"/>
      <c r="M39" s="165" t="n"/>
      <c r="N39" s="164" t="n"/>
      <c r="O39" s="170" t="n"/>
      <c r="P39" s="390" t="n"/>
      <c r="Q39" s="171" t="n"/>
      <c r="R39" s="274" t="n"/>
      <c r="S39" s="176" t="n"/>
      <c r="T39" s="169" t="n"/>
      <c r="U39" s="169" t="n"/>
      <c r="V39" s="169" t="n"/>
      <c r="W39" s="169" t="n"/>
      <c r="X39" s="174" t="n"/>
      <c r="Y39" s="169" t="n"/>
      <c r="Z39" s="576" t="n"/>
      <c r="AA39" s="228" t="n"/>
      <c r="AB39" s="169" t="n"/>
      <c r="AC39" s="169" t="n"/>
      <c r="AD39" s="173" t="n"/>
      <c r="AE39" s="172" t="n"/>
      <c r="AF39" s="175" t="n"/>
      <c r="AG39" s="397" t="n"/>
      <c r="AH39" s="526" t="n"/>
      <c r="AJ39" s="391" t="n"/>
    </row>
    <row r="40" customFormat="1" s="141">
      <c r="A40" s="251">
        <f>+A39+1</f>
        <v/>
      </c>
      <c r="B40" s="286" t="n"/>
      <c r="C40" s="287" t="n"/>
      <c r="D40" s="288" t="n"/>
      <c r="E40" s="290" t="n"/>
      <c r="F40" s="291" t="n"/>
      <c r="G40" s="292" t="n"/>
      <c r="H40" s="285" t="n"/>
      <c r="I40" s="285" t="n"/>
      <c r="J40" s="293" t="n"/>
      <c r="K40" s="294" t="n"/>
      <c r="L40" s="294" t="n"/>
      <c r="M40" s="165" t="n"/>
      <c r="N40" s="164" t="n"/>
      <c r="O40" s="170" t="n"/>
      <c r="P40" s="390" t="n"/>
      <c r="Q40" s="171" t="n"/>
      <c r="R40" s="274" t="n"/>
      <c r="S40" s="176" t="n"/>
      <c r="T40" s="169" t="n"/>
      <c r="U40" s="169" t="n"/>
      <c r="V40" s="169" t="n"/>
      <c r="W40" s="169" t="n"/>
      <c r="X40" s="174" t="n"/>
      <c r="Y40" s="169" t="n"/>
      <c r="Z40" s="576" t="n"/>
      <c r="AA40" s="228" t="n"/>
      <c r="AB40" s="169" t="n"/>
      <c r="AC40" s="169" t="n"/>
      <c r="AD40" s="173" t="n"/>
      <c r="AE40" s="172" t="n"/>
      <c r="AF40" s="175" t="n"/>
      <c r="AG40" s="397" t="n"/>
      <c r="AH40" s="526" t="n"/>
      <c r="AJ40" s="391" t="n"/>
    </row>
    <row r="41" customFormat="1" s="141">
      <c r="A41" s="251">
        <f>+A40+1</f>
        <v/>
      </c>
      <c r="B41" s="286" t="n"/>
      <c r="C41" s="287" t="n"/>
      <c r="D41" s="288" t="n"/>
      <c r="E41" s="290" t="n"/>
      <c r="F41" s="291" t="n"/>
      <c r="G41" s="292" t="n"/>
      <c r="H41" s="285" t="n"/>
      <c r="I41" s="285" t="n"/>
      <c r="J41" s="293" t="n"/>
      <c r="K41" s="294" t="n"/>
      <c r="L41" s="294" t="n"/>
      <c r="M41" s="165" t="n"/>
      <c r="N41" s="164" t="n"/>
      <c r="O41" s="170" t="n"/>
      <c r="P41" s="390" t="n"/>
      <c r="Q41" s="171" t="n"/>
      <c r="R41" s="274" t="n"/>
      <c r="S41" s="176" t="n"/>
      <c r="T41" s="169" t="n"/>
      <c r="U41" s="169" t="n"/>
      <c r="V41" s="169" t="n"/>
      <c r="W41" s="169" t="n"/>
      <c r="X41" s="174" t="n"/>
      <c r="Y41" s="169" t="n"/>
      <c r="Z41" s="576" t="n"/>
      <c r="AA41" s="228" t="n"/>
      <c r="AB41" s="169" t="n"/>
      <c r="AC41" s="169" t="n"/>
      <c r="AD41" s="173" t="n"/>
      <c r="AE41" s="172" t="n"/>
      <c r="AF41" s="175" t="n"/>
      <c r="AG41" s="397" t="n"/>
      <c r="AH41" s="526" t="n"/>
      <c r="AJ41" s="391" t="n"/>
    </row>
    <row r="42" customFormat="1" s="141">
      <c r="A42" s="251">
        <f>+A41+1</f>
        <v/>
      </c>
      <c r="B42" s="286" t="n"/>
      <c r="C42" s="287" t="n"/>
      <c r="D42" s="288" t="n"/>
      <c r="E42" s="290" t="n"/>
      <c r="F42" s="291" t="n"/>
      <c r="G42" s="292" t="n"/>
      <c r="H42" s="285" t="n"/>
      <c r="I42" s="285" t="n"/>
      <c r="J42" s="293" t="n"/>
      <c r="K42" s="294" t="n"/>
      <c r="L42" s="294" t="n"/>
      <c r="M42" s="165" t="n"/>
      <c r="N42" s="164" t="n"/>
      <c r="O42" s="170" t="n"/>
      <c r="P42" s="390" t="n"/>
      <c r="Q42" s="171" t="n"/>
      <c r="R42" s="274" t="n"/>
      <c r="S42" s="176" t="n"/>
      <c r="T42" s="169" t="n"/>
      <c r="U42" s="169" t="n"/>
      <c r="V42" s="169" t="n"/>
      <c r="W42" s="169" t="n"/>
      <c r="X42" s="174" t="n"/>
      <c r="Y42" s="169" t="n"/>
      <c r="Z42" s="576" t="n"/>
      <c r="AA42" s="228" t="n"/>
      <c r="AB42" s="169" t="n"/>
      <c r="AC42" s="169" t="n"/>
      <c r="AD42" s="173" t="n"/>
      <c r="AE42" s="172" t="n"/>
      <c r="AF42" s="175" t="n"/>
      <c r="AG42" s="397" t="n"/>
      <c r="AH42" s="526" t="n"/>
      <c r="AJ42" s="391" t="n"/>
    </row>
    <row r="43" customFormat="1" s="141">
      <c r="A43" s="251">
        <f>+A42+1</f>
        <v/>
      </c>
      <c r="B43" s="286" t="n"/>
      <c r="C43" s="287" t="n"/>
      <c r="D43" s="288" t="n"/>
      <c r="E43" s="290" t="n"/>
      <c r="F43" s="291" t="n"/>
      <c r="G43" s="292" t="n"/>
      <c r="H43" s="285" t="n"/>
      <c r="I43" s="285" t="n"/>
      <c r="J43" s="293" t="n"/>
      <c r="K43" s="294" t="n"/>
      <c r="L43" s="294" t="n"/>
      <c r="M43" s="165" t="n"/>
      <c r="N43" s="164" t="n"/>
      <c r="O43" s="170" t="n"/>
      <c r="P43" s="390" t="n"/>
      <c r="Q43" s="171" t="n"/>
      <c r="R43" s="274" t="n"/>
      <c r="S43" s="176" t="n"/>
      <c r="T43" s="169" t="n"/>
      <c r="U43" s="169" t="n"/>
      <c r="V43" s="169" t="n"/>
      <c r="W43" s="169" t="n"/>
      <c r="X43" s="174" t="n"/>
      <c r="Y43" s="169" t="n"/>
      <c r="Z43" s="576" t="n"/>
      <c r="AA43" s="228" t="n"/>
      <c r="AB43" s="169" t="n"/>
      <c r="AC43" s="169" t="n"/>
      <c r="AD43" s="173" t="n"/>
      <c r="AE43" s="172" t="n"/>
      <c r="AF43" s="175" t="n"/>
      <c r="AG43" s="397" t="n"/>
      <c r="AH43" s="526" t="n"/>
      <c r="AJ43" s="391" t="n"/>
    </row>
    <row r="44" customFormat="1" s="141">
      <c r="A44" s="251">
        <f>+A43+1</f>
        <v/>
      </c>
      <c r="B44" s="286" t="n"/>
      <c r="C44" s="287" t="n"/>
      <c r="D44" s="288" t="n"/>
      <c r="E44" s="290" t="n"/>
      <c r="F44" s="291" t="n"/>
      <c r="G44" s="292" t="n"/>
      <c r="H44" s="285" t="n"/>
      <c r="I44" s="285" t="n"/>
      <c r="J44" s="293" t="n"/>
      <c r="K44" s="294" t="n"/>
      <c r="L44" s="294" t="n"/>
      <c r="M44" s="165" t="n"/>
      <c r="N44" s="164" t="n"/>
      <c r="O44" s="170" t="n"/>
      <c r="P44" s="390" t="n"/>
      <c r="Q44" s="171" t="n"/>
      <c r="R44" s="274" t="n"/>
      <c r="S44" s="176" t="n"/>
      <c r="T44" s="169" t="n"/>
      <c r="U44" s="169" t="n"/>
      <c r="V44" s="169" t="n"/>
      <c r="W44" s="169" t="n"/>
      <c r="X44" s="174" t="n"/>
      <c r="Y44" s="169" t="n"/>
      <c r="Z44" s="576" t="n"/>
      <c r="AA44" s="228" t="n"/>
      <c r="AB44" s="169" t="n"/>
      <c r="AC44" s="169" t="n"/>
      <c r="AD44" s="173" t="n"/>
      <c r="AE44" s="172" t="n"/>
      <c r="AF44" s="175" t="n"/>
      <c r="AG44" s="397" t="n"/>
      <c r="AH44" s="526" t="n"/>
      <c r="AJ44" s="391" t="n"/>
    </row>
    <row r="45" customFormat="1" s="141">
      <c r="A45" s="251">
        <f>+A44+1</f>
        <v/>
      </c>
      <c r="B45" s="286" t="n"/>
      <c r="C45" s="287" t="n"/>
      <c r="D45" s="288" t="n"/>
      <c r="E45" s="290" t="n"/>
      <c r="F45" s="291" t="n"/>
      <c r="G45" s="292" t="n"/>
      <c r="H45" s="285" t="n"/>
      <c r="I45" s="285" t="n"/>
      <c r="J45" s="293" t="n"/>
      <c r="K45" s="294" t="n"/>
      <c r="L45" s="294" t="n"/>
      <c r="M45" s="165" t="n"/>
      <c r="N45" s="164" t="n"/>
      <c r="O45" s="170" t="n"/>
      <c r="P45" s="390" t="n"/>
      <c r="Q45" s="171" t="n"/>
      <c r="R45" s="274" t="n"/>
      <c r="S45" s="176" t="n"/>
      <c r="T45" s="169" t="n"/>
      <c r="U45" s="169" t="n"/>
      <c r="V45" s="169" t="n"/>
      <c r="W45" s="169" t="n"/>
      <c r="X45" s="174" t="n"/>
      <c r="Y45" s="169" t="n"/>
      <c r="Z45" s="576" t="n"/>
      <c r="AA45" s="228" t="n"/>
      <c r="AB45" s="169" t="n"/>
      <c r="AC45" s="169" t="n"/>
      <c r="AD45" s="173" t="n"/>
      <c r="AE45" s="172" t="n"/>
      <c r="AF45" s="175" t="n"/>
      <c r="AG45" s="397" t="n"/>
      <c r="AH45" s="526" t="n"/>
      <c r="AJ45" s="391" t="n"/>
    </row>
    <row r="46" customFormat="1" s="141">
      <c r="A46" s="251">
        <f>+A45+1</f>
        <v/>
      </c>
      <c r="B46" s="286" t="n"/>
      <c r="C46" s="287" t="n"/>
      <c r="D46" s="288" t="n"/>
      <c r="E46" s="290" t="n"/>
      <c r="F46" s="291" t="n"/>
      <c r="G46" s="292" t="n"/>
      <c r="H46" s="285" t="n"/>
      <c r="I46" s="285" t="n"/>
      <c r="J46" s="293" t="n"/>
      <c r="K46" s="294" t="n"/>
      <c r="L46" s="294" t="n"/>
      <c r="M46" s="165" t="n"/>
      <c r="N46" s="164" t="n"/>
      <c r="O46" s="170" t="n"/>
      <c r="P46" s="390" t="n"/>
      <c r="Q46" s="171" t="n"/>
      <c r="R46" s="274" t="n"/>
      <c r="S46" s="176" t="n"/>
      <c r="T46" s="169" t="n"/>
      <c r="U46" s="169" t="n"/>
      <c r="V46" s="169" t="n"/>
      <c r="W46" s="169" t="n"/>
      <c r="X46" s="174" t="n"/>
      <c r="Y46" s="169" t="n"/>
      <c r="Z46" s="576" t="n"/>
      <c r="AA46" s="228" t="n"/>
      <c r="AB46" s="169" t="n"/>
      <c r="AC46" s="169" t="n"/>
      <c r="AD46" s="173" t="n"/>
      <c r="AE46" s="172" t="n"/>
      <c r="AF46" s="175" t="n"/>
      <c r="AG46" s="397" t="n"/>
      <c r="AH46" s="526" t="n"/>
      <c r="AJ46" s="391" t="n"/>
    </row>
    <row r="47" customFormat="1" s="141">
      <c r="A47" s="251">
        <f>+A46+1</f>
        <v/>
      </c>
      <c r="B47" s="286" t="n"/>
      <c r="C47" s="287" t="n"/>
      <c r="D47" s="288" t="n"/>
      <c r="E47" s="290" t="n"/>
      <c r="F47" s="291" t="n"/>
      <c r="G47" s="292" t="n"/>
      <c r="H47" s="285" t="n"/>
      <c r="I47" s="285" t="n"/>
      <c r="J47" s="293" t="n"/>
      <c r="K47" s="294" t="n"/>
      <c r="L47" s="294" t="n"/>
      <c r="M47" s="165" t="n"/>
      <c r="N47" s="164" t="n"/>
      <c r="O47" s="170" t="n"/>
      <c r="P47" s="390" t="n"/>
      <c r="Q47" s="171" t="n"/>
      <c r="R47" s="274" t="n"/>
      <c r="S47" s="176" t="n"/>
      <c r="T47" s="169" t="n"/>
      <c r="U47" s="169" t="n"/>
      <c r="V47" s="169" t="n"/>
      <c r="W47" s="169" t="n"/>
      <c r="X47" s="174" t="n"/>
      <c r="Y47" s="169" t="n"/>
      <c r="Z47" s="576" t="n"/>
      <c r="AA47" s="228" t="n"/>
      <c r="AB47" s="169" t="n"/>
      <c r="AC47" s="169" t="n"/>
      <c r="AD47" s="173" t="n"/>
      <c r="AE47" s="172" t="n"/>
      <c r="AF47" s="175" t="n"/>
      <c r="AG47" s="397" t="n"/>
      <c r="AH47" s="526" t="n"/>
      <c r="AJ47" s="391" t="n"/>
    </row>
    <row r="48" customFormat="1" s="141">
      <c r="A48" s="251">
        <f>+A47+1</f>
        <v/>
      </c>
      <c r="B48" s="286" t="n"/>
      <c r="C48" s="287" t="n"/>
      <c r="D48" s="288" t="n"/>
      <c r="E48" s="290" t="n"/>
      <c r="F48" s="291" t="n"/>
      <c r="G48" s="292" t="n"/>
      <c r="H48" s="285" t="n"/>
      <c r="I48" s="285" t="n"/>
      <c r="J48" s="293" t="n"/>
      <c r="K48" s="294" t="n"/>
      <c r="L48" s="294" t="n"/>
      <c r="M48" s="165" t="n"/>
      <c r="N48" s="164" t="n"/>
      <c r="O48" s="170" t="n"/>
      <c r="P48" s="390" t="n"/>
      <c r="Q48" s="171" t="n"/>
      <c r="R48" s="274" t="n"/>
      <c r="S48" s="176" t="n"/>
      <c r="T48" s="169" t="n"/>
      <c r="U48" s="169" t="n"/>
      <c r="V48" s="169" t="n"/>
      <c r="W48" s="169" t="n"/>
      <c r="X48" s="174" t="n"/>
      <c r="Y48" s="169" t="n"/>
      <c r="Z48" s="576" t="n"/>
      <c r="AA48" s="228" t="n"/>
      <c r="AB48" s="169" t="n"/>
      <c r="AC48" s="169" t="n"/>
      <c r="AD48" s="173" t="n"/>
      <c r="AE48" s="172" t="n"/>
      <c r="AF48" s="175" t="n"/>
      <c r="AG48" s="397" t="n"/>
      <c r="AH48" s="526" t="n"/>
      <c r="AJ48" s="391" t="n"/>
    </row>
    <row r="49" customFormat="1" s="141">
      <c r="A49" s="251">
        <f>+A48+1</f>
        <v/>
      </c>
      <c r="B49" s="286" t="n"/>
      <c r="C49" s="287" t="n"/>
      <c r="D49" s="288" t="n"/>
      <c r="E49" s="290" t="n"/>
      <c r="F49" s="291" t="n"/>
      <c r="G49" s="292" t="n"/>
      <c r="H49" s="285" t="n"/>
      <c r="I49" s="285" t="n"/>
      <c r="J49" s="293" t="n"/>
      <c r="K49" s="294" t="n"/>
      <c r="L49" s="294" t="n"/>
      <c r="M49" s="165" t="n"/>
      <c r="N49" s="164" t="n"/>
      <c r="O49" s="170" t="n"/>
      <c r="P49" s="390" t="n"/>
      <c r="Q49" s="171" t="n"/>
      <c r="R49" s="274" t="n"/>
      <c r="S49" s="176" t="n"/>
      <c r="T49" s="169" t="n"/>
      <c r="U49" s="169" t="n"/>
      <c r="V49" s="169" t="n"/>
      <c r="W49" s="169" t="n"/>
      <c r="X49" s="174" t="n"/>
      <c r="Y49" s="169" t="n"/>
      <c r="Z49" s="576" t="n"/>
      <c r="AA49" s="228" t="n"/>
      <c r="AB49" s="169" t="n"/>
      <c r="AC49" s="169" t="n"/>
      <c r="AD49" s="173" t="n"/>
      <c r="AE49" s="172" t="n"/>
      <c r="AF49" s="175" t="n"/>
      <c r="AG49" s="397" t="n"/>
      <c r="AH49" s="526" t="n"/>
      <c r="AJ49" s="391" t="n"/>
    </row>
    <row r="50" customFormat="1" s="141">
      <c r="A50" s="251">
        <f>+A49+1</f>
        <v/>
      </c>
      <c r="B50" s="286" t="n"/>
      <c r="C50" s="287" t="n"/>
      <c r="D50" s="288" t="n"/>
      <c r="E50" s="290" t="n"/>
      <c r="F50" s="291" t="n"/>
      <c r="G50" s="292" t="n"/>
      <c r="H50" s="285" t="n"/>
      <c r="I50" s="285" t="n"/>
      <c r="J50" s="293" t="n"/>
      <c r="K50" s="294" t="n"/>
      <c r="L50" s="294" t="n"/>
      <c r="M50" s="165" t="n"/>
      <c r="N50" s="164" t="n"/>
      <c r="O50" s="170" t="n"/>
      <c r="P50" s="390" t="n"/>
      <c r="Q50" s="171" t="n"/>
      <c r="R50" s="274" t="n"/>
      <c r="S50" s="176" t="n"/>
      <c r="T50" s="169" t="n"/>
      <c r="U50" s="169" t="n"/>
      <c r="V50" s="169" t="n"/>
      <c r="W50" s="169" t="n"/>
      <c r="X50" s="174" t="n"/>
      <c r="Y50" s="169" t="n"/>
      <c r="Z50" s="576" t="n"/>
      <c r="AA50" s="228" t="n"/>
      <c r="AB50" s="169" t="n"/>
      <c r="AC50" s="169" t="n"/>
      <c r="AD50" s="173" t="n"/>
      <c r="AE50" s="172" t="n"/>
      <c r="AF50" s="175" t="n"/>
      <c r="AG50" s="397" t="n"/>
      <c r="AH50" s="526" t="n"/>
      <c r="AJ50" s="391" t="n"/>
    </row>
    <row r="51" customFormat="1" s="141">
      <c r="A51" s="251">
        <f>+A50+1</f>
        <v/>
      </c>
      <c r="B51" s="286" t="n"/>
      <c r="C51" s="287" t="n"/>
      <c r="D51" s="288" t="n"/>
      <c r="E51" s="290" t="n"/>
      <c r="F51" s="291" t="n"/>
      <c r="G51" s="292" t="n"/>
      <c r="H51" s="285" t="n"/>
      <c r="I51" s="285" t="n"/>
      <c r="J51" s="293" t="n"/>
      <c r="K51" s="294" t="n"/>
      <c r="L51" s="294" t="n"/>
      <c r="M51" s="165" t="n"/>
      <c r="N51" s="164" t="n"/>
      <c r="O51" s="170" t="n"/>
      <c r="P51" s="390" t="n"/>
      <c r="Q51" s="171" t="n"/>
      <c r="R51" s="274" t="n"/>
      <c r="S51" s="176" t="n"/>
      <c r="T51" s="169" t="n"/>
      <c r="U51" s="169" t="n"/>
      <c r="V51" s="169" t="n"/>
      <c r="W51" s="169" t="n"/>
      <c r="X51" s="174" t="n"/>
      <c r="Y51" s="169" t="n"/>
      <c r="Z51" s="576" t="n"/>
      <c r="AA51" s="228" t="n"/>
      <c r="AB51" s="169" t="n"/>
      <c r="AC51" s="169" t="n"/>
      <c r="AD51" s="173" t="n"/>
      <c r="AE51" s="172" t="n"/>
      <c r="AF51" s="175" t="n"/>
      <c r="AG51" s="397" t="n"/>
      <c r="AH51" s="526" t="n"/>
      <c r="AJ51" s="391" t="n"/>
    </row>
    <row r="52" customFormat="1" s="141">
      <c r="A52" s="251">
        <f>+A51+1</f>
        <v/>
      </c>
      <c r="B52" s="286" t="n"/>
      <c r="C52" s="287" t="n"/>
      <c r="D52" s="288" t="n"/>
      <c r="E52" s="290" t="n"/>
      <c r="F52" s="291" t="n"/>
      <c r="G52" s="292" t="n"/>
      <c r="H52" s="285" t="n"/>
      <c r="I52" s="285" t="n"/>
      <c r="J52" s="293" t="n"/>
      <c r="K52" s="294" t="n"/>
      <c r="L52" s="294" t="n"/>
      <c r="M52" s="165" t="n"/>
      <c r="N52" s="164" t="n"/>
      <c r="O52" s="170" t="n"/>
      <c r="P52" s="390" t="n"/>
      <c r="Q52" s="171" t="n"/>
      <c r="R52" s="274" t="n"/>
      <c r="S52" s="176" t="n"/>
      <c r="T52" s="169" t="n"/>
      <c r="U52" s="169" t="n"/>
      <c r="V52" s="169" t="n"/>
      <c r="W52" s="169" t="n"/>
      <c r="X52" s="174" t="n"/>
      <c r="Y52" s="169" t="n"/>
      <c r="Z52" s="576" t="n"/>
      <c r="AA52" s="228" t="n"/>
      <c r="AB52" s="169" t="n"/>
      <c r="AC52" s="169" t="n"/>
      <c r="AD52" s="173" t="n"/>
      <c r="AE52" s="172" t="n"/>
      <c r="AF52" s="175" t="n"/>
      <c r="AG52" s="397" t="n"/>
      <c r="AH52" s="526" t="n"/>
      <c r="AJ52" s="391" t="n"/>
    </row>
    <row r="53" customFormat="1" s="141">
      <c r="A53" s="251">
        <f>+A52+1</f>
        <v/>
      </c>
      <c r="B53" s="295" t="n"/>
      <c r="C53" s="287" t="n"/>
      <c r="D53" s="288" t="n"/>
      <c r="E53" s="290" t="n"/>
      <c r="F53" s="291" t="n"/>
      <c r="G53" s="292" t="n"/>
      <c r="H53" s="285" t="n"/>
      <c r="I53" s="285" t="n"/>
      <c r="J53" s="293" t="n"/>
      <c r="K53" s="294" t="n"/>
      <c r="L53" s="294" t="n"/>
      <c r="M53" s="165" t="n"/>
      <c r="N53" s="164" t="n"/>
      <c r="O53" s="170" t="n"/>
      <c r="P53" s="390" t="n"/>
      <c r="Q53" s="171" t="n"/>
      <c r="R53" s="274" t="n"/>
      <c r="S53" s="176" t="n"/>
      <c r="T53" s="169" t="n"/>
      <c r="U53" s="169" t="n"/>
      <c r="V53" s="169" t="n"/>
      <c r="W53" s="169" t="n"/>
      <c r="X53" s="174" t="n"/>
      <c r="Y53" s="169" t="n"/>
      <c r="Z53" s="576" t="n"/>
      <c r="AA53" s="228" t="n"/>
      <c r="AB53" s="169" t="n"/>
      <c r="AC53" s="169" t="n"/>
      <c r="AD53" s="173" t="n"/>
      <c r="AE53" s="172" t="n"/>
      <c r="AF53" s="175" t="n"/>
      <c r="AG53" s="397" t="n"/>
      <c r="AH53" s="526" t="n"/>
      <c r="AJ53" s="391" t="n"/>
    </row>
    <row r="54" customFormat="1" s="141">
      <c r="A54" s="251">
        <f>+A53+1</f>
        <v/>
      </c>
      <c r="B54" s="295" t="n"/>
      <c r="C54" s="287" t="n"/>
      <c r="D54" s="288" t="n"/>
      <c r="E54" s="290" t="n"/>
      <c r="F54" s="291" t="n"/>
      <c r="G54" s="292" t="n"/>
      <c r="H54" s="285" t="n"/>
      <c r="I54" s="285" t="n"/>
      <c r="J54" s="293" t="n"/>
      <c r="K54" s="294" t="n"/>
      <c r="L54" s="294" t="n"/>
      <c r="M54" s="165" t="n"/>
      <c r="N54" s="164" t="n"/>
      <c r="O54" s="170" t="n"/>
      <c r="P54" s="390" t="n"/>
      <c r="Q54" s="171" t="n"/>
      <c r="R54" s="274" t="n"/>
      <c r="S54" s="176" t="n"/>
      <c r="T54" s="169" t="n"/>
      <c r="U54" s="169" t="n"/>
      <c r="V54" s="169" t="n"/>
      <c r="W54" s="169" t="n"/>
      <c r="X54" s="174" t="n"/>
      <c r="Y54" s="169" t="n"/>
      <c r="Z54" s="576" t="n"/>
      <c r="AA54" s="228" t="n"/>
      <c r="AB54" s="169" t="n"/>
      <c r="AC54" s="169" t="n"/>
      <c r="AD54" s="173" t="n"/>
      <c r="AE54" s="172" t="n"/>
      <c r="AF54" s="175" t="n"/>
      <c r="AG54" s="397" t="n"/>
      <c r="AH54" s="526" t="n"/>
      <c r="AJ54" s="391" t="n"/>
    </row>
    <row r="55" customFormat="1" s="141">
      <c r="A55" s="251">
        <f>+A54+1</f>
        <v/>
      </c>
      <c r="B55" s="295" t="n"/>
      <c r="C55" s="287" t="n"/>
      <c r="D55" s="288" t="n"/>
      <c r="E55" s="290" t="n"/>
      <c r="F55" s="291" t="n"/>
      <c r="G55" s="292" t="n"/>
      <c r="H55" s="285" t="n"/>
      <c r="I55" s="285" t="n"/>
      <c r="J55" s="293" t="n"/>
      <c r="K55" s="294" t="n"/>
      <c r="L55" s="294" t="n"/>
      <c r="M55" s="165" t="n"/>
      <c r="N55" s="164" t="n"/>
      <c r="O55" s="170" t="n"/>
      <c r="P55" s="390" t="n"/>
      <c r="Q55" s="171" t="n"/>
      <c r="R55" s="274" t="n"/>
      <c r="S55" s="176" t="n"/>
      <c r="T55" s="169" t="n"/>
      <c r="U55" s="169" t="n"/>
      <c r="V55" s="169" t="n"/>
      <c r="W55" s="169" t="n"/>
      <c r="X55" s="174" t="n"/>
      <c r="Y55" s="169" t="n"/>
      <c r="Z55" s="576" t="n"/>
      <c r="AA55" s="228" t="n"/>
      <c r="AB55" s="169" t="n"/>
      <c r="AC55" s="169" t="n"/>
      <c r="AD55" s="173" t="n"/>
      <c r="AE55" s="172" t="n"/>
      <c r="AF55" s="175" t="n"/>
      <c r="AG55" s="397" t="n"/>
      <c r="AH55" s="526" t="n"/>
      <c r="AJ55" s="391" t="n"/>
    </row>
    <row r="56" customFormat="1" s="141">
      <c r="A56" s="251">
        <f>+A55+1</f>
        <v/>
      </c>
      <c r="B56" s="295" t="n"/>
      <c r="C56" s="287" t="n"/>
      <c r="D56" s="288" t="n"/>
      <c r="E56" s="290" t="n"/>
      <c r="F56" s="291" t="n"/>
      <c r="G56" s="292" t="n"/>
      <c r="H56" s="285" t="n"/>
      <c r="I56" s="285" t="n"/>
      <c r="J56" s="293" t="n"/>
      <c r="K56" s="294" t="n"/>
      <c r="L56" s="294" t="n"/>
      <c r="M56" s="165" t="n"/>
      <c r="N56" s="164" t="n"/>
      <c r="O56" s="170" t="n"/>
      <c r="P56" s="390" t="n"/>
      <c r="Q56" s="171" t="n"/>
      <c r="R56" s="274" t="n"/>
      <c r="S56" s="176" t="n"/>
      <c r="T56" s="169" t="n"/>
      <c r="U56" s="169" t="n"/>
      <c r="V56" s="169" t="n"/>
      <c r="W56" s="169" t="n"/>
      <c r="X56" s="174" t="n"/>
      <c r="Y56" s="169" t="n"/>
      <c r="Z56" s="576" t="n"/>
      <c r="AA56" s="228" t="n"/>
      <c r="AB56" s="169" t="n"/>
      <c r="AC56" s="169" t="n"/>
      <c r="AD56" s="173" t="n"/>
      <c r="AE56" s="172" t="n"/>
      <c r="AF56" s="175" t="n"/>
      <c r="AG56" s="397" t="n"/>
      <c r="AH56" s="526" t="n"/>
      <c r="AJ56" s="391" t="n"/>
    </row>
    <row r="57" customFormat="1" s="141">
      <c r="A57" s="251">
        <f>+A56+1</f>
        <v/>
      </c>
      <c r="B57" s="295" t="n"/>
      <c r="C57" s="287" t="n"/>
      <c r="D57" s="288" t="n"/>
      <c r="E57" s="290" t="n"/>
      <c r="F57" s="291" t="n"/>
      <c r="G57" s="292" t="n"/>
      <c r="H57" s="285" t="n"/>
      <c r="I57" s="285" t="n"/>
      <c r="J57" s="293" t="n"/>
      <c r="K57" s="294" t="n"/>
      <c r="L57" s="294" t="n"/>
      <c r="M57" s="165" t="n"/>
      <c r="N57" s="164" t="n"/>
      <c r="O57" s="170" t="n"/>
      <c r="P57" s="390" t="n"/>
      <c r="Q57" s="171" t="n"/>
      <c r="R57" s="274" t="n"/>
      <c r="S57" s="176" t="n"/>
      <c r="T57" s="169" t="n"/>
      <c r="U57" s="169" t="n"/>
      <c r="V57" s="169" t="n"/>
      <c r="W57" s="169" t="n"/>
      <c r="X57" s="174" t="n"/>
      <c r="Y57" s="169" t="n"/>
      <c r="Z57" s="576" t="n"/>
      <c r="AA57" s="228" t="n"/>
      <c r="AB57" s="169" t="n"/>
      <c r="AC57" s="169" t="n"/>
      <c r="AD57" s="173" t="n"/>
      <c r="AE57" s="172" t="n"/>
      <c r="AF57" s="175" t="n"/>
      <c r="AG57" s="397" t="n"/>
      <c r="AH57" s="526" t="n"/>
      <c r="AJ57" s="391" t="n"/>
    </row>
    <row r="58" customFormat="1" s="141">
      <c r="A58" s="251">
        <f>+A57+1</f>
        <v/>
      </c>
      <c r="B58" s="295" t="n"/>
      <c r="C58" s="287" t="n"/>
      <c r="D58" s="288" t="n"/>
      <c r="E58" s="290" t="n"/>
      <c r="F58" s="291" t="n"/>
      <c r="G58" s="292" t="n"/>
      <c r="H58" s="285" t="n"/>
      <c r="I58" s="285" t="n"/>
      <c r="J58" s="293" t="n"/>
      <c r="K58" s="294" t="n"/>
      <c r="L58" s="294" t="n"/>
      <c r="M58" s="165" t="n"/>
      <c r="N58" s="164" t="n"/>
      <c r="O58" s="170" t="n"/>
      <c r="P58" s="390" t="n"/>
      <c r="Q58" s="171" t="n"/>
      <c r="R58" s="274" t="n"/>
      <c r="S58" s="176" t="n"/>
      <c r="T58" s="169" t="n"/>
      <c r="U58" s="169" t="n"/>
      <c r="V58" s="169" t="n"/>
      <c r="W58" s="169" t="n"/>
      <c r="X58" s="174" t="n"/>
      <c r="Y58" s="169" t="n"/>
      <c r="Z58" s="576" t="n"/>
      <c r="AA58" s="228" t="n"/>
      <c r="AB58" s="169" t="n"/>
      <c r="AC58" s="169" t="n"/>
      <c r="AD58" s="173" t="n"/>
      <c r="AE58" s="172" t="n"/>
      <c r="AF58" s="175" t="n"/>
      <c r="AG58" s="397" t="n"/>
      <c r="AH58" s="526" t="n"/>
      <c r="AJ58" s="391" t="n"/>
    </row>
    <row r="59" customFormat="1" s="141">
      <c r="A59" s="251">
        <f>+A58+1</f>
        <v/>
      </c>
      <c r="B59" s="295" t="n"/>
      <c r="C59" s="287" t="n"/>
      <c r="D59" s="288" t="n"/>
      <c r="E59" s="290" t="n"/>
      <c r="F59" s="291" t="n"/>
      <c r="G59" s="292" t="n"/>
      <c r="H59" s="285" t="n"/>
      <c r="I59" s="285" t="n"/>
      <c r="J59" s="293" t="n"/>
      <c r="K59" s="294" t="n"/>
      <c r="L59" s="294" t="n"/>
      <c r="M59" s="165" t="n"/>
      <c r="N59" s="164" t="n"/>
      <c r="O59" s="170" t="n"/>
      <c r="P59" s="390" t="n"/>
      <c r="Q59" s="171" t="n"/>
      <c r="R59" s="274" t="n"/>
      <c r="S59" s="176" t="n"/>
      <c r="T59" s="169" t="n"/>
      <c r="U59" s="169" t="n"/>
      <c r="V59" s="169" t="n"/>
      <c r="W59" s="169" t="n"/>
      <c r="X59" s="174" t="n"/>
      <c r="Y59" s="169" t="n"/>
      <c r="Z59" s="576" t="n"/>
      <c r="AA59" s="228" t="n"/>
      <c r="AB59" s="169" t="n"/>
      <c r="AC59" s="169" t="n"/>
      <c r="AD59" s="173" t="n"/>
      <c r="AE59" s="172" t="n"/>
      <c r="AF59" s="175" t="n"/>
      <c r="AG59" s="397" t="n"/>
      <c r="AH59" s="526" t="n"/>
      <c r="AJ59" s="391" t="n"/>
    </row>
    <row r="60" customFormat="1" s="141">
      <c r="A60" s="251">
        <f>+A59+1</f>
        <v/>
      </c>
      <c r="B60" s="295" t="n"/>
      <c r="C60" s="287" t="n"/>
      <c r="D60" s="288" t="n"/>
      <c r="E60" s="290" t="n"/>
      <c r="F60" s="291" t="n"/>
      <c r="G60" s="292" t="n"/>
      <c r="H60" s="285" t="n"/>
      <c r="I60" s="285" t="n"/>
      <c r="J60" s="293" t="n"/>
      <c r="K60" s="294" t="n"/>
      <c r="L60" s="294" t="n"/>
      <c r="M60" s="165" t="n"/>
      <c r="N60" s="164" t="n"/>
      <c r="O60" s="170" t="n"/>
      <c r="P60" s="390" t="n"/>
      <c r="Q60" s="171" t="n"/>
      <c r="R60" s="274" t="n"/>
      <c r="S60" s="176" t="n"/>
      <c r="T60" s="169" t="n"/>
      <c r="U60" s="169" t="n"/>
      <c r="V60" s="169" t="n"/>
      <c r="W60" s="169" t="n"/>
      <c r="X60" s="174" t="n"/>
      <c r="Y60" s="169" t="n"/>
      <c r="Z60" s="576" t="n"/>
      <c r="AA60" s="228" t="n"/>
      <c r="AB60" s="169" t="n"/>
      <c r="AC60" s="169" t="n"/>
      <c r="AD60" s="173" t="n"/>
      <c r="AE60" s="172" t="n"/>
      <c r="AF60" s="175" t="n"/>
      <c r="AG60" s="397" t="n"/>
      <c r="AH60" s="526" t="n"/>
      <c r="AJ60" s="391" t="n"/>
    </row>
    <row r="61" customFormat="1" s="141">
      <c r="A61" s="251">
        <f>+A60+1</f>
        <v/>
      </c>
      <c r="B61" s="295" t="n"/>
      <c r="C61" s="287" t="n"/>
      <c r="D61" s="288" t="n"/>
      <c r="E61" s="290" t="n"/>
      <c r="F61" s="291" t="n"/>
      <c r="G61" s="292" t="n"/>
      <c r="H61" s="285" t="n"/>
      <c r="I61" s="285" t="n"/>
      <c r="J61" s="293" t="n"/>
      <c r="K61" s="294" t="n"/>
      <c r="L61" s="294" t="n"/>
      <c r="M61" s="165" t="n"/>
      <c r="N61" s="164" t="n"/>
      <c r="O61" s="170" t="n"/>
      <c r="P61" s="390" t="n"/>
      <c r="Q61" s="171" t="n"/>
      <c r="R61" s="274" t="n"/>
      <c r="S61" s="176" t="n"/>
      <c r="T61" s="169" t="n"/>
      <c r="U61" s="169" t="n"/>
      <c r="V61" s="169" t="n"/>
      <c r="W61" s="169" t="n"/>
      <c r="X61" s="174" t="n"/>
      <c r="Y61" s="169" t="n"/>
      <c r="Z61" s="576" t="n"/>
      <c r="AA61" s="228" t="n"/>
      <c r="AB61" s="169" t="n"/>
      <c r="AC61" s="169" t="n"/>
      <c r="AD61" s="173" t="n"/>
      <c r="AE61" s="172" t="n"/>
      <c r="AF61" s="175" t="n"/>
      <c r="AG61" s="397" t="n"/>
      <c r="AH61" s="526" t="n"/>
      <c r="AJ61" s="391" t="n"/>
    </row>
    <row r="62" customFormat="1" s="141">
      <c r="A62" s="251">
        <f>+A61+1</f>
        <v/>
      </c>
      <c r="B62" s="295" t="n"/>
      <c r="C62" s="287" t="n"/>
      <c r="D62" s="288" t="n"/>
      <c r="E62" s="290" t="n"/>
      <c r="F62" s="291" t="n"/>
      <c r="G62" s="292" t="n"/>
      <c r="H62" s="285" t="n"/>
      <c r="I62" s="285" t="n"/>
      <c r="J62" s="293" t="n"/>
      <c r="K62" s="294" t="n"/>
      <c r="L62" s="294" t="n"/>
      <c r="M62" s="165" t="n"/>
      <c r="N62" s="164" t="n"/>
      <c r="O62" s="170" t="n"/>
      <c r="P62" s="390" t="n"/>
      <c r="Q62" s="171" t="n"/>
      <c r="R62" s="274" t="n"/>
      <c r="S62" s="176" t="n"/>
      <c r="T62" s="169" t="n"/>
      <c r="U62" s="169" t="n"/>
      <c r="V62" s="169" t="n"/>
      <c r="W62" s="169" t="n"/>
      <c r="X62" s="174" t="n"/>
      <c r="Y62" s="169" t="n"/>
      <c r="Z62" s="576" t="n"/>
      <c r="AA62" s="228" t="n"/>
      <c r="AB62" s="169" t="n"/>
      <c r="AC62" s="169" t="n"/>
      <c r="AD62" s="173" t="n"/>
      <c r="AE62" s="172" t="n"/>
      <c r="AF62" s="175" t="n"/>
      <c r="AG62" s="397" t="n"/>
      <c r="AH62" s="526" t="n"/>
      <c r="AJ62" s="391" t="n"/>
    </row>
    <row r="63" customFormat="1" s="141">
      <c r="A63" s="251">
        <f>+A62+1</f>
        <v/>
      </c>
      <c r="B63" s="295" t="n"/>
      <c r="C63" s="287" t="n"/>
      <c r="D63" s="288" t="n"/>
      <c r="E63" s="290" t="n"/>
      <c r="F63" s="291" t="n"/>
      <c r="G63" s="292" t="n"/>
      <c r="H63" s="285" t="n"/>
      <c r="I63" s="285" t="n"/>
      <c r="J63" s="293" t="n"/>
      <c r="K63" s="294" t="n"/>
      <c r="L63" s="294" t="n"/>
      <c r="M63" s="165" t="n"/>
      <c r="N63" s="164" t="n"/>
      <c r="O63" s="170" t="n"/>
      <c r="P63" s="390" t="n"/>
      <c r="Q63" s="171" t="n"/>
      <c r="R63" s="274" t="n"/>
      <c r="S63" s="176" t="n"/>
      <c r="T63" s="169" t="n"/>
      <c r="U63" s="169" t="n"/>
      <c r="V63" s="169" t="n"/>
      <c r="W63" s="169" t="n"/>
      <c r="X63" s="174" t="n"/>
      <c r="Y63" s="169" t="n"/>
      <c r="Z63" s="576" t="n"/>
      <c r="AA63" s="228" t="n"/>
      <c r="AB63" s="169" t="n"/>
      <c r="AC63" s="169" t="n"/>
      <c r="AD63" s="173" t="n"/>
      <c r="AE63" s="172" t="n"/>
      <c r="AF63" s="175" t="n"/>
      <c r="AG63" s="397" t="n"/>
      <c r="AH63" s="526" t="n"/>
      <c r="AJ63" s="391" t="n"/>
    </row>
    <row r="64" customFormat="1" s="141">
      <c r="A64" s="251">
        <f>+A63+1</f>
        <v/>
      </c>
      <c r="B64" s="295" t="n"/>
      <c r="C64" s="287" t="n"/>
      <c r="D64" s="288" t="n"/>
      <c r="E64" s="290" t="n"/>
      <c r="F64" s="291" t="n"/>
      <c r="G64" s="292" t="n"/>
      <c r="H64" s="285" t="n"/>
      <c r="I64" s="285" t="n"/>
      <c r="J64" s="293" t="n"/>
      <c r="K64" s="294" t="n"/>
      <c r="L64" s="294" t="n"/>
      <c r="M64" s="165" t="n"/>
      <c r="N64" s="164" t="n"/>
      <c r="O64" s="170" t="n"/>
      <c r="P64" s="390" t="n"/>
      <c r="Q64" s="171" t="n"/>
      <c r="R64" s="274" t="n"/>
      <c r="S64" s="176" t="n"/>
      <c r="T64" s="169" t="n"/>
      <c r="U64" s="169" t="n"/>
      <c r="V64" s="169" t="n"/>
      <c r="W64" s="169" t="n"/>
      <c r="X64" s="174" t="n"/>
      <c r="Y64" s="169" t="n"/>
      <c r="Z64" s="576" t="n"/>
      <c r="AA64" s="228" t="n"/>
      <c r="AB64" s="169" t="n"/>
      <c r="AC64" s="169" t="n"/>
      <c r="AD64" s="173" t="n"/>
      <c r="AE64" s="172" t="n"/>
      <c r="AF64" s="175" t="n"/>
      <c r="AG64" s="397" t="n"/>
      <c r="AH64" s="526" t="n"/>
      <c r="AJ64" s="391" t="n"/>
    </row>
    <row r="65" customFormat="1" s="141">
      <c r="A65" s="251">
        <f>+A64+1</f>
        <v/>
      </c>
      <c r="B65" s="295" t="n"/>
      <c r="C65" s="287" t="n"/>
      <c r="D65" s="288" t="n"/>
      <c r="E65" s="290" t="n"/>
      <c r="F65" s="291" t="n"/>
      <c r="G65" s="292" t="n"/>
      <c r="H65" s="285" t="n"/>
      <c r="I65" s="285" t="n"/>
      <c r="J65" s="293" t="n"/>
      <c r="K65" s="294" t="n"/>
      <c r="L65" s="294" t="n"/>
      <c r="M65" s="165" t="n"/>
      <c r="N65" s="164" t="n"/>
      <c r="O65" s="170" t="n"/>
      <c r="P65" s="390" t="n"/>
      <c r="Q65" s="171" t="n"/>
      <c r="R65" s="274" t="n"/>
      <c r="S65" s="176" t="n"/>
      <c r="T65" s="169" t="n"/>
      <c r="U65" s="169" t="n"/>
      <c r="V65" s="169" t="n"/>
      <c r="W65" s="169" t="n"/>
      <c r="X65" s="174" t="n"/>
      <c r="Y65" s="169" t="n"/>
      <c r="Z65" s="576" t="n"/>
      <c r="AA65" s="228" t="n"/>
      <c r="AB65" s="169" t="n"/>
      <c r="AC65" s="169" t="n"/>
      <c r="AD65" s="173" t="n"/>
      <c r="AE65" s="172" t="n"/>
      <c r="AF65" s="175" t="n"/>
      <c r="AG65" s="397" t="n"/>
      <c r="AH65" s="526" t="n"/>
      <c r="AJ65" s="391" t="n"/>
    </row>
    <row r="66" customFormat="1" s="141">
      <c r="A66" s="251">
        <f>+A65+1</f>
        <v/>
      </c>
      <c r="B66" s="295" t="n"/>
      <c r="C66" s="287" t="n"/>
      <c r="D66" s="288" t="n"/>
      <c r="E66" s="290" t="n"/>
      <c r="F66" s="291" t="n"/>
      <c r="G66" s="292" t="n"/>
      <c r="H66" s="285" t="n"/>
      <c r="I66" s="285" t="n"/>
      <c r="J66" s="293" t="n"/>
      <c r="K66" s="294" t="n"/>
      <c r="L66" s="294" t="n"/>
      <c r="M66" s="165" t="n"/>
      <c r="N66" s="164" t="n"/>
      <c r="O66" s="170" t="n"/>
      <c r="P66" s="390" t="n"/>
      <c r="Q66" s="171" t="n"/>
      <c r="R66" s="274" t="n"/>
      <c r="S66" s="176" t="n"/>
      <c r="T66" s="169" t="n"/>
      <c r="U66" s="169" t="n"/>
      <c r="V66" s="169" t="n"/>
      <c r="W66" s="169" t="n"/>
      <c r="X66" s="174" t="n"/>
      <c r="Y66" s="169" t="n"/>
      <c r="Z66" s="576" t="n"/>
      <c r="AA66" s="228" t="n"/>
      <c r="AB66" s="169" t="n"/>
      <c r="AC66" s="169" t="n"/>
      <c r="AD66" s="173" t="n"/>
      <c r="AE66" s="172" t="n"/>
      <c r="AF66" s="175" t="n"/>
      <c r="AG66" s="397" t="n"/>
      <c r="AH66" s="526" t="n"/>
      <c r="AJ66" s="391" t="n"/>
    </row>
    <row r="67" customFormat="1" s="141">
      <c r="A67" s="251">
        <f>+A66+1</f>
        <v/>
      </c>
      <c r="B67" s="295" t="n"/>
      <c r="C67" s="287" t="n"/>
      <c r="D67" s="288" t="n"/>
      <c r="E67" s="290" t="n"/>
      <c r="F67" s="291" t="n"/>
      <c r="G67" s="292" t="n"/>
      <c r="H67" s="285" t="n"/>
      <c r="I67" s="285" t="n"/>
      <c r="J67" s="293" t="n"/>
      <c r="K67" s="294" t="n"/>
      <c r="L67" s="294" t="n"/>
      <c r="M67" s="165" t="n"/>
      <c r="N67" s="164" t="n"/>
      <c r="O67" s="170" t="n"/>
      <c r="P67" s="390" t="n"/>
      <c r="Q67" s="171" t="n"/>
      <c r="R67" s="274" t="n"/>
      <c r="S67" s="176" t="n"/>
      <c r="T67" s="169" t="n"/>
      <c r="U67" s="169" t="n"/>
      <c r="V67" s="169" t="n"/>
      <c r="W67" s="169" t="n"/>
      <c r="X67" s="174" t="n"/>
      <c r="Y67" s="169" t="n"/>
      <c r="Z67" s="576" t="n"/>
      <c r="AA67" s="228" t="n"/>
      <c r="AB67" s="169" t="n"/>
      <c r="AC67" s="169" t="n"/>
      <c r="AD67" s="173" t="n"/>
      <c r="AE67" s="172" t="n"/>
      <c r="AF67" s="175" t="n"/>
      <c r="AG67" s="397" t="n"/>
      <c r="AH67" s="526" t="n"/>
      <c r="AJ67" s="391" t="n"/>
    </row>
    <row r="68" customFormat="1" s="141">
      <c r="A68" s="251">
        <f>+A67+1</f>
        <v/>
      </c>
      <c r="B68" s="295" t="n"/>
      <c r="C68" s="287" t="n"/>
      <c r="D68" s="288" t="n"/>
      <c r="E68" s="290" t="n"/>
      <c r="F68" s="291" t="n"/>
      <c r="G68" s="292" t="n"/>
      <c r="H68" s="285" t="n"/>
      <c r="I68" s="285" t="n"/>
      <c r="J68" s="293" t="n"/>
      <c r="K68" s="294" t="n"/>
      <c r="L68" s="294" t="n"/>
      <c r="M68" s="165" t="n"/>
      <c r="N68" s="164" t="n"/>
      <c r="O68" s="170" t="n"/>
      <c r="P68" s="390" t="n"/>
      <c r="Q68" s="171" t="n"/>
      <c r="R68" s="274" t="n"/>
      <c r="S68" s="176" t="n"/>
      <c r="T68" s="169" t="n"/>
      <c r="U68" s="169" t="n"/>
      <c r="V68" s="169" t="n"/>
      <c r="W68" s="169" t="n"/>
      <c r="X68" s="174" t="n"/>
      <c r="Y68" s="169" t="n"/>
      <c r="Z68" s="576" t="n"/>
      <c r="AA68" s="228" t="n"/>
      <c r="AB68" s="169" t="n"/>
      <c r="AC68" s="169" t="n"/>
      <c r="AD68" s="173" t="n"/>
      <c r="AE68" s="172" t="n"/>
      <c r="AF68" s="175" t="n"/>
      <c r="AG68" s="397" t="n"/>
      <c r="AH68" s="526" t="n"/>
      <c r="AJ68" s="391" t="n"/>
    </row>
    <row r="69" customFormat="1" s="141">
      <c r="A69" s="251">
        <f>+A68+1</f>
        <v/>
      </c>
      <c r="B69" s="295" t="n"/>
      <c r="C69" s="287" t="n"/>
      <c r="D69" s="288" t="n"/>
      <c r="E69" s="290" t="n"/>
      <c r="F69" s="291" t="n"/>
      <c r="G69" s="292" t="n"/>
      <c r="H69" s="285" t="n"/>
      <c r="I69" s="285" t="n"/>
      <c r="J69" s="293" t="n"/>
      <c r="K69" s="294" t="n"/>
      <c r="L69" s="294" t="n"/>
      <c r="M69" s="165" t="n"/>
      <c r="N69" s="164" t="n"/>
      <c r="O69" s="170" t="n"/>
      <c r="P69" s="390" t="n"/>
      <c r="Q69" s="171" t="n"/>
      <c r="R69" s="274" t="n"/>
      <c r="S69" s="176" t="n"/>
      <c r="T69" s="169" t="n"/>
      <c r="U69" s="169" t="n"/>
      <c r="V69" s="169" t="n"/>
      <c r="W69" s="169" t="n"/>
      <c r="X69" s="174" t="n"/>
      <c r="Y69" s="169" t="n"/>
      <c r="Z69" s="576" t="n"/>
      <c r="AA69" s="228" t="n"/>
      <c r="AB69" s="169" t="n"/>
      <c r="AC69" s="169" t="n"/>
      <c r="AD69" s="173" t="n"/>
      <c r="AE69" s="172" t="n"/>
      <c r="AF69" s="175" t="n"/>
      <c r="AG69" s="397" t="n"/>
      <c r="AH69" s="526" t="n"/>
      <c r="AJ69" s="391" t="n"/>
    </row>
    <row r="70" customFormat="1" s="141">
      <c r="A70" s="251">
        <f>+A69+1</f>
        <v/>
      </c>
      <c r="B70" s="295" t="n"/>
      <c r="C70" s="287" t="n"/>
      <c r="D70" s="288" t="n"/>
      <c r="E70" s="290" t="n"/>
      <c r="F70" s="291" t="n"/>
      <c r="G70" s="292" t="n"/>
      <c r="H70" s="285" t="n"/>
      <c r="I70" s="285" t="n"/>
      <c r="J70" s="293" t="n"/>
      <c r="K70" s="294" t="n"/>
      <c r="L70" s="294" t="n"/>
      <c r="M70" s="165" t="n"/>
      <c r="N70" s="164" t="n"/>
      <c r="O70" s="170" t="n"/>
      <c r="P70" s="390" t="n"/>
      <c r="Q70" s="171" t="n"/>
      <c r="R70" s="274" t="n"/>
      <c r="S70" s="176" t="n"/>
      <c r="T70" s="169" t="n"/>
      <c r="U70" s="169" t="n"/>
      <c r="V70" s="169" t="n"/>
      <c r="W70" s="169" t="n"/>
      <c r="X70" s="174" t="n"/>
      <c r="Y70" s="169" t="n"/>
      <c r="Z70" s="576" t="n"/>
      <c r="AA70" s="228" t="n"/>
      <c r="AB70" s="169" t="n"/>
      <c r="AC70" s="169" t="n"/>
      <c r="AD70" s="173" t="n"/>
      <c r="AE70" s="172" t="n"/>
      <c r="AF70" s="175" t="n"/>
      <c r="AG70" s="397" t="n"/>
      <c r="AH70" s="526" t="n"/>
      <c r="AJ70" s="391" t="n"/>
    </row>
    <row r="71" customFormat="1" s="141">
      <c r="A71" s="251">
        <f>+A70+1</f>
        <v/>
      </c>
      <c r="B71" s="295" t="n"/>
      <c r="C71" s="287" t="n"/>
      <c r="D71" s="288" t="n"/>
      <c r="E71" s="290" t="n"/>
      <c r="F71" s="291" t="n"/>
      <c r="G71" s="292" t="n"/>
      <c r="H71" s="285" t="n"/>
      <c r="I71" s="285" t="n"/>
      <c r="J71" s="293" t="n"/>
      <c r="K71" s="294" t="n"/>
      <c r="L71" s="294" t="n"/>
      <c r="M71" s="165" t="n"/>
      <c r="N71" s="164" t="n"/>
      <c r="O71" s="170" t="n"/>
      <c r="P71" s="390" t="n"/>
      <c r="Q71" s="171" t="n"/>
      <c r="R71" s="274" t="n"/>
      <c r="S71" s="176" t="n"/>
      <c r="T71" s="169" t="n"/>
      <c r="U71" s="169" t="n"/>
      <c r="V71" s="169" t="n"/>
      <c r="W71" s="169" t="n"/>
      <c r="X71" s="174" t="n"/>
      <c r="Y71" s="169" t="n"/>
      <c r="Z71" s="576" t="n"/>
      <c r="AA71" s="228" t="n"/>
      <c r="AB71" s="169" t="n"/>
      <c r="AC71" s="169" t="n"/>
      <c r="AD71" s="173" t="n"/>
      <c r="AE71" s="172" t="n"/>
      <c r="AF71" s="175" t="n"/>
      <c r="AG71" s="397" t="n"/>
      <c r="AH71" s="526" t="n"/>
      <c r="AJ71" s="391" t="n"/>
    </row>
    <row r="72" customFormat="1" s="141">
      <c r="A72" s="251">
        <f>+A71+1</f>
        <v/>
      </c>
      <c r="B72" s="295" t="n"/>
      <c r="C72" s="287" t="n"/>
      <c r="D72" s="288" t="n"/>
      <c r="E72" s="290" t="n"/>
      <c r="F72" s="291" t="n"/>
      <c r="G72" s="292" t="n"/>
      <c r="H72" s="285" t="n"/>
      <c r="I72" s="285" t="n"/>
      <c r="J72" s="293" t="n"/>
      <c r="K72" s="294" t="n"/>
      <c r="L72" s="294" t="n"/>
      <c r="M72" s="165" t="n"/>
      <c r="N72" s="164" t="n"/>
      <c r="O72" s="170" t="n"/>
      <c r="P72" s="390" t="n"/>
      <c r="Q72" s="171" t="n"/>
      <c r="R72" s="274" t="n"/>
      <c r="S72" s="176" t="n"/>
      <c r="T72" s="169" t="n"/>
      <c r="U72" s="169" t="n"/>
      <c r="V72" s="169" t="n"/>
      <c r="W72" s="169" t="n"/>
      <c r="X72" s="174" t="n"/>
      <c r="Y72" s="169" t="n"/>
      <c r="Z72" s="576" t="n"/>
      <c r="AA72" s="228" t="n"/>
      <c r="AB72" s="169" t="n"/>
      <c r="AC72" s="169" t="n"/>
      <c r="AD72" s="173" t="n"/>
      <c r="AE72" s="172" t="n"/>
      <c r="AF72" s="175" t="n"/>
      <c r="AG72" s="397" t="n"/>
      <c r="AH72" s="526" t="n"/>
      <c r="AJ72" s="391" t="n"/>
    </row>
    <row r="73" customFormat="1" s="141">
      <c r="A73" s="251">
        <f>+A72+1</f>
        <v/>
      </c>
      <c r="B73" s="295" t="n"/>
      <c r="C73" s="287" t="n"/>
      <c r="D73" s="288" t="n"/>
      <c r="E73" s="290" t="n"/>
      <c r="F73" s="291" t="n"/>
      <c r="G73" s="292" t="n"/>
      <c r="H73" s="285" t="n"/>
      <c r="I73" s="285" t="n"/>
      <c r="J73" s="293" t="n"/>
      <c r="K73" s="294" t="n"/>
      <c r="L73" s="294" t="n"/>
      <c r="M73" s="165" t="n"/>
      <c r="N73" s="164" t="n"/>
      <c r="O73" s="170" t="n"/>
      <c r="P73" s="390" t="n"/>
      <c r="Q73" s="171" t="n"/>
      <c r="R73" s="274" t="n"/>
      <c r="S73" s="176" t="n"/>
      <c r="T73" s="169" t="n"/>
      <c r="U73" s="169" t="n"/>
      <c r="V73" s="169" t="n"/>
      <c r="W73" s="169" t="n"/>
      <c r="X73" s="174" t="n"/>
      <c r="Y73" s="169" t="n"/>
      <c r="Z73" s="576" t="n"/>
      <c r="AA73" s="228" t="n"/>
      <c r="AB73" s="169" t="n"/>
      <c r="AC73" s="169" t="n"/>
      <c r="AD73" s="173" t="n"/>
      <c r="AE73" s="172" t="n"/>
      <c r="AF73" s="175" t="n"/>
      <c r="AG73" s="397" t="n"/>
      <c r="AH73" s="526" t="n"/>
      <c r="AJ73" s="391" t="n"/>
    </row>
    <row r="74" customFormat="1" s="141">
      <c r="A74" s="251">
        <f>+A73+1</f>
        <v/>
      </c>
      <c r="B74" s="295" t="n"/>
      <c r="C74" s="287" t="n"/>
      <c r="D74" s="288" t="n"/>
      <c r="E74" s="290" t="n"/>
      <c r="F74" s="291" t="n"/>
      <c r="G74" s="292" t="n"/>
      <c r="H74" s="285" t="n"/>
      <c r="I74" s="285" t="n"/>
      <c r="J74" s="293" t="n"/>
      <c r="K74" s="294" t="n"/>
      <c r="L74" s="294" t="n"/>
      <c r="M74" s="165" t="n"/>
      <c r="N74" s="164" t="n"/>
      <c r="O74" s="170" t="n"/>
      <c r="P74" s="390" t="n"/>
      <c r="Q74" s="171" t="n"/>
      <c r="R74" s="274" t="n"/>
      <c r="S74" s="176" t="n"/>
      <c r="T74" s="169" t="n"/>
      <c r="U74" s="169" t="n"/>
      <c r="V74" s="169" t="n"/>
      <c r="W74" s="169" t="n"/>
      <c r="X74" s="174" t="n"/>
      <c r="Y74" s="169" t="n"/>
      <c r="Z74" s="576" t="n"/>
      <c r="AA74" s="228" t="n"/>
      <c r="AB74" s="169" t="n"/>
      <c r="AC74" s="169" t="n"/>
      <c r="AD74" s="173" t="n"/>
      <c r="AE74" s="172" t="n"/>
      <c r="AF74" s="175" t="n"/>
      <c r="AG74" s="397" t="n"/>
      <c r="AH74" s="526" t="n"/>
      <c r="AJ74" s="391" t="n"/>
    </row>
    <row r="75" customFormat="1" s="141">
      <c r="A75" s="251">
        <f>+A74+1</f>
        <v/>
      </c>
      <c r="B75" s="295" t="n"/>
      <c r="C75" s="287" t="n"/>
      <c r="D75" s="288" t="n"/>
      <c r="E75" s="290" t="n"/>
      <c r="F75" s="291" t="n"/>
      <c r="G75" s="292" t="n"/>
      <c r="H75" s="285" t="n"/>
      <c r="I75" s="285" t="n"/>
      <c r="J75" s="293" t="n"/>
      <c r="K75" s="294" t="n"/>
      <c r="L75" s="294" t="n"/>
      <c r="M75" s="165" t="n"/>
      <c r="N75" s="164" t="n"/>
      <c r="O75" s="170" t="n"/>
      <c r="P75" s="390" t="n"/>
      <c r="Q75" s="171" t="n"/>
      <c r="R75" s="274" t="n"/>
      <c r="S75" s="176" t="n"/>
      <c r="T75" s="169" t="n"/>
      <c r="U75" s="169" t="n"/>
      <c r="V75" s="169" t="n"/>
      <c r="W75" s="169" t="n"/>
      <c r="X75" s="174" t="n"/>
      <c r="Y75" s="169" t="n"/>
      <c r="Z75" s="576" t="n"/>
      <c r="AA75" s="228" t="n"/>
      <c r="AB75" s="169" t="n"/>
      <c r="AC75" s="169" t="n"/>
      <c r="AD75" s="173" t="n"/>
      <c r="AE75" s="172" t="n"/>
      <c r="AF75" s="175" t="n"/>
      <c r="AG75" s="397" t="n"/>
      <c r="AH75" s="526" t="n"/>
      <c r="AJ75" s="391" t="n"/>
    </row>
    <row r="76" customFormat="1" s="141">
      <c r="A76" s="251">
        <f>+A75+1</f>
        <v/>
      </c>
      <c r="B76" s="295" t="n"/>
      <c r="C76" s="287" t="n"/>
      <c r="D76" s="288" t="n"/>
      <c r="E76" s="290" t="n"/>
      <c r="F76" s="291" t="n"/>
      <c r="G76" s="292" t="n"/>
      <c r="H76" s="285" t="n"/>
      <c r="I76" s="285" t="n"/>
      <c r="J76" s="293" t="n"/>
      <c r="K76" s="294" t="n"/>
      <c r="L76" s="294" t="n"/>
      <c r="M76" s="165" t="n"/>
      <c r="N76" s="164" t="n"/>
      <c r="O76" s="170" t="n"/>
      <c r="P76" s="390" t="n"/>
      <c r="Q76" s="171" t="n"/>
      <c r="R76" s="274" t="n"/>
      <c r="S76" s="176" t="n"/>
      <c r="T76" s="169" t="n"/>
      <c r="U76" s="169" t="n"/>
      <c r="V76" s="169" t="n"/>
      <c r="W76" s="169" t="n"/>
      <c r="X76" s="174" t="n"/>
      <c r="Y76" s="169" t="n"/>
      <c r="Z76" s="576" t="n"/>
      <c r="AA76" s="228" t="n"/>
      <c r="AB76" s="169" t="n"/>
      <c r="AC76" s="169" t="n"/>
      <c r="AD76" s="173" t="n"/>
      <c r="AE76" s="172" t="n"/>
      <c r="AF76" s="175" t="n"/>
      <c r="AG76" s="397" t="n"/>
      <c r="AH76" s="526" t="n"/>
      <c r="AJ76" s="391" t="n"/>
    </row>
    <row r="77" customFormat="1" s="141">
      <c r="A77" s="251">
        <f>+A76+1</f>
        <v/>
      </c>
      <c r="B77" s="295" t="n"/>
      <c r="C77" s="287" t="n"/>
      <c r="D77" s="288" t="n"/>
      <c r="E77" s="290" t="n"/>
      <c r="F77" s="291" t="n"/>
      <c r="G77" s="292" t="n"/>
      <c r="H77" s="285" t="n"/>
      <c r="I77" s="285" t="n"/>
      <c r="J77" s="293" t="n"/>
      <c r="K77" s="294" t="n"/>
      <c r="L77" s="294" t="n"/>
      <c r="M77" s="165" t="n"/>
      <c r="N77" s="164" t="n"/>
      <c r="O77" s="170" t="n"/>
      <c r="P77" s="390" t="n"/>
      <c r="Q77" s="171" t="n"/>
      <c r="R77" s="274" t="n"/>
      <c r="S77" s="176" t="n"/>
      <c r="T77" s="169" t="n"/>
      <c r="U77" s="169" t="n"/>
      <c r="V77" s="169" t="n"/>
      <c r="W77" s="169" t="n"/>
      <c r="X77" s="174" t="n"/>
      <c r="Y77" s="169" t="n"/>
      <c r="Z77" s="576" t="n"/>
      <c r="AA77" s="228" t="n"/>
      <c r="AB77" s="169" t="n"/>
      <c r="AC77" s="169" t="n"/>
      <c r="AD77" s="173" t="n"/>
      <c r="AE77" s="172" t="n"/>
      <c r="AF77" s="175" t="n"/>
      <c r="AG77" s="397" t="n"/>
      <c r="AH77" s="526" t="n"/>
      <c r="AJ77" s="391" t="n"/>
    </row>
    <row r="78" customFormat="1" s="141">
      <c r="A78" s="251">
        <f>+A77+1</f>
        <v/>
      </c>
      <c r="B78" s="295" t="n"/>
      <c r="C78" s="287" t="n"/>
      <c r="D78" s="288" t="n"/>
      <c r="E78" s="290" t="n"/>
      <c r="F78" s="291" t="n"/>
      <c r="G78" s="292" t="n"/>
      <c r="H78" s="285" t="n"/>
      <c r="I78" s="285" t="n"/>
      <c r="J78" s="293" t="n"/>
      <c r="K78" s="294" t="n"/>
      <c r="L78" s="294" t="n"/>
      <c r="M78" s="165" t="n"/>
      <c r="N78" s="164" t="n"/>
      <c r="O78" s="170" t="n"/>
      <c r="P78" s="390" t="n"/>
      <c r="Q78" s="171" t="n"/>
      <c r="R78" s="274" t="n"/>
      <c r="S78" s="176" t="n"/>
      <c r="T78" s="169" t="n"/>
      <c r="U78" s="169" t="n"/>
      <c r="V78" s="169" t="n"/>
      <c r="W78" s="169" t="n"/>
      <c r="X78" s="174" t="n"/>
      <c r="Y78" s="169" t="n"/>
      <c r="Z78" s="576" t="n"/>
      <c r="AA78" s="228" t="n"/>
      <c r="AB78" s="169" t="n"/>
      <c r="AC78" s="169" t="n"/>
      <c r="AD78" s="173" t="n"/>
      <c r="AE78" s="172" t="n"/>
      <c r="AF78" s="175" t="n"/>
      <c r="AG78" s="397" t="n"/>
      <c r="AH78" s="526" t="n"/>
      <c r="AJ78" s="391" t="n"/>
    </row>
    <row r="79" customFormat="1" s="141">
      <c r="A79" s="251">
        <f>+A78+1</f>
        <v/>
      </c>
      <c r="B79" s="295" t="n"/>
      <c r="C79" s="287" t="n"/>
      <c r="D79" s="288" t="n"/>
      <c r="E79" s="290" t="n"/>
      <c r="F79" s="291" t="n"/>
      <c r="G79" s="292" t="n"/>
      <c r="H79" s="285" t="n"/>
      <c r="I79" s="285" t="n"/>
      <c r="J79" s="293" t="n"/>
      <c r="K79" s="294" t="n"/>
      <c r="L79" s="294" t="n"/>
      <c r="M79" s="165" t="n"/>
      <c r="N79" s="164" t="n"/>
      <c r="O79" s="170" t="n"/>
      <c r="P79" s="390" t="n"/>
      <c r="Q79" s="171" t="n"/>
      <c r="R79" s="274" t="n"/>
      <c r="S79" s="176" t="n"/>
      <c r="T79" s="169" t="n"/>
      <c r="U79" s="169" t="n"/>
      <c r="V79" s="169" t="n"/>
      <c r="W79" s="169" t="n"/>
      <c r="X79" s="174" t="n"/>
      <c r="Y79" s="169" t="n"/>
      <c r="Z79" s="576" t="n"/>
      <c r="AA79" s="228" t="n"/>
      <c r="AB79" s="169" t="n"/>
      <c r="AC79" s="169" t="n"/>
      <c r="AD79" s="173" t="n"/>
      <c r="AE79" s="172" t="n"/>
      <c r="AF79" s="175" t="n"/>
      <c r="AG79" s="397" t="n"/>
      <c r="AH79" s="526" t="n"/>
      <c r="AJ79" s="391" t="n"/>
    </row>
    <row r="80" customFormat="1" s="141">
      <c r="A80" s="251">
        <f>+A79+1</f>
        <v/>
      </c>
      <c r="B80" s="295" t="n"/>
      <c r="C80" s="287" t="n"/>
      <c r="D80" s="288" t="n"/>
      <c r="E80" s="290" t="n"/>
      <c r="F80" s="291" t="n"/>
      <c r="G80" s="292" t="n"/>
      <c r="H80" s="285" t="n"/>
      <c r="I80" s="285" t="n"/>
      <c r="J80" s="293" t="n"/>
      <c r="K80" s="294" t="n"/>
      <c r="L80" s="294" t="n"/>
      <c r="M80" s="165" t="n"/>
      <c r="N80" s="164" t="n"/>
      <c r="O80" s="170" t="n"/>
      <c r="P80" s="390" t="n"/>
      <c r="Q80" s="171" t="n"/>
      <c r="R80" s="274" t="n"/>
      <c r="S80" s="176" t="n"/>
      <c r="T80" s="169" t="n"/>
      <c r="U80" s="169" t="n"/>
      <c r="V80" s="169" t="n"/>
      <c r="W80" s="169" t="n"/>
      <c r="X80" s="174" t="n"/>
      <c r="Y80" s="169" t="n"/>
      <c r="Z80" s="576" t="n"/>
      <c r="AA80" s="228" t="n"/>
      <c r="AB80" s="169" t="n"/>
      <c r="AC80" s="169" t="n"/>
      <c r="AD80" s="173" t="n"/>
      <c r="AE80" s="172" t="n"/>
      <c r="AF80" s="175" t="n"/>
      <c r="AG80" s="397" t="n"/>
      <c r="AH80" s="526" t="n"/>
      <c r="AJ80" s="391" t="n"/>
    </row>
    <row r="81" customFormat="1" s="141">
      <c r="A81" s="251">
        <f>+A80+1</f>
        <v/>
      </c>
      <c r="B81" s="295" t="n"/>
      <c r="C81" s="287" t="n"/>
      <c r="D81" s="288" t="n"/>
      <c r="E81" s="290" t="n"/>
      <c r="F81" s="291" t="n"/>
      <c r="G81" s="292" t="n"/>
      <c r="H81" s="285" t="n"/>
      <c r="I81" s="285" t="n"/>
      <c r="J81" s="293" t="n"/>
      <c r="K81" s="294" t="n"/>
      <c r="L81" s="294" t="n"/>
      <c r="M81" s="165" t="n"/>
      <c r="N81" s="164" t="n"/>
      <c r="O81" s="170" t="n"/>
      <c r="P81" s="390" t="n"/>
      <c r="Q81" s="171" t="n"/>
      <c r="R81" s="274" t="n"/>
      <c r="S81" s="176" t="n"/>
      <c r="T81" s="169" t="n"/>
      <c r="U81" s="169" t="n"/>
      <c r="V81" s="169" t="n"/>
      <c r="W81" s="169" t="n"/>
      <c r="X81" s="174" t="n"/>
      <c r="Y81" s="169" t="n"/>
      <c r="Z81" s="576" t="n"/>
      <c r="AA81" s="228" t="n"/>
      <c r="AB81" s="169" t="n"/>
      <c r="AC81" s="169" t="n"/>
      <c r="AD81" s="173" t="n"/>
      <c r="AE81" s="172" t="n"/>
      <c r="AF81" s="175" t="n"/>
      <c r="AG81" s="397" t="n"/>
      <c r="AH81" s="526" t="n"/>
      <c r="AJ81" s="391" t="n"/>
    </row>
    <row r="82" customFormat="1" s="141">
      <c r="A82" s="251">
        <f>+A81+1</f>
        <v/>
      </c>
      <c r="B82" s="295" t="n"/>
      <c r="C82" s="287" t="n"/>
      <c r="D82" s="288" t="n"/>
      <c r="E82" s="290" t="n"/>
      <c r="F82" s="291" t="n"/>
      <c r="G82" s="292" t="n"/>
      <c r="H82" s="285" t="n"/>
      <c r="I82" s="285" t="n"/>
      <c r="J82" s="293" t="n"/>
      <c r="K82" s="294" t="n"/>
      <c r="L82" s="294" t="n"/>
      <c r="M82" s="165" t="n"/>
      <c r="N82" s="164" t="n"/>
      <c r="O82" s="170" t="n"/>
      <c r="P82" s="390" t="n"/>
      <c r="Q82" s="171" t="n"/>
      <c r="R82" s="274" t="n"/>
      <c r="S82" s="176" t="n"/>
      <c r="T82" s="169" t="n"/>
      <c r="U82" s="169" t="n"/>
      <c r="V82" s="169" t="n"/>
      <c r="W82" s="169" t="n"/>
      <c r="X82" s="174" t="n"/>
      <c r="Y82" s="169" t="n"/>
      <c r="Z82" s="576" t="n"/>
      <c r="AA82" s="228" t="n"/>
      <c r="AB82" s="169" t="n"/>
      <c r="AC82" s="169" t="n"/>
      <c r="AD82" s="173" t="n"/>
      <c r="AE82" s="172" t="n"/>
      <c r="AF82" s="175" t="n"/>
      <c r="AG82" s="397" t="n"/>
      <c r="AH82" s="526" t="n"/>
      <c r="AJ82" s="391" t="n"/>
    </row>
    <row r="83" customFormat="1" s="141">
      <c r="A83" s="251">
        <f>+A82+1</f>
        <v/>
      </c>
      <c r="B83" s="295" t="n"/>
      <c r="C83" s="287" t="n"/>
      <c r="D83" s="288" t="n"/>
      <c r="E83" s="290" t="n"/>
      <c r="F83" s="291" t="n"/>
      <c r="G83" s="292" t="n"/>
      <c r="H83" s="285" t="n"/>
      <c r="I83" s="285" t="n"/>
      <c r="J83" s="293" t="n"/>
      <c r="K83" s="294" t="n"/>
      <c r="L83" s="294" t="n"/>
      <c r="M83" s="165" t="n"/>
      <c r="N83" s="164" t="n"/>
      <c r="O83" s="170" t="n"/>
      <c r="P83" s="390" t="n"/>
      <c r="Q83" s="171" t="n"/>
      <c r="R83" s="274" t="n"/>
      <c r="S83" s="176" t="n"/>
      <c r="T83" s="169" t="n"/>
      <c r="U83" s="169" t="n"/>
      <c r="V83" s="169" t="n"/>
      <c r="W83" s="169" t="n"/>
      <c r="X83" s="174" t="n"/>
      <c r="Y83" s="169" t="n"/>
      <c r="Z83" s="576" t="n"/>
      <c r="AA83" s="228" t="n"/>
      <c r="AB83" s="169" t="n"/>
      <c r="AC83" s="169" t="n"/>
      <c r="AD83" s="173" t="n"/>
      <c r="AE83" s="172" t="n"/>
      <c r="AF83" s="175" t="n"/>
      <c r="AG83" s="397" t="n"/>
      <c r="AH83" s="526" t="n"/>
      <c r="AJ83" s="391" t="n"/>
    </row>
    <row r="84" customFormat="1" s="141">
      <c r="A84" s="251">
        <f>+A83+1</f>
        <v/>
      </c>
      <c r="B84" s="295" t="n"/>
      <c r="C84" s="287" t="n"/>
      <c r="D84" s="288" t="n"/>
      <c r="E84" s="290" t="n"/>
      <c r="F84" s="291" t="n"/>
      <c r="G84" s="292" t="n"/>
      <c r="H84" s="285" t="n"/>
      <c r="I84" s="285" t="n"/>
      <c r="J84" s="293" t="n"/>
      <c r="K84" s="294" t="n"/>
      <c r="L84" s="294" t="n"/>
      <c r="M84" s="165" t="n"/>
      <c r="N84" s="164" t="n"/>
      <c r="O84" s="170" t="n"/>
      <c r="P84" s="390" t="n"/>
      <c r="Q84" s="171" t="n"/>
      <c r="R84" s="274" t="n"/>
      <c r="S84" s="176" t="n"/>
      <c r="T84" s="169" t="n"/>
      <c r="U84" s="169" t="n"/>
      <c r="V84" s="169" t="n"/>
      <c r="W84" s="169" t="n"/>
      <c r="X84" s="174" t="n"/>
      <c r="Y84" s="169" t="n"/>
      <c r="Z84" s="576" t="n"/>
      <c r="AA84" s="228" t="n"/>
      <c r="AB84" s="169" t="n"/>
      <c r="AC84" s="169" t="n"/>
      <c r="AD84" s="173" t="n"/>
      <c r="AE84" s="172" t="n"/>
      <c r="AF84" s="175" t="n"/>
      <c r="AG84" s="397" t="n"/>
      <c r="AH84" s="526" t="n"/>
      <c r="AJ84" s="391" t="n"/>
    </row>
    <row r="85" customFormat="1" s="141">
      <c r="A85" s="251">
        <f>+A84+1</f>
        <v/>
      </c>
      <c r="B85" s="295" t="n"/>
      <c r="C85" s="287" t="n"/>
      <c r="D85" s="288" t="n"/>
      <c r="E85" s="290" t="n"/>
      <c r="F85" s="291" t="n"/>
      <c r="G85" s="292" t="n"/>
      <c r="H85" s="285" t="n"/>
      <c r="I85" s="285" t="n"/>
      <c r="J85" s="293" t="n"/>
      <c r="K85" s="294" t="n"/>
      <c r="L85" s="294" t="n"/>
      <c r="M85" s="165" t="n"/>
      <c r="N85" s="164" t="n"/>
      <c r="O85" s="170" t="n"/>
      <c r="P85" s="390" t="n"/>
      <c r="Q85" s="171" t="n"/>
      <c r="R85" s="274" t="n"/>
      <c r="S85" s="176" t="n"/>
      <c r="T85" s="169" t="n"/>
      <c r="U85" s="169" t="n"/>
      <c r="V85" s="169" t="n"/>
      <c r="W85" s="169" t="n"/>
      <c r="X85" s="174" t="n"/>
      <c r="Y85" s="169" t="n"/>
      <c r="Z85" s="576" t="n"/>
      <c r="AA85" s="228" t="n"/>
      <c r="AB85" s="169" t="n"/>
      <c r="AC85" s="169" t="n"/>
      <c r="AD85" s="173" t="n"/>
      <c r="AE85" s="172" t="n"/>
      <c r="AF85" s="175" t="n"/>
      <c r="AG85" s="397" t="n"/>
      <c r="AH85" s="526" t="n"/>
      <c r="AJ85" s="391" t="n"/>
    </row>
    <row r="86" customFormat="1" s="141">
      <c r="A86" s="251">
        <f>+A85+1</f>
        <v/>
      </c>
      <c r="B86" s="295" t="n"/>
      <c r="C86" s="287" t="n"/>
      <c r="D86" s="288" t="n"/>
      <c r="E86" s="290" t="n"/>
      <c r="F86" s="291" t="n"/>
      <c r="G86" s="292" t="n"/>
      <c r="H86" s="285" t="n"/>
      <c r="I86" s="285" t="n"/>
      <c r="J86" s="293" t="n"/>
      <c r="K86" s="294" t="n"/>
      <c r="L86" s="294" t="n"/>
      <c r="M86" s="165" t="n"/>
      <c r="N86" s="164" t="n"/>
      <c r="O86" s="170" t="n"/>
      <c r="P86" s="390" t="n"/>
      <c r="Q86" s="171" t="n"/>
      <c r="R86" s="274" t="n"/>
      <c r="S86" s="176" t="n"/>
      <c r="T86" s="169" t="n"/>
      <c r="U86" s="169" t="n"/>
      <c r="V86" s="169" t="n"/>
      <c r="W86" s="169" t="n"/>
      <c r="X86" s="174" t="n"/>
      <c r="Y86" s="169" t="n"/>
      <c r="Z86" s="576" t="n"/>
      <c r="AA86" s="228" t="n"/>
      <c r="AB86" s="169" t="n"/>
      <c r="AC86" s="169" t="n"/>
      <c r="AD86" s="173" t="n"/>
      <c r="AE86" s="172" t="n"/>
      <c r="AF86" s="175" t="n"/>
      <c r="AG86" s="397" t="n"/>
      <c r="AH86" s="526" t="n"/>
      <c r="AJ86" s="391" t="n"/>
    </row>
    <row r="87" customFormat="1" s="141">
      <c r="A87" s="251">
        <f>+A86+1</f>
        <v/>
      </c>
      <c r="B87" s="295" t="n"/>
      <c r="C87" s="287" t="n"/>
      <c r="D87" s="288" t="n"/>
      <c r="E87" s="290" t="n"/>
      <c r="F87" s="291" t="n"/>
      <c r="G87" s="292" t="n"/>
      <c r="H87" s="285" t="n"/>
      <c r="I87" s="285" t="n"/>
      <c r="J87" s="293" t="n"/>
      <c r="K87" s="294" t="n"/>
      <c r="L87" s="294" t="n"/>
      <c r="M87" s="165" t="n"/>
      <c r="N87" s="164" t="n"/>
      <c r="O87" s="170" t="n"/>
      <c r="P87" s="390" t="n"/>
      <c r="Q87" s="171" t="n"/>
      <c r="R87" s="274" t="n"/>
      <c r="S87" s="176" t="n"/>
      <c r="T87" s="169" t="n"/>
      <c r="U87" s="169" t="n"/>
      <c r="V87" s="169" t="n"/>
      <c r="W87" s="169" t="n"/>
      <c r="X87" s="174" t="n"/>
      <c r="Y87" s="169" t="n"/>
      <c r="Z87" s="576" t="n"/>
      <c r="AA87" s="228" t="n"/>
      <c r="AB87" s="169" t="n"/>
      <c r="AC87" s="169" t="n"/>
      <c r="AD87" s="173" t="n"/>
      <c r="AE87" s="172" t="n"/>
      <c r="AF87" s="175" t="n"/>
      <c r="AG87" s="397" t="n"/>
      <c r="AH87" s="526" t="n"/>
      <c r="AJ87" s="391" t="n"/>
    </row>
    <row r="88" customFormat="1" s="141">
      <c r="A88" s="251">
        <f>+A87+1</f>
        <v/>
      </c>
      <c r="B88" s="295" t="n"/>
      <c r="C88" s="287" t="n"/>
      <c r="D88" s="288" t="n"/>
      <c r="E88" s="290" t="n"/>
      <c r="F88" s="291" t="n"/>
      <c r="G88" s="292" t="n"/>
      <c r="H88" s="285" t="n"/>
      <c r="I88" s="285" t="n"/>
      <c r="J88" s="293" t="n"/>
      <c r="K88" s="294" t="n"/>
      <c r="L88" s="294" t="n"/>
      <c r="M88" s="165" t="n"/>
      <c r="N88" s="164" t="n"/>
      <c r="O88" s="170" t="n"/>
      <c r="P88" s="390" t="n"/>
      <c r="Q88" s="171" t="n"/>
      <c r="R88" s="274" t="n"/>
      <c r="S88" s="176" t="n"/>
      <c r="T88" s="169" t="n"/>
      <c r="U88" s="169" t="n"/>
      <c r="V88" s="169" t="n"/>
      <c r="W88" s="169" t="n"/>
      <c r="X88" s="174" t="n"/>
      <c r="Y88" s="169" t="n"/>
      <c r="Z88" s="576" t="n"/>
      <c r="AA88" s="228" t="n"/>
      <c r="AB88" s="169" t="n"/>
      <c r="AC88" s="169" t="n"/>
      <c r="AD88" s="173" t="n"/>
      <c r="AE88" s="172" t="n"/>
      <c r="AF88" s="175" t="n"/>
      <c r="AG88" s="397" t="n"/>
      <c r="AH88" s="526" t="n"/>
      <c r="AJ88" s="391" t="n"/>
    </row>
    <row r="89" customFormat="1" s="141">
      <c r="A89" s="251">
        <f>+A88+1</f>
        <v/>
      </c>
      <c r="B89" s="295" t="n"/>
      <c r="C89" s="287" t="n"/>
      <c r="D89" s="288" t="n"/>
      <c r="E89" s="290" t="n"/>
      <c r="F89" s="291" t="n"/>
      <c r="G89" s="292" t="n"/>
      <c r="H89" s="285" t="n"/>
      <c r="I89" s="285" t="n"/>
      <c r="J89" s="293" t="n"/>
      <c r="K89" s="294" t="n"/>
      <c r="L89" s="294" t="n"/>
      <c r="M89" s="165" t="n"/>
      <c r="N89" s="164" t="n"/>
      <c r="O89" s="170" t="n"/>
      <c r="P89" s="390" t="n"/>
      <c r="Q89" s="171" t="n"/>
      <c r="R89" s="274" t="n"/>
      <c r="S89" s="176" t="n"/>
      <c r="T89" s="169" t="n"/>
      <c r="U89" s="169" t="n"/>
      <c r="V89" s="169" t="n"/>
      <c r="W89" s="169" t="n"/>
      <c r="X89" s="174" t="n"/>
      <c r="Y89" s="169" t="n"/>
      <c r="Z89" s="576" t="n"/>
      <c r="AA89" s="228" t="n"/>
      <c r="AB89" s="169" t="n"/>
      <c r="AC89" s="169" t="n"/>
      <c r="AD89" s="173" t="n"/>
      <c r="AE89" s="172" t="n"/>
      <c r="AF89" s="175" t="n"/>
      <c r="AG89" s="397" t="n"/>
      <c r="AH89" s="526" t="n"/>
      <c r="AJ89" s="391" t="n"/>
    </row>
    <row r="90" customFormat="1" s="141">
      <c r="A90" s="251">
        <f>+A89+1</f>
        <v/>
      </c>
      <c r="B90" s="295" t="n"/>
      <c r="C90" s="287" t="n"/>
      <c r="D90" s="288" t="n"/>
      <c r="E90" s="290" t="n"/>
      <c r="F90" s="291" t="n"/>
      <c r="G90" s="292" t="n"/>
      <c r="H90" s="285" t="n"/>
      <c r="I90" s="285" t="n"/>
      <c r="J90" s="293" t="n"/>
      <c r="K90" s="294" t="n"/>
      <c r="L90" s="294" t="n"/>
      <c r="M90" s="165" t="n"/>
      <c r="N90" s="164" t="n"/>
      <c r="O90" s="170" t="n"/>
      <c r="P90" s="390" t="n"/>
      <c r="Q90" s="171" t="n"/>
      <c r="R90" s="274" t="n"/>
      <c r="S90" s="176" t="n"/>
      <c r="T90" s="169" t="n"/>
      <c r="U90" s="169" t="n"/>
      <c r="V90" s="169" t="n"/>
      <c r="W90" s="169" t="n"/>
      <c r="X90" s="174" t="n"/>
      <c r="Y90" s="169" t="n"/>
      <c r="Z90" s="576" t="n"/>
      <c r="AA90" s="228" t="n"/>
      <c r="AB90" s="169" t="n"/>
      <c r="AC90" s="169" t="n"/>
      <c r="AD90" s="173" t="n"/>
      <c r="AE90" s="172" t="n"/>
      <c r="AF90" s="175" t="n"/>
      <c r="AG90" s="397" t="n"/>
      <c r="AH90" s="526" t="n"/>
      <c r="AJ90" s="391" t="n"/>
    </row>
    <row r="91" customFormat="1" s="141">
      <c r="A91" s="251">
        <f>+A90+1</f>
        <v/>
      </c>
      <c r="B91" s="295" t="n"/>
      <c r="C91" s="287" t="n"/>
      <c r="D91" s="288" t="n"/>
      <c r="E91" s="290" t="n"/>
      <c r="F91" s="291" t="n"/>
      <c r="G91" s="292" t="n"/>
      <c r="H91" s="285" t="n"/>
      <c r="I91" s="285" t="n"/>
      <c r="J91" s="293" t="n"/>
      <c r="K91" s="294" t="n"/>
      <c r="L91" s="294" t="n"/>
      <c r="M91" s="165" t="n"/>
      <c r="N91" s="164" t="n"/>
      <c r="O91" s="170" t="n"/>
      <c r="P91" s="390" t="n"/>
      <c r="Q91" s="171" t="n"/>
      <c r="R91" s="274" t="n"/>
      <c r="S91" s="176" t="n"/>
      <c r="T91" s="169" t="n"/>
      <c r="U91" s="169" t="n"/>
      <c r="V91" s="169" t="n"/>
      <c r="W91" s="169" t="n"/>
      <c r="X91" s="174" t="n"/>
      <c r="Y91" s="169" t="n"/>
      <c r="Z91" s="576" t="n"/>
      <c r="AA91" s="228" t="n"/>
      <c r="AB91" s="169" t="n"/>
      <c r="AC91" s="169" t="n"/>
      <c r="AD91" s="173" t="n"/>
      <c r="AE91" s="172" t="n"/>
      <c r="AF91" s="175" t="n"/>
      <c r="AG91" s="397" t="n"/>
      <c r="AH91" s="526" t="n"/>
      <c r="AJ91" s="391" t="n"/>
    </row>
    <row r="92" customFormat="1" s="141">
      <c r="A92" s="251">
        <f>+A91+1</f>
        <v/>
      </c>
      <c r="B92" s="295" t="n"/>
      <c r="C92" s="287" t="n"/>
      <c r="D92" s="288" t="n"/>
      <c r="E92" s="290" t="n"/>
      <c r="F92" s="291" t="n"/>
      <c r="G92" s="292" t="n"/>
      <c r="H92" s="285" t="n"/>
      <c r="I92" s="285" t="n"/>
      <c r="J92" s="293" t="n"/>
      <c r="K92" s="294" t="n"/>
      <c r="L92" s="294" t="n"/>
      <c r="M92" s="165" t="n"/>
      <c r="N92" s="164" t="n"/>
      <c r="O92" s="170" t="n"/>
      <c r="P92" s="390" t="n"/>
      <c r="Q92" s="171" t="n"/>
      <c r="R92" s="274" t="n"/>
      <c r="S92" s="176" t="n"/>
      <c r="T92" s="169" t="n"/>
      <c r="U92" s="169" t="n"/>
      <c r="V92" s="169" t="n"/>
      <c r="W92" s="169" t="n"/>
      <c r="X92" s="174" t="n"/>
      <c r="Y92" s="169" t="n"/>
      <c r="Z92" s="576" t="n"/>
      <c r="AA92" s="228" t="n"/>
      <c r="AB92" s="169" t="n"/>
      <c r="AC92" s="169" t="n"/>
      <c r="AD92" s="173" t="n"/>
      <c r="AE92" s="172" t="n"/>
      <c r="AF92" s="175" t="n"/>
      <c r="AG92" s="397" t="n"/>
      <c r="AH92" s="526" t="n"/>
      <c r="AJ92" s="391" t="n"/>
    </row>
    <row r="93" customFormat="1" s="141">
      <c r="A93" s="251">
        <f>+A92+1</f>
        <v/>
      </c>
      <c r="B93" s="295" t="n"/>
      <c r="C93" s="287" t="n"/>
      <c r="D93" s="288" t="n"/>
      <c r="E93" s="290" t="n"/>
      <c r="F93" s="291" t="n"/>
      <c r="G93" s="292" t="n"/>
      <c r="H93" s="285" t="n"/>
      <c r="I93" s="285" t="n"/>
      <c r="J93" s="293" t="n"/>
      <c r="K93" s="294" t="n"/>
      <c r="L93" s="294" t="n"/>
      <c r="M93" s="165" t="n"/>
      <c r="N93" s="164" t="n"/>
      <c r="O93" s="170" t="n"/>
      <c r="P93" s="390" t="n"/>
      <c r="Q93" s="171" t="n"/>
      <c r="R93" s="274" t="n"/>
      <c r="S93" s="176" t="n"/>
      <c r="T93" s="169" t="n"/>
      <c r="U93" s="169" t="n"/>
      <c r="V93" s="169" t="n"/>
      <c r="W93" s="169" t="n"/>
      <c r="X93" s="174" t="n"/>
      <c r="Y93" s="169" t="n"/>
      <c r="Z93" s="576" t="n"/>
      <c r="AA93" s="228" t="n"/>
      <c r="AB93" s="169" t="n"/>
      <c r="AC93" s="169" t="n"/>
      <c r="AD93" s="173" t="n"/>
      <c r="AE93" s="172" t="n"/>
      <c r="AF93" s="175" t="n"/>
      <c r="AG93" s="397" t="n"/>
      <c r="AH93" s="526" t="n"/>
      <c r="AJ93" s="391" t="n"/>
    </row>
    <row r="94" customFormat="1" s="141">
      <c r="A94" s="251">
        <f>+A93+1</f>
        <v/>
      </c>
      <c r="B94" s="295" t="n"/>
      <c r="C94" s="287" t="n"/>
      <c r="D94" s="288" t="n"/>
      <c r="E94" s="290" t="n"/>
      <c r="F94" s="291" t="n"/>
      <c r="G94" s="292" t="n"/>
      <c r="H94" s="285" t="n"/>
      <c r="I94" s="285" t="n"/>
      <c r="J94" s="293" t="n"/>
      <c r="K94" s="294" t="n"/>
      <c r="L94" s="294" t="n"/>
      <c r="M94" s="165" t="n"/>
      <c r="N94" s="164" t="n"/>
      <c r="O94" s="170" t="n"/>
      <c r="P94" s="390" t="n"/>
      <c r="Q94" s="171" t="n"/>
      <c r="R94" s="274" t="n"/>
      <c r="S94" s="176" t="n"/>
      <c r="T94" s="169" t="n"/>
      <c r="U94" s="169" t="n"/>
      <c r="V94" s="169" t="n"/>
      <c r="W94" s="169" t="n"/>
      <c r="X94" s="174" t="n"/>
      <c r="Y94" s="169" t="n"/>
      <c r="Z94" s="576" t="n"/>
      <c r="AA94" s="228" t="n"/>
      <c r="AB94" s="169" t="n"/>
      <c r="AC94" s="169" t="n"/>
      <c r="AD94" s="173" t="n"/>
      <c r="AE94" s="172" t="n"/>
      <c r="AF94" s="175" t="n"/>
      <c r="AG94" s="397" t="n"/>
      <c r="AH94" s="526" t="n"/>
      <c r="AJ94" s="391" t="n"/>
    </row>
    <row r="95" customFormat="1" s="141">
      <c r="A95" s="251">
        <f>+A94+1</f>
        <v/>
      </c>
      <c r="B95" s="295" t="n"/>
      <c r="C95" s="287" t="n"/>
      <c r="D95" s="288" t="n"/>
      <c r="E95" s="290" t="n"/>
      <c r="F95" s="291" t="n"/>
      <c r="G95" s="292" t="n"/>
      <c r="H95" s="285" t="n"/>
      <c r="I95" s="285" t="n"/>
      <c r="J95" s="293" t="n"/>
      <c r="K95" s="294" t="n"/>
      <c r="L95" s="294" t="n"/>
      <c r="M95" s="165" t="n"/>
      <c r="N95" s="164" t="n"/>
      <c r="O95" s="170" t="n"/>
      <c r="P95" s="390" t="n"/>
      <c r="Q95" s="171" t="n"/>
      <c r="R95" s="274" t="n"/>
      <c r="S95" s="171" t="n"/>
      <c r="T95" s="169" t="n"/>
      <c r="U95" s="169" t="n"/>
      <c r="V95" s="169" t="n"/>
      <c r="W95" s="169" t="n"/>
      <c r="X95" s="174" t="n"/>
      <c r="Y95" s="169" t="n"/>
      <c r="Z95" s="576" t="n"/>
      <c r="AA95" s="228" t="n"/>
      <c r="AB95" s="169" t="n"/>
      <c r="AC95" s="169" t="n"/>
      <c r="AD95" s="173" t="n"/>
      <c r="AE95" s="172" t="n"/>
      <c r="AF95" s="175" t="n"/>
      <c r="AG95" s="397" t="n"/>
      <c r="AH95" s="526" t="n"/>
      <c r="AJ95" s="391" t="n"/>
    </row>
    <row r="96" customFormat="1" s="141">
      <c r="A96" s="251">
        <f>+A95+1</f>
        <v/>
      </c>
      <c r="B96" s="295" t="n"/>
      <c r="C96" s="287" t="n"/>
      <c r="D96" s="288" t="n"/>
      <c r="E96" s="290" t="n"/>
      <c r="F96" s="291" t="n"/>
      <c r="G96" s="292" t="n"/>
      <c r="H96" s="285" t="n"/>
      <c r="I96" s="285" t="n"/>
      <c r="J96" s="293" t="n"/>
      <c r="K96" s="294" t="n"/>
      <c r="L96" s="294" t="n"/>
      <c r="M96" s="165" t="n"/>
      <c r="N96" s="164" t="n"/>
      <c r="O96" s="170" t="n"/>
      <c r="P96" s="390" t="n"/>
      <c r="Q96" s="171" t="n"/>
      <c r="R96" s="274" t="n"/>
      <c r="S96" s="171" t="n"/>
      <c r="T96" s="169" t="n"/>
      <c r="U96" s="169" t="n"/>
      <c r="V96" s="169" t="n"/>
      <c r="W96" s="169" t="n"/>
      <c r="X96" s="174" t="n"/>
      <c r="Y96" s="169" t="n"/>
      <c r="Z96" s="576" t="n"/>
      <c r="AA96" s="228" t="n"/>
      <c r="AB96" s="169" t="n"/>
      <c r="AC96" s="169" t="n"/>
      <c r="AD96" s="173" t="n"/>
      <c r="AE96" s="172" t="n"/>
      <c r="AF96" s="175" t="n"/>
      <c r="AG96" s="397" t="n"/>
      <c r="AH96" s="526" t="n"/>
      <c r="AJ96" s="391" t="n"/>
    </row>
    <row r="97" customFormat="1" s="141">
      <c r="A97" s="251">
        <f>+A96+1</f>
        <v/>
      </c>
      <c r="B97" s="295" t="n"/>
      <c r="C97" s="287" t="n"/>
      <c r="D97" s="288" t="n"/>
      <c r="E97" s="290" t="n"/>
      <c r="F97" s="291" t="n"/>
      <c r="G97" s="292" t="n"/>
      <c r="H97" s="285" t="n"/>
      <c r="I97" s="285" t="n"/>
      <c r="J97" s="293" t="n"/>
      <c r="K97" s="294" t="n"/>
      <c r="L97" s="294" t="n"/>
      <c r="M97" s="165" t="n"/>
      <c r="N97" s="164" t="n"/>
      <c r="O97" s="170" t="n"/>
      <c r="P97" s="390" t="n"/>
      <c r="Q97" s="171" t="n"/>
      <c r="R97" s="274" t="n"/>
      <c r="S97" s="171" t="n"/>
      <c r="T97" s="169" t="n"/>
      <c r="U97" s="169" t="n"/>
      <c r="V97" s="169" t="n"/>
      <c r="W97" s="169" t="n"/>
      <c r="X97" s="174" t="n"/>
      <c r="Y97" s="169" t="n"/>
      <c r="Z97" s="576" t="n"/>
      <c r="AA97" s="228" t="n"/>
      <c r="AB97" s="169" t="n"/>
      <c r="AC97" s="169" t="n"/>
      <c r="AD97" s="173" t="n"/>
      <c r="AE97" s="172" t="n"/>
      <c r="AF97" s="175" t="n"/>
      <c r="AG97" s="397" t="n"/>
      <c r="AH97" s="526" t="n"/>
      <c r="AJ97" s="391" t="n"/>
    </row>
    <row r="98" customFormat="1" s="141">
      <c r="A98" s="251">
        <f>+A97+1</f>
        <v/>
      </c>
      <c r="B98" s="295" t="n"/>
      <c r="C98" s="287" t="n"/>
      <c r="D98" s="288" t="n"/>
      <c r="E98" s="290" t="n"/>
      <c r="F98" s="291" t="n"/>
      <c r="G98" s="292" t="n"/>
      <c r="H98" s="285" t="n"/>
      <c r="I98" s="285" t="n"/>
      <c r="J98" s="293" t="n"/>
      <c r="K98" s="294" t="n"/>
      <c r="L98" s="294" t="n"/>
      <c r="M98" s="165" t="n"/>
      <c r="N98" s="164" t="n"/>
      <c r="O98" s="170" t="n"/>
      <c r="P98" s="390" t="n"/>
      <c r="Q98" s="171" t="n"/>
      <c r="R98" s="274" t="n"/>
      <c r="S98" s="171" t="n"/>
      <c r="T98" s="169" t="n"/>
      <c r="U98" s="169" t="n"/>
      <c r="V98" s="169" t="n"/>
      <c r="W98" s="169" t="n"/>
      <c r="X98" s="174" t="n"/>
      <c r="Y98" s="169" t="n"/>
      <c r="Z98" s="576" t="n"/>
      <c r="AA98" s="228" t="n"/>
      <c r="AB98" s="169" t="n"/>
      <c r="AC98" s="169" t="n"/>
      <c r="AD98" s="173" t="n"/>
      <c r="AE98" s="172" t="n"/>
      <c r="AF98" s="175" t="n"/>
      <c r="AG98" s="397" t="n"/>
      <c r="AH98" s="526" t="n"/>
      <c r="AJ98" s="391" t="n"/>
    </row>
    <row r="99" customFormat="1" s="141">
      <c r="A99" s="251">
        <f>+A98+1</f>
        <v/>
      </c>
      <c r="B99" s="295" t="n"/>
      <c r="C99" s="287" t="n"/>
      <c r="D99" s="288" t="n"/>
      <c r="E99" s="290" t="n"/>
      <c r="F99" s="291" t="n"/>
      <c r="G99" s="292" t="n"/>
      <c r="H99" s="285" t="n"/>
      <c r="I99" s="285" t="n"/>
      <c r="J99" s="293" t="n"/>
      <c r="K99" s="294" t="n"/>
      <c r="L99" s="294" t="n"/>
      <c r="M99" s="165" t="n"/>
      <c r="N99" s="164" t="n"/>
      <c r="O99" s="170" t="n"/>
      <c r="P99" s="390" t="n"/>
      <c r="Q99" s="171" t="n"/>
      <c r="R99" s="274" t="n"/>
      <c r="S99" s="171" t="n"/>
      <c r="T99" s="169" t="n"/>
      <c r="U99" s="169" t="n"/>
      <c r="V99" s="169" t="n"/>
      <c r="W99" s="169" t="n"/>
      <c r="X99" s="174" t="n"/>
      <c r="Y99" s="169" t="n"/>
      <c r="Z99" s="576" t="n"/>
      <c r="AA99" s="228" t="n"/>
      <c r="AB99" s="169" t="n"/>
      <c r="AC99" s="169" t="n"/>
      <c r="AD99" s="173" t="n"/>
      <c r="AE99" s="172" t="n"/>
      <c r="AF99" s="175" t="n"/>
      <c r="AG99" s="397" t="n"/>
      <c r="AH99" s="526" t="n"/>
      <c r="AJ99" s="391" t="n"/>
    </row>
    <row r="100" customFormat="1" s="141">
      <c r="A100" s="251">
        <f>+A99+1</f>
        <v/>
      </c>
      <c r="B100" s="295" t="n"/>
      <c r="C100" s="287" t="n"/>
      <c r="D100" s="288" t="n"/>
      <c r="E100" s="290" t="n"/>
      <c r="F100" s="291" t="n"/>
      <c r="G100" s="292" t="n"/>
      <c r="H100" s="285" t="n"/>
      <c r="I100" s="285" t="n"/>
      <c r="J100" s="293" t="n"/>
      <c r="K100" s="294" t="n"/>
      <c r="L100" s="294" t="n"/>
      <c r="M100" s="165" t="n"/>
      <c r="N100" s="164" t="n"/>
      <c r="O100" s="170" t="n"/>
      <c r="P100" s="390" t="n"/>
      <c r="Q100" s="171" t="n"/>
      <c r="R100" s="274" t="n"/>
      <c r="S100" s="171" t="n"/>
      <c r="T100" s="169" t="n"/>
      <c r="U100" s="169" t="n"/>
      <c r="V100" s="169" t="n"/>
      <c r="W100" s="169" t="n"/>
      <c r="X100" s="174" t="n"/>
      <c r="Y100" s="169" t="n"/>
      <c r="Z100" s="576" t="n"/>
      <c r="AA100" s="228" t="n"/>
      <c r="AB100" s="169" t="n"/>
      <c r="AC100" s="169" t="n"/>
      <c r="AD100" s="173" t="n"/>
      <c r="AE100" s="172" t="n"/>
      <c r="AF100" s="175" t="n"/>
      <c r="AG100" s="397" t="n"/>
      <c r="AH100" s="526" t="n"/>
      <c r="AJ100" s="391" t="n"/>
    </row>
    <row r="101" customFormat="1" s="141">
      <c r="A101" s="251">
        <f>+A100+1</f>
        <v/>
      </c>
      <c r="B101" s="295" t="n"/>
      <c r="C101" s="287" t="n"/>
      <c r="D101" s="288" t="n"/>
      <c r="E101" s="290" t="n"/>
      <c r="F101" s="291" t="n"/>
      <c r="G101" s="292" t="n"/>
      <c r="H101" s="285" t="n"/>
      <c r="I101" s="285" t="n"/>
      <c r="J101" s="293" t="n"/>
      <c r="K101" s="294" t="n"/>
      <c r="L101" s="294" t="n"/>
      <c r="M101" s="165" t="n"/>
      <c r="N101" s="164" t="n"/>
      <c r="O101" s="170" t="n"/>
      <c r="P101" s="390" t="n"/>
      <c r="Q101" s="171" t="n"/>
      <c r="R101" s="274" t="n"/>
      <c r="S101" s="171" t="n"/>
      <c r="T101" s="169" t="n"/>
      <c r="U101" s="169" t="n"/>
      <c r="V101" s="169" t="n"/>
      <c r="W101" s="169" t="n"/>
      <c r="X101" s="174" t="n"/>
      <c r="Y101" s="169" t="n"/>
      <c r="Z101" s="576" t="n"/>
      <c r="AA101" s="228" t="n"/>
      <c r="AB101" s="169" t="n"/>
      <c r="AC101" s="169" t="n"/>
      <c r="AD101" s="173" t="n"/>
      <c r="AE101" s="172" t="n"/>
      <c r="AF101" s="175" t="n"/>
      <c r="AG101" s="397" t="n"/>
      <c r="AH101" s="526" t="n"/>
      <c r="AJ101" s="391" t="n"/>
    </row>
    <row r="102" customFormat="1" s="141">
      <c r="A102" s="251">
        <f>+A101+1</f>
        <v/>
      </c>
      <c r="B102" s="295" t="n"/>
      <c r="C102" s="287" t="n"/>
      <c r="D102" s="288" t="n"/>
      <c r="E102" s="290" t="n"/>
      <c r="F102" s="291" t="n"/>
      <c r="G102" s="292" t="n"/>
      <c r="H102" s="285" t="n"/>
      <c r="I102" s="285" t="n"/>
      <c r="J102" s="293" t="n"/>
      <c r="K102" s="294" t="n"/>
      <c r="L102" s="294" t="n"/>
      <c r="M102" s="165" t="n"/>
      <c r="N102" s="164" t="n"/>
      <c r="O102" s="170" t="n"/>
      <c r="P102" s="390" t="n"/>
      <c r="Q102" s="171" t="n"/>
      <c r="R102" s="274" t="n"/>
      <c r="S102" s="171" t="n"/>
      <c r="T102" s="169" t="n"/>
      <c r="U102" s="169" t="n"/>
      <c r="V102" s="169" t="n"/>
      <c r="W102" s="169" t="n"/>
      <c r="X102" s="174" t="n"/>
      <c r="Y102" s="169" t="n"/>
      <c r="Z102" s="576" t="n"/>
      <c r="AA102" s="228" t="n"/>
      <c r="AB102" s="169" t="n"/>
      <c r="AC102" s="169" t="n"/>
      <c r="AD102" s="173" t="n"/>
      <c r="AE102" s="172" t="n"/>
      <c r="AF102" s="175" t="n"/>
      <c r="AG102" s="397" t="n"/>
      <c r="AH102" s="526" t="n"/>
      <c r="AJ102" s="391" t="n"/>
    </row>
    <row r="103" customFormat="1" s="141">
      <c r="A103" s="251">
        <f>+A102+1</f>
        <v/>
      </c>
      <c r="B103" s="295" t="n"/>
      <c r="C103" s="287" t="n"/>
      <c r="D103" s="288" t="n"/>
      <c r="E103" s="290" t="n"/>
      <c r="F103" s="291" t="n"/>
      <c r="G103" s="292" t="n"/>
      <c r="H103" s="285" t="n"/>
      <c r="I103" s="285" t="n"/>
      <c r="J103" s="296" t="n"/>
      <c r="K103" s="297" t="n"/>
      <c r="L103" s="297" t="n"/>
      <c r="M103" s="165" t="n"/>
      <c r="N103" s="164" t="n"/>
      <c r="O103" s="170" t="n"/>
      <c r="P103" s="390" t="n"/>
      <c r="Q103" s="171" t="n"/>
      <c r="R103" s="274" t="n"/>
      <c r="S103" s="171" t="n"/>
      <c r="T103" s="169" t="n"/>
      <c r="U103" s="169" t="n"/>
      <c r="V103" s="169" t="n"/>
      <c r="W103" s="169" t="n"/>
      <c r="X103" s="174" t="n"/>
      <c r="Y103" s="169" t="n"/>
      <c r="Z103" s="576" t="n"/>
      <c r="AA103" s="228" t="n"/>
      <c r="AB103" s="169" t="n"/>
      <c r="AC103" s="169" t="n"/>
      <c r="AD103" s="173" t="n"/>
      <c r="AE103" s="172" t="n"/>
      <c r="AF103" s="175" t="n"/>
      <c r="AG103" s="397" t="n"/>
      <c r="AH103" s="526" t="n"/>
      <c r="AJ103" s="391" t="n"/>
    </row>
    <row r="104" customFormat="1" s="141">
      <c r="A104" s="251">
        <f>+A103+1</f>
        <v/>
      </c>
      <c r="B104" s="298" t="n"/>
      <c r="C104" s="287" t="n"/>
      <c r="D104" s="288" t="n"/>
      <c r="E104" s="290" t="n"/>
      <c r="F104" s="291" t="n"/>
      <c r="G104" s="299" t="n"/>
      <c r="H104" s="300" t="n"/>
      <c r="I104" s="300" t="n"/>
      <c r="J104" s="293" t="n"/>
      <c r="K104" s="294" t="n"/>
      <c r="L104" s="294" t="n"/>
      <c r="M104" s="165" t="n"/>
      <c r="N104" s="164" t="n"/>
      <c r="O104" s="170" t="n"/>
      <c r="P104" s="390" t="n"/>
      <c r="Q104" s="171" t="n"/>
      <c r="R104" s="274" t="n"/>
      <c r="S104" s="171" t="n"/>
      <c r="T104" s="169" t="n"/>
      <c r="U104" s="169" t="n"/>
      <c r="V104" s="169" t="n"/>
      <c r="W104" s="169" t="n"/>
      <c r="X104" s="174" t="n"/>
      <c r="Y104" s="169" t="n"/>
      <c r="Z104" s="576" t="n"/>
      <c r="AA104" s="228" t="n"/>
      <c r="AB104" s="169" t="n"/>
      <c r="AC104" s="169" t="n"/>
      <c r="AD104" s="173" t="n"/>
      <c r="AE104" s="172" t="n"/>
      <c r="AF104" s="175" t="n"/>
      <c r="AG104" s="397" t="n"/>
      <c r="AH104" s="526" t="n"/>
      <c r="AJ104" s="391" t="n"/>
    </row>
    <row r="105" customFormat="1" s="141">
      <c r="A105" s="42" t="n"/>
      <c r="B105" s="791" t="n"/>
      <c r="C105" s="789" t="n"/>
      <c r="D105" s="277" t="n"/>
      <c r="E105" s="789" t="n"/>
      <c r="F105" s="789" t="n"/>
      <c r="G105" s="790" t="n"/>
      <c r="H105" s="791" t="n"/>
      <c r="I105" s="791" t="n"/>
      <c r="J105" s="792" t="n"/>
      <c r="K105" s="792" t="n"/>
      <c r="L105" s="792" t="n"/>
      <c r="M105" s="793" t="n"/>
      <c r="O105" s="142" t="n"/>
      <c r="P105" s="142" t="n"/>
      <c r="Q105" s="791" t="n"/>
      <c r="R105" s="791" t="n"/>
      <c r="S105" s="791" t="n"/>
      <c r="T105" s="148" t="n"/>
      <c r="U105" s="148" t="n"/>
      <c r="V105" s="148" t="n"/>
      <c r="W105" s="148" t="n"/>
      <c r="X105" s="149" t="n"/>
      <c r="Y105" s="148" t="n"/>
      <c r="Z105" s="148" t="n"/>
      <c r="AA105" s="148" t="n"/>
      <c r="AB105" s="148" t="n"/>
      <c r="AC105" s="148" t="n"/>
      <c r="AD105" s="150" t="n"/>
      <c r="AE105" s="151" t="n"/>
      <c r="AF105" s="152" t="n"/>
      <c r="AG105" s="153" t="n"/>
      <c r="AH105" s="154" t="n"/>
      <c r="AJ105" s="391" t="n"/>
    </row>
    <row r="106" customFormat="1" s="141">
      <c r="A106" s="42" t="n"/>
      <c r="B106" s="791" t="n"/>
      <c r="C106" s="789" t="n"/>
      <c r="D106" s="277" t="n"/>
      <c r="E106" s="789" t="n"/>
      <c r="F106" s="789" t="n"/>
      <c r="G106" s="790" t="n"/>
      <c r="H106" s="791" t="n"/>
      <c r="I106" s="791" t="n"/>
      <c r="J106" s="792" t="n"/>
      <c r="K106" s="792" t="n"/>
      <c r="L106" s="792" t="n"/>
      <c r="M106" s="793" t="n"/>
      <c r="O106" s="142" t="n"/>
      <c r="P106" s="142" t="n"/>
      <c r="Q106" s="791" t="n"/>
      <c r="R106" s="791" t="n"/>
      <c r="S106" s="791" t="n"/>
      <c r="T106" s="148" t="n"/>
      <c r="U106" s="148" t="n"/>
      <c r="V106" s="148" t="n"/>
      <c r="W106" s="148" t="n"/>
      <c r="X106" s="149" t="n"/>
      <c r="Y106" s="148" t="n"/>
      <c r="Z106" s="148" t="n"/>
      <c r="AA106" s="148" t="n"/>
      <c r="AB106" s="148" t="n"/>
      <c r="AC106" s="148" t="n"/>
      <c r="AD106" s="150" t="n"/>
      <c r="AE106" s="151" t="n"/>
      <c r="AF106" s="152" t="n"/>
      <c r="AG106" s="153" t="n"/>
      <c r="AH106" s="154" t="n"/>
      <c r="AJ106" s="391" t="n"/>
    </row>
    <row r="107" customFormat="1" s="141">
      <c r="A107" s="42" t="n"/>
      <c r="B107" s="791" t="n"/>
      <c r="C107" s="789" t="n"/>
      <c r="D107" s="277" t="n"/>
      <c r="E107" s="789" t="n"/>
      <c r="F107" s="789" t="n"/>
      <c r="G107" s="790" t="n"/>
      <c r="H107" s="791" t="n"/>
      <c r="I107" s="791" t="n"/>
      <c r="J107" s="792" t="n"/>
      <c r="K107" s="792" t="n"/>
      <c r="L107" s="792" t="n"/>
      <c r="M107" s="793" t="n"/>
      <c r="O107" s="142" t="n"/>
      <c r="P107" s="142" t="n"/>
      <c r="Q107" s="791" t="n"/>
      <c r="R107" s="791" t="n"/>
      <c r="S107" s="791" t="n"/>
      <c r="T107" s="148" t="n"/>
      <c r="U107" s="148" t="n"/>
      <c r="V107" s="148" t="n"/>
      <c r="W107" s="148" t="n"/>
      <c r="X107" s="149" t="n"/>
      <c r="Y107" s="148" t="n"/>
      <c r="Z107" s="148" t="n"/>
      <c r="AA107" s="148" t="n"/>
      <c r="AB107" s="148" t="n"/>
      <c r="AC107" s="148" t="n"/>
      <c r="AD107" s="150" t="n"/>
      <c r="AE107" s="151" t="n"/>
      <c r="AF107" s="152" t="n"/>
      <c r="AG107" s="153" t="n"/>
      <c r="AH107" s="154" t="n"/>
      <c r="AJ107" s="391" t="n"/>
    </row>
    <row r="108" customFormat="1" s="141">
      <c r="A108" s="42" t="n"/>
      <c r="B108" s="791" t="n"/>
      <c r="C108" s="789" t="n"/>
      <c r="D108" s="277" t="n"/>
      <c r="E108" s="789" t="n"/>
      <c r="F108" s="789" t="n"/>
      <c r="G108" s="790" t="n"/>
      <c r="H108" s="791" t="n"/>
      <c r="I108" s="791" t="n"/>
      <c r="J108" s="792" t="n"/>
      <c r="K108" s="792" t="n"/>
      <c r="L108" s="792" t="n"/>
      <c r="M108" s="793" t="n"/>
      <c r="O108" s="142" t="n"/>
      <c r="P108" s="142" t="n"/>
      <c r="Q108" s="791" t="n"/>
      <c r="R108" s="791" t="n"/>
      <c r="S108" s="791" t="n"/>
      <c r="T108" s="148" t="n"/>
      <c r="U108" s="148" t="n"/>
      <c r="V108" s="148" t="n"/>
      <c r="W108" s="148" t="n"/>
      <c r="X108" s="149" t="n"/>
      <c r="Y108" s="148" t="n"/>
      <c r="Z108" s="148" t="n"/>
      <c r="AA108" s="148" t="n"/>
      <c r="AB108" s="148" t="n"/>
      <c r="AC108" s="148" t="n"/>
      <c r="AD108" s="150" t="n"/>
      <c r="AE108" s="151" t="n"/>
      <c r="AF108" s="152" t="n"/>
      <c r="AG108" s="153" t="n"/>
      <c r="AH108" s="154" t="n"/>
      <c r="AJ108" s="391" t="n"/>
    </row>
    <row r="109" customFormat="1" s="141">
      <c r="A109" s="42" t="n"/>
      <c r="B109" s="791" t="n"/>
      <c r="C109" s="789" t="n"/>
      <c r="D109" s="277" t="n"/>
      <c r="E109" s="789" t="n"/>
      <c r="F109" s="789" t="n"/>
      <c r="G109" s="790" t="n"/>
      <c r="H109" s="791" t="n"/>
      <c r="I109" s="791" t="n"/>
      <c r="J109" s="792" t="n"/>
      <c r="K109" s="792" t="n"/>
      <c r="L109" s="792" t="n"/>
      <c r="M109" s="793" t="n"/>
      <c r="O109" s="142" t="n"/>
      <c r="P109" s="142" t="n"/>
      <c r="Q109" s="791" t="n"/>
      <c r="R109" s="791" t="n"/>
      <c r="S109" s="791" t="n"/>
      <c r="T109" s="148" t="n"/>
      <c r="U109" s="148" t="n"/>
      <c r="V109" s="148" t="n"/>
      <c r="W109" s="148" t="n"/>
      <c r="X109" s="149" t="n"/>
      <c r="Y109" s="148" t="n"/>
      <c r="Z109" s="148" t="n"/>
      <c r="AA109" s="148" t="n"/>
      <c r="AB109" s="148" t="n"/>
      <c r="AC109" s="148" t="n"/>
      <c r="AD109" s="150" t="n"/>
      <c r="AE109" s="151" t="n"/>
      <c r="AF109" s="152" t="n"/>
      <c r="AG109" s="153" t="n"/>
      <c r="AH109" s="154" t="n"/>
      <c r="AJ109" s="391" t="n"/>
    </row>
    <row r="110" customFormat="1" s="141">
      <c r="A110" s="42" t="n"/>
      <c r="B110" s="791" t="n"/>
      <c r="C110" s="789" t="n"/>
      <c r="D110" s="277" t="n"/>
      <c r="E110" s="789" t="n"/>
      <c r="F110" s="789" t="n"/>
      <c r="G110" s="790" t="n"/>
      <c r="H110" s="791" t="n"/>
      <c r="I110" s="791" t="n"/>
      <c r="J110" s="792" t="n"/>
      <c r="K110" s="792" t="n"/>
      <c r="L110" s="792" t="n"/>
      <c r="M110" s="793" t="n"/>
      <c r="O110" s="142" t="n"/>
      <c r="P110" s="142" t="n"/>
      <c r="Q110" s="791" t="n"/>
      <c r="R110" s="791" t="n"/>
      <c r="S110" s="791" t="n"/>
      <c r="T110" s="148" t="n"/>
      <c r="U110" s="148" t="n"/>
      <c r="V110" s="148" t="n"/>
      <c r="W110" s="148" t="n"/>
      <c r="X110" s="149" t="n"/>
      <c r="Y110" s="148" t="n"/>
      <c r="Z110" s="148" t="n"/>
      <c r="AA110" s="148" t="n"/>
      <c r="AB110" s="148" t="n"/>
      <c r="AC110" s="148" t="n"/>
      <c r="AD110" s="150" t="n"/>
      <c r="AE110" s="151" t="n"/>
      <c r="AF110" s="152" t="n"/>
      <c r="AG110" s="153" t="n"/>
      <c r="AH110" s="154" t="n"/>
      <c r="AJ110" s="391" t="n"/>
    </row>
    <row r="111" customFormat="1" s="141">
      <c r="A111" s="42" t="n"/>
      <c r="B111" s="791" t="n"/>
      <c r="C111" s="789" t="n"/>
      <c r="D111" s="277" t="n"/>
      <c r="E111" s="789" t="n"/>
      <c r="F111" s="789" t="n"/>
      <c r="G111" s="790" t="n"/>
      <c r="H111" s="791" t="n"/>
      <c r="I111" s="791" t="n"/>
      <c r="J111" s="792" t="n"/>
      <c r="K111" s="792" t="n"/>
      <c r="L111" s="792" t="n"/>
      <c r="M111" s="793" t="n"/>
      <c r="O111" s="142" t="n"/>
      <c r="P111" s="142" t="n"/>
      <c r="Q111" s="791" t="n"/>
      <c r="R111" s="791" t="n"/>
      <c r="S111" s="791" t="n"/>
      <c r="T111" s="148" t="n"/>
      <c r="U111" s="148" t="n"/>
      <c r="V111" s="148" t="n"/>
      <c r="W111" s="148" t="n"/>
      <c r="X111" s="149" t="n"/>
      <c r="Y111" s="148" t="n"/>
      <c r="Z111" s="148" t="n"/>
      <c r="AA111" s="148" t="n"/>
      <c r="AB111" s="148" t="n"/>
      <c r="AC111" s="148" t="n"/>
      <c r="AD111" s="150" t="n"/>
      <c r="AE111" s="151" t="n"/>
      <c r="AF111" s="152" t="n"/>
      <c r="AG111" s="153" t="n"/>
      <c r="AH111" s="154" t="n"/>
      <c r="AJ111" s="391" t="n"/>
    </row>
    <row r="112" customFormat="1" s="141">
      <c r="A112" s="42" t="n"/>
      <c r="B112" s="791" t="n"/>
      <c r="C112" s="789" t="n"/>
      <c r="D112" s="277" t="n"/>
      <c r="E112" s="789" t="n"/>
      <c r="F112" s="789" t="n"/>
      <c r="G112" s="790" t="n"/>
      <c r="H112" s="791" t="n"/>
      <c r="I112" s="791" t="n"/>
      <c r="J112" s="792" t="n"/>
      <c r="K112" s="792" t="n"/>
      <c r="L112" s="792" t="n"/>
      <c r="M112" s="793" t="n"/>
      <c r="O112" s="142" t="n"/>
      <c r="P112" s="142" t="n"/>
      <c r="Q112" s="791" t="n"/>
      <c r="R112" s="791" t="n"/>
      <c r="S112" s="791" t="n"/>
      <c r="T112" s="148" t="n"/>
      <c r="U112" s="148" t="n"/>
      <c r="V112" s="148" t="n"/>
      <c r="W112" s="148" t="n"/>
      <c r="X112" s="149" t="n"/>
      <c r="Y112" s="148" t="n"/>
      <c r="Z112" s="148" t="n"/>
      <c r="AA112" s="148" t="n"/>
      <c r="AB112" s="148" t="n"/>
      <c r="AC112" s="148" t="n"/>
      <c r="AD112" s="150" t="n"/>
      <c r="AE112" s="151" t="n"/>
      <c r="AF112" s="152" t="n"/>
      <c r="AG112" s="153" t="n"/>
      <c r="AH112" s="154" t="n"/>
      <c r="AJ112" s="391" t="n"/>
    </row>
    <row r="113" customFormat="1" s="141">
      <c r="A113" s="42" t="n"/>
      <c r="B113" s="791" t="n"/>
      <c r="C113" s="789" t="n"/>
      <c r="D113" s="277" t="n"/>
      <c r="E113" s="789" t="n"/>
      <c r="F113" s="789" t="n"/>
      <c r="G113" s="790" t="n"/>
      <c r="H113" s="791" t="n"/>
      <c r="I113" s="791" t="n"/>
      <c r="J113" s="792" t="n"/>
      <c r="K113" s="792" t="n"/>
      <c r="L113" s="792" t="n"/>
      <c r="M113" s="793" t="n"/>
      <c r="O113" s="142" t="n"/>
      <c r="P113" s="142" t="n"/>
      <c r="Q113" s="791" t="n"/>
      <c r="R113" s="791" t="n"/>
      <c r="S113" s="791" t="n"/>
      <c r="T113" s="148" t="n"/>
      <c r="U113" s="148" t="n"/>
      <c r="V113" s="148" t="n"/>
      <c r="W113" s="148" t="n"/>
      <c r="X113" s="149" t="n"/>
      <c r="Y113" s="148" t="n"/>
      <c r="Z113" s="148" t="n"/>
      <c r="AA113" s="148" t="n"/>
      <c r="AB113" s="148" t="n"/>
      <c r="AC113" s="148" t="n"/>
      <c r="AD113" s="150" t="n"/>
      <c r="AE113" s="151" t="n"/>
      <c r="AF113" s="152" t="n"/>
      <c r="AG113" s="153" t="n"/>
      <c r="AH113" s="154" t="n"/>
      <c r="AJ113" s="391" t="n"/>
    </row>
    <row r="114" customFormat="1" s="141">
      <c r="A114" s="42" t="n"/>
      <c r="B114" s="791" t="n"/>
      <c r="C114" s="789" t="n"/>
      <c r="D114" s="277" t="n"/>
      <c r="E114" s="789" t="n"/>
      <c r="F114" s="789" t="n"/>
      <c r="G114" s="790" t="n"/>
      <c r="H114" s="791" t="n"/>
      <c r="I114" s="791" t="n"/>
      <c r="J114" s="792" t="n"/>
      <c r="K114" s="792" t="n"/>
      <c r="L114" s="792" t="n"/>
      <c r="M114" s="793" t="n"/>
      <c r="O114" s="142" t="n"/>
      <c r="P114" s="142" t="n"/>
      <c r="Q114" s="791" t="n"/>
      <c r="R114" s="791" t="n"/>
      <c r="S114" s="791" t="n"/>
      <c r="T114" s="148" t="n"/>
      <c r="U114" s="148" t="n"/>
      <c r="V114" s="148" t="n"/>
      <c r="W114" s="148" t="n"/>
      <c r="X114" s="149" t="n"/>
      <c r="Y114" s="148" t="n"/>
      <c r="Z114" s="148" t="n"/>
      <c r="AA114" s="148" t="n"/>
      <c r="AB114" s="148" t="n"/>
      <c r="AC114" s="148" t="n"/>
      <c r="AD114" s="150" t="n"/>
      <c r="AE114" s="151" t="n"/>
      <c r="AF114" s="152" t="n"/>
      <c r="AG114" s="153" t="n"/>
      <c r="AH114" s="154" t="n"/>
      <c r="AJ114" s="391" t="n"/>
    </row>
    <row r="115" customFormat="1" s="141">
      <c r="A115" s="42" t="n"/>
      <c r="B115" s="791" t="n"/>
      <c r="C115" s="789" t="n"/>
      <c r="D115" s="277" t="n"/>
      <c r="E115" s="789" t="n"/>
      <c r="F115" s="789" t="n"/>
      <c r="G115" s="790" t="n"/>
      <c r="H115" s="791" t="n"/>
      <c r="I115" s="791" t="n"/>
      <c r="J115" s="792" t="n"/>
      <c r="K115" s="792" t="n"/>
      <c r="L115" s="792" t="n"/>
      <c r="M115" s="793" t="n"/>
      <c r="O115" s="142" t="n"/>
      <c r="P115" s="142" t="n"/>
      <c r="Q115" s="791" t="n"/>
      <c r="R115" s="791" t="n"/>
      <c r="S115" s="791" t="n"/>
      <c r="T115" s="148" t="n"/>
      <c r="U115" s="148" t="n"/>
      <c r="V115" s="148" t="n"/>
      <c r="W115" s="148" t="n"/>
      <c r="X115" s="149" t="n"/>
      <c r="Y115" s="148" t="n"/>
      <c r="Z115" s="148" t="n"/>
      <c r="AA115" s="148" t="n"/>
      <c r="AB115" s="148" t="n"/>
      <c r="AC115" s="148" t="n"/>
      <c r="AD115" s="150" t="n"/>
      <c r="AE115" s="151" t="n"/>
      <c r="AF115" s="152" t="n"/>
      <c r="AG115" s="153" t="n"/>
      <c r="AH115" s="154" t="n"/>
      <c r="AJ115" s="391" t="n"/>
    </row>
    <row r="116" customFormat="1" s="141">
      <c r="A116" s="42" t="n"/>
      <c r="B116" s="791" t="n"/>
      <c r="C116" s="789" t="n"/>
      <c r="D116" s="277" t="n"/>
      <c r="E116" s="789" t="n"/>
      <c r="F116" s="789" t="n"/>
      <c r="G116" s="790" t="n"/>
      <c r="H116" s="791" t="n"/>
      <c r="I116" s="791" t="n"/>
      <c r="J116" s="792" t="n"/>
      <c r="K116" s="792" t="n"/>
      <c r="L116" s="792" t="n"/>
      <c r="M116" s="793" t="n"/>
      <c r="O116" s="142" t="n"/>
      <c r="P116" s="142" t="n"/>
      <c r="Q116" s="791" t="n"/>
      <c r="R116" s="791" t="n"/>
      <c r="S116" s="791" t="n"/>
      <c r="T116" s="148" t="n"/>
      <c r="U116" s="148" t="n"/>
      <c r="V116" s="148" t="n"/>
      <c r="W116" s="148" t="n"/>
      <c r="X116" s="149" t="n"/>
      <c r="Y116" s="148" t="n"/>
      <c r="Z116" s="148" t="n"/>
      <c r="AA116" s="148" t="n"/>
      <c r="AB116" s="148" t="n"/>
      <c r="AC116" s="148" t="n"/>
      <c r="AD116" s="150" t="n"/>
      <c r="AE116" s="151" t="n"/>
      <c r="AF116" s="152" t="n"/>
      <c r="AG116" s="153" t="n"/>
      <c r="AH116" s="154" t="n"/>
      <c r="AJ116" s="391" t="n"/>
    </row>
    <row r="117" customFormat="1" s="141">
      <c r="A117" s="42" t="n"/>
      <c r="B117" s="791" t="n"/>
      <c r="C117" s="789" t="n"/>
      <c r="D117" s="277" t="n"/>
      <c r="E117" s="789" t="n"/>
      <c r="F117" s="789" t="n"/>
      <c r="G117" s="790" t="n"/>
      <c r="H117" s="791" t="n"/>
      <c r="I117" s="791" t="n"/>
      <c r="J117" s="792" t="n"/>
      <c r="K117" s="792" t="n"/>
      <c r="L117" s="792" t="n"/>
      <c r="M117" s="793" t="n"/>
      <c r="O117" s="142" t="n"/>
      <c r="P117" s="142" t="n"/>
      <c r="Q117" s="791" t="n"/>
      <c r="R117" s="791" t="n"/>
      <c r="S117" s="791" t="n"/>
      <c r="T117" s="148" t="n"/>
      <c r="U117" s="148" t="n"/>
      <c r="V117" s="148" t="n"/>
      <c r="W117" s="148" t="n"/>
      <c r="X117" s="149" t="n"/>
      <c r="Y117" s="148" t="n"/>
      <c r="Z117" s="148" t="n"/>
      <c r="AA117" s="148" t="n"/>
      <c r="AB117" s="148" t="n"/>
      <c r="AC117" s="148" t="n"/>
      <c r="AD117" s="150" t="n"/>
      <c r="AE117" s="151" t="n"/>
      <c r="AF117" s="152" t="n"/>
      <c r="AG117" s="153" t="n"/>
      <c r="AH117" s="154" t="n"/>
      <c r="AJ117" s="391" t="n"/>
    </row>
    <row r="118" customFormat="1" s="141">
      <c r="A118" s="42" t="n"/>
      <c r="B118" s="791" t="n"/>
      <c r="C118" s="789" t="n"/>
      <c r="D118" s="277" t="n"/>
      <c r="E118" s="789" t="n"/>
      <c r="F118" s="789" t="n"/>
      <c r="G118" s="790" t="n"/>
      <c r="H118" s="791" t="n"/>
      <c r="I118" s="791" t="n"/>
      <c r="J118" s="792" t="n"/>
      <c r="K118" s="792" t="n"/>
      <c r="L118" s="792" t="n"/>
      <c r="M118" s="793" t="n"/>
      <c r="O118" s="142" t="n"/>
      <c r="P118" s="142" t="n"/>
      <c r="Q118" s="791" t="n"/>
      <c r="R118" s="791" t="n"/>
      <c r="S118" s="791" t="n"/>
      <c r="T118" s="148" t="n"/>
      <c r="U118" s="148" t="n"/>
      <c r="V118" s="148" t="n"/>
      <c r="W118" s="148" t="n"/>
      <c r="X118" s="149" t="n"/>
      <c r="Y118" s="148" t="n"/>
      <c r="Z118" s="148" t="n"/>
      <c r="AA118" s="148" t="n"/>
      <c r="AB118" s="148" t="n"/>
      <c r="AC118" s="148" t="n"/>
      <c r="AD118" s="150" t="n"/>
      <c r="AE118" s="151" t="n"/>
      <c r="AF118" s="152" t="n"/>
      <c r="AG118" s="153" t="n"/>
      <c r="AH118" s="154" t="n"/>
      <c r="AJ118" s="391" t="n"/>
    </row>
    <row r="119" customFormat="1" s="141">
      <c r="A119" s="42" t="n"/>
      <c r="B119" s="791" t="n"/>
      <c r="C119" s="789" t="n"/>
      <c r="D119" s="277" t="n"/>
      <c r="E119" s="789" t="n"/>
      <c r="F119" s="789" t="n"/>
      <c r="G119" s="790" t="n"/>
      <c r="H119" s="791" t="n"/>
      <c r="I119" s="791" t="n"/>
      <c r="J119" s="792" t="n"/>
      <c r="K119" s="792" t="n"/>
      <c r="L119" s="792" t="n"/>
      <c r="M119" s="793" t="n"/>
      <c r="O119" s="142" t="n"/>
      <c r="P119" s="142" t="n"/>
      <c r="Q119" s="791" t="n"/>
      <c r="R119" s="791" t="n"/>
      <c r="S119" s="791" t="n"/>
      <c r="T119" s="148" t="n"/>
      <c r="U119" s="148" t="n"/>
      <c r="V119" s="148" t="n"/>
      <c r="W119" s="148" t="n"/>
      <c r="X119" s="149" t="n"/>
      <c r="Y119" s="148" t="n"/>
      <c r="Z119" s="148" t="n"/>
      <c r="AA119" s="148" t="n"/>
      <c r="AB119" s="148" t="n"/>
      <c r="AC119" s="148" t="n"/>
      <c r="AD119" s="150" t="n"/>
      <c r="AE119" s="151" t="n"/>
      <c r="AF119" s="152" t="n"/>
      <c r="AG119" s="153" t="n"/>
      <c r="AH119" s="154" t="n"/>
      <c r="AJ119" s="391" t="n"/>
    </row>
    <row r="120" customFormat="1" s="141">
      <c r="A120" s="42" t="n"/>
      <c r="B120" s="791" t="n"/>
      <c r="C120" s="789" t="n"/>
      <c r="D120" s="277" t="n"/>
      <c r="E120" s="789" t="n"/>
      <c r="F120" s="789" t="n"/>
      <c r="G120" s="790" t="n"/>
      <c r="H120" s="791" t="n"/>
      <c r="I120" s="791" t="n"/>
      <c r="J120" s="792" t="n"/>
      <c r="K120" s="792" t="n"/>
      <c r="L120" s="792" t="n"/>
      <c r="M120" s="793" t="n"/>
      <c r="O120" s="142" t="n"/>
      <c r="P120" s="142" t="n"/>
      <c r="Q120" s="791" t="n"/>
      <c r="R120" s="791" t="n"/>
      <c r="S120" s="791" t="n"/>
      <c r="T120" s="148" t="n"/>
      <c r="U120" s="148" t="n"/>
      <c r="V120" s="148" t="n"/>
      <c r="W120" s="148" t="n"/>
      <c r="X120" s="149" t="n"/>
      <c r="Y120" s="148" t="n"/>
      <c r="Z120" s="148" t="n"/>
      <c r="AA120" s="148" t="n"/>
      <c r="AB120" s="148" t="n"/>
      <c r="AC120" s="148" t="n"/>
      <c r="AD120" s="150" t="n"/>
      <c r="AE120" s="151" t="n"/>
      <c r="AF120" s="152" t="n"/>
      <c r="AG120" s="153" t="n"/>
      <c r="AH120" s="154" t="n"/>
      <c r="AJ120" s="391" t="n"/>
    </row>
    <row r="121" customFormat="1" s="141">
      <c r="A121" s="42" t="n"/>
      <c r="B121" s="791" t="n"/>
      <c r="C121" s="789" t="n"/>
      <c r="D121" s="277" t="n"/>
      <c r="E121" s="789" t="n"/>
      <c r="F121" s="789" t="n"/>
      <c r="G121" s="790" t="n"/>
      <c r="H121" s="791" t="n"/>
      <c r="I121" s="791" t="n"/>
      <c r="J121" s="792" t="n"/>
      <c r="K121" s="792" t="n"/>
      <c r="L121" s="792" t="n"/>
      <c r="M121" s="793" t="n"/>
      <c r="O121" s="142" t="n"/>
      <c r="P121" s="142" t="n"/>
      <c r="Q121" s="791" t="n"/>
      <c r="R121" s="791" t="n"/>
      <c r="S121" s="791" t="n"/>
      <c r="T121" s="148" t="n"/>
      <c r="U121" s="148" t="n"/>
      <c r="V121" s="148" t="n"/>
      <c r="W121" s="148" t="n"/>
      <c r="X121" s="149" t="n"/>
      <c r="Y121" s="148" t="n"/>
      <c r="Z121" s="148" t="n"/>
      <c r="AA121" s="148" t="n"/>
      <c r="AB121" s="148" t="n"/>
      <c r="AC121" s="148" t="n"/>
      <c r="AD121" s="150" t="n"/>
      <c r="AE121" s="151" t="n"/>
      <c r="AF121" s="152" t="n"/>
      <c r="AG121" s="153" t="n"/>
      <c r="AH121" s="154" t="n"/>
      <c r="AJ121" s="391" t="n"/>
    </row>
    <row r="122" customFormat="1" s="141">
      <c r="A122" s="42" t="n"/>
      <c r="B122" s="791" t="n"/>
      <c r="C122" s="789" t="n"/>
      <c r="D122" s="277" t="n"/>
      <c r="E122" s="789" t="n"/>
      <c r="F122" s="789" t="n"/>
      <c r="G122" s="790" t="n"/>
      <c r="H122" s="791" t="n"/>
      <c r="I122" s="791" t="n"/>
      <c r="J122" s="792" t="n"/>
      <c r="K122" s="792" t="n"/>
      <c r="L122" s="792" t="n"/>
      <c r="M122" s="793" t="n"/>
      <c r="O122" s="142" t="n"/>
      <c r="P122" s="142" t="n"/>
      <c r="Q122" s="791" t="n"/>
      <c r="R122" s="791" t="n"/>
      <c r="S122" s="791" t="n"/>
      <c r="T122" s="148" t="n"/>
      <c r="U122" s="148" t="n"/>
      <c r="V122" s="148" t="n"/>
      <c r="W122" s="148" t="n"/>
      <c r="X122" s="149" t="n"/>
      <c r="Y122" s="148" t="n"/>
      <c r="Z122" s="148" t="n"/>
      <c r="AA122" s="148" t="n"/>
      <c r="AB122" s="148" t="n"/>
      <c r="AC122" s="148" t="n"/>
      <c r="AD122" s="150" t="n"/>
      <c r="AE122" s="151" t="n"/>
      <c r="AF122" s="152" t="n"/>
      <c r="AG122" s="153" t="n"/>
      <c r="AH122" s="154" t="n"/>
      <c r="AJ122" s="391" t="n"/>
    </row>
    <row r="123" customFormat="1" s="141">
      <c r="A123" s="42" t="n"/>
      <c r="B123" s="791" t="n"/>
      <c r="C123" s="789" t="n"/>
      <c r="D123" s="277" t="n"/>
      <c r="E123" s="789" t="n"/>
      <c r="F123" s="789" t="n"/>
      <c r="G123" s="790" t="n"/>
      <c r="H123" s="791" t="n"/>
      <c r="I123" s="791" t="n"/>
      <c r="J123" s="792" t="n"/>
      <c r="K123" s="792" t="n"/>
      <c r="L123" s="792" t="n"/>
      <c r="M123" s="793" t="n"/>
      <c r="O123" s="142" t="n"/>
      <c r="P123" s="142" t="n"/>
      <c r="Q123" s="791" t="n"/>
      <c r="R123" s="791" t="n"/>
      <c r="S123" s="791" t="n"/>
      <c r="T123" s="148" t="n"/>
      <c r="U123" s="148" t="n"/>
      <c r="V123" s="148" t="n"/>
      <c r="W123" s="148" t="n"/>
      <c r="X123" s="149" t="n"/>
      <c r="Y123" s="148" t="n"/>
      <c r="Z123" s="148" t="n"/>
      <c r="AA123" s="148" t="n"/>
      <c r="AB123" s="148" t="n"/>
      <c r="AC123" s="148" t="n"/>
      <c r="AD123" s="150" t="n"/>
      <c r="AE123" s="151" t="n"/>
      <c r="AF123" s="152" t="n"/>
      <c r="AG123" s="153" t="n"/>
      <c r="AH123" s="154" t="n"/>
      <c r="AJ123" s="391" t="n"/>
    </row>
    <row r="124" customFormat="1" s="141">
      <c r="A124" s="42" t="n"/>
      <c r="B124" s="791" t="n"/>
      <c r="C124" s="789" t="n"/>
      <c r="D124" s="277" t="n"/>
      <c r="E124" s="789" t="n"/>
      <c r="F124" s="789" t="n"/>
      <c r="G124" s="790" t="n"/>
      <c r="H124" s="791" t="n"/>
      <c r="I124" s="791" t="n"/>
      <c r="J124" s="792" t="n"/>
      <c r="K124" s="792" t="n"/>
      <c r="L124" s="792" t="n"/>
      <c r="M124" s="793" t="n"/>
      <c r="O124" s="142" t="n"/>
      <c r="P124" s="142" t="n"/>
      <c r="Q124" s="791" t="n"/>
      <c r="R124" s="791" t="n"/>
      <c r="S124" s="791" t="n"/>
      <c r="T124" s="148" t="n"/>
      <c r="U124" s="148" t="n"/>
      <c r="V124" s="148" t="n"/>
      <c r="W124" s="148" t="n"/>
      <c r="X124" s="149" t="n"/>
      <c r="Y124" s="148" t="n"/>
      <c r="Z124" s="148" t="n"/>
      <c r="AA124" s="148" t="n"/>
      <c r="AB124" s="148" t="n"/>
      <c r="AC124" s="148" t="n"/>
      <c r="AD124" s="150" t="n"/>
      <c r="AE124" s="151" t="n"/>
      <c r="AF124" s="152" t="n"/>
      <c r="AG124" s="153" t="n"/>
      <c r="AH124" s="154" t="n"/>
      <c r="AJ124" s="391" t="n"/>
    </row>
    <row r="125" customFormat="1" s="141">
      <c r="A125" s="42" t="n"/>
      <c r="B125" s="791" t="n"/>
      <c r="C125" s="789" t="n"/>
      <c r="D125" s="277" t="n"/>
      <c r="E125" s="789" t="n"/>
      <c r="F125" s="789" t="n"/>
      <c r="G125" s="790" t="n"/>
      <c r="H125" s="791" t="n"/>
      <c r="I125" s="791" t="n"/>
      <c r="J125" s="792" t="n"/>
      <c r="K125" s="792" t="n"/>
      <c r="L125" s="792" t="n"/>
      <c r="M125" s="793" t="n"/>
      <c r="O125" s="142" t="n"/>
      <c r="P125" s="142" t="n"/>
      <c r="Q125" s="791" t="n"/>
      <c r="R125" s="791" t="n"/>
      <c r="S125" s="791" t="n"/>
      <c r="T125" s="148" t="n"/>
      <c r="U125" s="148" t="n"/>
      <c r="V125" s="148" t="n"/>
      <c r="W125" s="148" t="n"/>
      <c r="X125" s="149" t="n"/>
      <c r="Y125" s="148" t="n"/>
      <c r="Z125" s="148" t="n"/>
      <c r="AA125" s="148" t="n"/>
      <c r="AB125" s="148" t="n"/>
      <c r="AC125" s="148" t="n"/>
      <c r="AD125" s="150" t="n"/>
      <c r="AE125" s="151" t="n"/>
      <c r="AF125" s="152" t="n"/>
      <c r="AG125" s="153" t="n"/>
      <c r="AH125" s="154" t="n"/>
      <c r="AJ125" s="391" t="n"/>
    </row>
    <row r="126" customFormat="1" s="141">
      <c r="A126" s="42" t="n"/>
      <c r="B126" s="791" t="n"/>
      <c r="C126" s="789" t="n"/>
      <c r="D126" s="277" t="n"/>
      <c r="E126" s="789" t="n"/>
      <c r="F126" s="789" t="n"/>
      <c r="G126" s="790" t="n"/>
      <c r="H126" s="791" t="n"/>
      <c r="I126" s="791" t="n"/>
      <c r="J126" s="792" t="n"/>
      <c r="K126" s="792" t="n"/>
      <c r="L126" s="792" t="n"/>
      <c r="M126" s="793" t="n"/>
      <c r="O126" s="142" t="n"/>
      <c r="P126" s="142" t="n"/>
      <c r="Q126" s="791" t="n"/>
      <c r="R126" s="791" t="n"/>
      <c r="S126" s="791" t="n"/>
      <c r="T126" s="148" t="n"/>
      <c r="U126" s="148" t="n"/>
      <c r="V126" s="148" t="n"/>
      <c r="W126" s="148" t="n"/>
      <c r="X126" s="149" t="n"/>
      <c r="Y126" s="148" t="n"/>
      <c r="Z126" s="148" t="n"/>
      <c r="AA126" s="148" t="n"/>
      <c r="AB126" s="148" t="n"/>
      <c r="AC126" s="148" t="n"/>
      <c r="AD126" s="150" t="n"/>
      <c r="AE126" s="151" t="n"/>
      <c r="AF126" s="152" t="n"/>
      <c r="AG126" s="153" t="n"/>
      <c r="AH126" s="154" t="n"/>
      <c r="AJ126" s="391" t="n"/>
    </row>
    <row r="127" customFormat="1" s="141">
      <c r="A127" s="42" t="n"/>
      <c r="B127" s="791" t="n"/>
      <c r="C127" s="789" t="n"/>
      <c r="D127" s="277" t="n"/>
      <c r="E127" s="789" t="n"/>
      <c r="F127" s="789" t="n"/>
      <c r="G127" s="790" t="n"/>
      <c r="H127" s="791" t="n"/>
      <c r="I127" s="791" t="n"/>
      <c r="J127" s="792" t="n"/>
      <c r="K127" s="792" t="n"/>
      <c r="L127" s="792" t="n"/>
      <c r="M127" s="793" t="n"/>
      <c r="O127" s="142" t="n"/>
      <c r="P127" s="142" t="n"/>
      <c r="Q127" s="791" t="n"/>
      <c r="R127" s="791" t="n"/>
      <c r="S127" s="791" t="n"/>
      <c r="T127" s="148" t="n"/>
      <c r="U127" s="148" t="n"/>
      <c r="V127" s="148" t="n"/>
      <c r="W127" s="148" t="n"/>
      <c r="X127" s="149" t="n"/>
      <c r="Y127" s="148" t="n"/>
      <c r="Z127" s="148" t="n"/>
      <c r="AA127" s="148" t="n"/>
      <c r="AB127" s="148" t="n"/>
      <c r="AC127" s="148" t="n"/>
      <c r="AD127" s="150" t="n"/>
      <c r="AE127" s="151" t="n"/>
      <c r="AF127" s="152" t="n"/>
      <c r="AG127" s="153" t="n"/>
      <c r="AH127" s="154" t="n"/>
      <c r="AJ127" s="391" t="n"/>
    </row>
    <row r="128" customFormat="1" s="141">
      <c r="A128" s="42" t="n"/>
      <c r="B128" s="791" t="n"/>
      <c r="C128" s="789" t="n"/>
      <c r="D128" s="277" t="n"/>
      <c r="E128" s="789" t="n"/>
      <c r="F128" s="789" t="n"/>
      <c r="G128" s="790" t="n"/>
      <c r="H128" s="791" t="n"/>
      <c r="I128" s="791" t="n"/>
      <c r="J128" s="792" t="n"/>
      <c r="K128" s="792" t="n"/>
      <c r="L128" s="792" t="n"/>
      <c r="M128" s="793" t="n"/>
      <c r="O128" s="142" t="n"/>
      <c r="P128" s="142" t="n"/>
      <c r="Q128" s="791" t="n"/>
      <c r="R128" s="791" t="n"/>
      <c r="S128" s="791" t="n"/>
      <c r="T128" s="148" t="n"/>
      <c r="U128" s="148" t="n"/>
      <c r="V128" s="148" t="n"/>
      <c r="W128" s="148" t="n"/>
      <c r="X128" s="149" t="n"/>
      <c r="Y128" s="148" t="n"/>
      <c r="Z128" s="148" t="n"/>
      <c r="AA128" s="148" t="n"/>
      <c r="AB128" s="148" t="n"/>
      <c r="AC128" s="148" t="n"/>
      <c r="AD128" s="150" t="n"/>
      <c r="AE128" s="151" t="n"/>
      <c r="AF128" s="152" t="n"/>
      <c r="AG128" s="153" t="n"/>
      <c r="AH128" s="154" t="n"/>
      <c r="AJ128" s="391" t="n"/>
    </row>
    <row r="129" customFormat="1" s="141">
      <c r="A129" s="42" t="n"/>
      <c r="B129" s="791" t="n"/>
      <c r="C129" s="789" t="n"/>
      <c r="D129" s="277" t="n"/>
      <c r="E129" s="789" t="n"/>
      <c r="F129" s="789" t="n"/>
      <c r="G129" s="790" t="n"/>
      <c r="H129" s="791" t="n"/>
      <c r="I129" s="791" t="n"/>
      <c r="J129" s="792" t="n"/>
      <c r="K129" s="792" t="n"/>
      <c r="L129" s="792" t="n"/>
      <c r="M129" s="793" t="n"/>
      <c r="O129" s="142" t="n"/>
      <c r="P129" s="142" t="n"/>
      <c r="Q129" s="791" t="n"/>
      <c r="R129" s="791" t="n"/>
      <c r="S129" s="791" t="n"/>
      <c r="T129" s="148" t="n"/>
      <c r="U129" s="148" t="n"/>
      <c r="V129" s="148" t="n"/>
      <c r="W129" s="148" t="n"/>
      <c r="X129" s="149" t="n"/>
      <c r="Y129" s="148" t="n"/>
      <c r="Z129" s="148" t="n"/>
      <c r="AA129" s="148" t="n"/>
      <c r="AB129" s="148" t="n"/>
      <c r="AC129" s="148" t="n"/>
      <c r="AD129" s="150" t="n"/>
      <c r="AE129" s="151" t="n"/>
      <c r="AF129" s="152" t="n"/>
      <c r="AG129" s="153" t="n"/>
      <c r="AH129" s="154" t="n"/>
      <c r="AJ129" s="391" t="n"/>
    </row>
    <row r="130" customFormat="1" s="141">
      <c r="A130" s="42" t="n"/>
      <c r="B130" s="791" t="n"/>
      <c r="C130" s="789" t="n"/>
      <c r="D130" s="277" t="n"/>
      <c r="E130" s="789" t="n"/>
      <c r="F130" s="789" t="n"/>
      <c r="G130" s="790" t="n"/>
      <c r="H130" s="791" t="n"/>
      <c r="I130" s="791" t="n"/>
      <c r="J130" s="792" t="n"/>
      <c r="K130" s="792" t="n"/>
      <c r="L130" s="792" t="n"/>
      <c r="M130" s="793" t="n"/>
      <c r="O130" s="142" t="n"/>
      <c r="P130" s="142" t="n"/>
      <c r="Q130" s="791" t="n"/>
      <c r="R130" s="791" t="n"/>
      <c r="S130" s="791" t="n"/>
      <c r="T130" s="148" t="n"/>
      <c r="U130" s="148" t="n"/>
      <c r="V130" s="148" t="n"/>
      <c r="W130" s="148" t="n"/>
      <c r="X130" s="149" t="n"/>
      <c r="Y130" s="148" t="n"/>
      <c r="Z130" s="148" t="n"/>
      <c r="AA130" s="148" t="n"/>
      <c r="AB130" s="148" t="n"/>
      <c r="AC130" s="148" t="n"/>
      <c r="AD130" s="150" t="n"/>
      <c r="AE130" s="151" t="n"/>
      <c r="AF130" s="152" t="n"/>
      <c r="AG130" s="153" t="n"/>
      <c r="AH130" s="154" t="n"/>
      <c r="AJ130" s="391" t="n"/>
    </row>
    <row r="131" customFormat="1" s="141">
      <c r="A131" s="42" t="n"/>
      <c r="B131" s="791" t="n"/>
      <c r="C131" s="789" t="n"/>
      <c r="D131" s="277" t="n"/>
      <c r="E131" s="789" t="n"/>
      <c r="F131" s="789" t="n"/>
      <c r="G131" s="790" t="n"/>
      <c r="H131" s="791" t="n"/>
      <c r="I131" s="791" t="n"/>
      <c r="J131" s="792" t="n"/>
      <c r="K131" s="792" t="n"/>
      <c r="L131" s="792" t="n"/>
      <c r="M131" s="793" t="n"/>
      <c r="O131" s="142" t="n"/>
      <c r="P131" s="142" t="n"/>
      <c r="Q131" s="791" t="n"/>
      <c r="R131" s="791" t="n"/>
      <c r="S131" s="791" t="n"/>
      <c r="T131" s="148" t="n"/>
      <c r="U131" s="148" t="n"/>
      <c r="V131" s="148" t="n"/>
      <c r="W131" s="148" t="n"/>
      <c r="X131" s="149" t="n"/>
      <c r="Y131" s="148" t="n"/>
      <c r="Z131" s="148" t="n"/>
      <c r="AA131" s="148" t="n"/>
      <c r="AB131" s="148" t="n"/>
      <c r="AC131" s="148" t="n"/>
      <c r="AD131" s="150" t="n"/>
      <c r="AE131" s="151" t="n"/>
      <c r="AF131" s="152" t="n"/>
      <c r="AG131" s="153" t="n"/>
      <c r="AH131" s="154" t="n"/>
      <c r="AJ131" s="391" t="n"/>
    </row>
    <row r="132" customFormat="1" s="141">
      <c r="A132" s="42" t="n"/>
      <c r="B132" s="791" t="n"/>
      <c r="C132" s="789" t="n"/>
      <c r="D132" s="277" t="n"/>
      <c r="E132" s="789" t="n"/>
      <c r="F132" s="789" t="n"/>
      <c r="G132" s="790" t="n"/>
      <c r="H132" s="791" t="n"/>
      <c r="I132" s="791" t="n"/>
      <c r="J132" s="792" t="n"/>
      <c r="K132" s="792" t="n"/>
      <c r="L132" s="792" t="n"/>
      <c r="M132" s="793" t="n"/>
      <c r="O132" s="142" t="n"/>
      <c r="P132" s="142" t="n"/>
      <c r="Q132" s="791" t="n"/>
      <c r="R132" s="791" t="n"/>
      <c r="S132" s="791" t="n"/>
      <c r="T132" s="148" t="n"/>
      <c r="U132" s="148" t="n"/>
      <c r="V132" s="148" t="n"/>
      <c r="W132" s="148" t="n"/>
      <c r="X132" s="149" t="n"/>
      <c r="Y132" s="148" t="n"/>
      <c r="Z132" s="148" t="n"/>
      <c r="AA132" s="148" t="n"/>
      <c r="AB132" s="148" t="n"/>
      <c r="AC132" s="148" t="n"/>
      <c r="AD132" s="150" t="n"/>
      <c r="AE132" s="151" t="n"/>
      <c r="AF132" s="152" t="n"/>
      <c r="AG132" s="153" t="n"/>
      <c r="AH132" s="154" t="n"/>
      <c r="AJ132" s="391" t="n"/>
    </row>
    <row r="133" customFormat="1" s="141">
      <c r="A133" s="42" t="n"/>
      <c r="B133" s="791" t="n"/>
      <c r="C133" s="789" t="n"/>
      <c r="D133" s="277" t="n"/>
      <c r="E133" s="789" t="n"/>
      <c r="F133" s="789" t="n"/>
      <c r="G133" s="790" t="n"/>
      <c r="H133" s="791" t="n"/>
      <c r="I133" s="791" t="n"/>
      <c r="J133" s="792" t="n"/>
      <c r="K133" s="792" t="n"/>
      <c r="L133" s="792" t="n"/>
      <c r="M133" s="793" t="n"/>
      <c r="O133" s="142" t="n"/>
      <c r="P133" s="142" t="n"/>
      <c r="Q133" s="791" t="n"/>
      <c r="R133" s="791" t="n"/>
      <c r="S133" s="791" t="n"/>
      <c r="T133" s="148" t="n"/>
      <c r="U133" s="148" t="n"/>
      <c r="V133" s="148" t="n"/>
      <c r="W133" s="148" t="n"/>
      <c r="X133" s="149" t="n"/>
      <c r="Y133" s="148" t="n"/>
      <c r="Z133" s="148" t="n"/>
      <c r="AA133" s="148" t="n"/>
      <c r="AB133" s="148" t="n"/>
      <c r="AC133" s="148" t="n"/>
      <c r="AD133" s="150" t="n"/>
      <c r="AE133" s="151" t="n"/>
      <c r="AF133" s="152" t="n"/>
      <c r="AG133" s="153" t="n"/>
      <c r="AH133" s="154" t="n"/>
      <c r="AJ133" s="391" t="n"/>
    </row>
    <row r="134" customFormat="1" s="141">
      <c r="A134" s="42" t="n"/>
      <c r="B134" s="791" t="n"/>
      <c r="C134" s="789" t="n"/>
      <c r="D134" s="277" t="n"/>
      <c r="E134" s="789" t="n"/>
      <c r="F134" s="789" t="n"/>
      <c r="G134" s="790" t="n"/>
      <c r="H134" s="791" t="n"/>
      <c r="I134" s="791" t="n"/>
      <c r="J134" s="792" t="n"/>
      <c r="K134" s="792" t="n"/>
      <c r="L134" s="792" t="n"/>
      <c r="M134" s="793" t="n"/>
      <c r="O134" s="142" t="n"/>
      <c r="P134" s="142" t="n"/>
      <c r="Q134" s="791" t="n"/>
      <c r="R134" s="791" t="n"/>
      <c r="S134" s="791" t="n"/>
      <c r="T134" s="148" t="n"/>
      <c r="U134" s="148" t="n"/>
      <c r="V134" s="148" t="n"/>
      <c r="W134" s="148" t="n"/>
      <c r="X134" s="149" t="n"/>
      <c r="Y134" s="148" t="n"/>
      <c r="Z134" s="148" t="n"/>
      <c r="AA134" s="148" t="n"/>
      <c r="AB134" s="148" t="n"/>
      <c r="AC134" s="148" t="n"/>
      <c r="AD134" s="150" t="n"/>
      <c r="AE134" s="151" t="n"/>
      <c r="AF134" s="152" t="n"/>
      <c r="AG134" s="153" t="n"/>
      <c r="AH134" s="154" t="n"/>
      <c r="AJ134" s="391" t="n"/>
    </row>
    <row r="135" customFormat="1" s="141">
      <c r="A135" s="42" t="n"/>
      <c r="B135" s="791" t="n"/>
      <c r="C135" s="789" t="n"/>
      <c r="D135" s="277" t="n"/>
      <c r="E135" s="789" t="n"/>
      <c r="F135" s="789" t="n"/>
      <c r="G135" s="790" t="n"/>
      <c r="H135" s="791" t="n"/>
      <c r="I135" s="791" t="n"/>
      <c r="J135" s="792" t="n"/>
      <c r="K135" s="792" t="n"/>
      <c r="L135" s="792" t="n"/>
      <c r="M135" s="793" t="n"/>
      <c r="O135" s="142" t="n"/>
      <c r="P135" s="142" t="n"/>
      <c r="Q135" s="791" t="n"/>
      <c r="R135" s="791" t="n"/>
      <c r="S135" s="791" t="n"/>
      <c r="T135" s="148" t="n"/>
      <c r="U135" s="148" t="n"/>
      <c r="V135" s="148" t="n"/>
      <c r="W135" s="148" t="n"/>
      <c r="X135" s="149" t="n"/>
      <c r="Y135" s="148" t="n"/>
      <c r="Z135" s="148" t="n"/>
      <c r="AA135" s="148" t="n"/>
      <c r="AB135" s="148" t="n"/>
      <c r="AC135" s="148" t="n"/>
      <c r="AD135" s="150" t="n"/>
      <c r="AE135" s="151" t="n"/>
      <c r="AF135" s="152" t="n"/>
      <c r="AG135" s="153" t="n"/>
      <c r="AH135" s="154" t="n"/>
      <c r="AJ135" s="391" t="n"/>
    </row>
    <row r="136" customFormat="1" s="141">
      <c r="A136" s="42" t="n"/>
      <c r="B136" s="791" t="n"/>
      <c r="C136" s="789" t="n"/>
      <c r="D136" s="277" t="n"/>
      <c r="E136" s="789" t="n"/>
      <c r="F136" s="789" t="n"/>
      <c r="G136" s="790" t="n"/>
      <c r="H136" s="791" t="n"/>
      <c r="I136" s="791" t="n"/>
      <c r="J136" s="792" t="n"/>
      <c r="K136" s="792" t="n"/>
      <c r="L136" s="792" t="n"/>
      <c r="M136" s="793" t="n"/>
      <c r="O136" s="142" t="n"/>
      <c r="P136" s="142" t="n"/>
      <c r="Q136" s="791" t="n"/>
      <c r="R136" s="791" t="n"/>
      <c r="S136" s="791" t="n"/>
      <c r="T136" s="148" t="n"/>
      <c r="U136" s="148" t="n"/>
      <c r="V136" s="148" t="n"/>
      <c r="W136" s="148" t="n"/>
      <c r="X136" s="149" t="n"/>
      <c r="Y136" s="148" t="n"/>
      <c r="Z136" s="148" t="n"/>
      <c r="AA136" s="148" t="n"/>
      <c r="AB136" s="148" t="n"/>
      <c r="AC136" s="148" t="n"/>
      <c r="AD136" s="150" t="n"/>
      <c r="AE136" s="151" t="n"/>
      <c r="AF136" s="152" t="n"/>
      <c r="AG136" s="153" t="n"/>
      <c r="AH136" s="154" t="n"/>
      <c r="AJ136" s="391" t="n"/>
    </row>
    <row r="137" customFormat="1" s="141">
      <c r="A137" s="42" t="n"/>
      <c r="B137" s="791" t="n"/>
      <c r="C137" s="789" t="n"/>
      <c r="D137" s="277" t="n"/>
      <c r="E137" s="789" t="n"/>
      <c r="F137" s="789" t="n"/>
      <c r="G137" s="790" t="n"/>
      <c r="H137" s="791" t="n"/>
      <c r="I137" s="791" t="n"/>
      <c r="J137" s="792" t="n"/>
      <c r="K137" s="792" t="n"/>
      <c r="L137" s="792" t="n"/>
      <c r="M137" s="793" t="n"/>
      <c r="O137" s="142" t="n"/>
      <c r="P137" s="142" t="n"/>
      <c r="Q137" s="791" t="n"/>
      <c r="R137" s="791" t="n"/>
      <c r="S137" s="791" t="n"/>
      <c r="T137" s="148" t="n"/>
      <c r="U137" s="148" t="n"/>
      <c r="V137" s="148" t="n"/>
      <c r="W137" s="148" t="n"/>
      <c r="X137" s="149" t="n"/>
      <c r="Y137" s="148" t="n"/>
      <c r="Z137" s="148" t="n"/>
      <c r="AA137" s="148" t="n"/>
      <c r="AB137" s="148" t="n"/>
      <c r="AC137" s="148" t="n"/>
      <c r="AD137" s="150" t="n"/>
      <c r="AE137" s="151" t="n"/>
      <c r="AF137" s="152" t="n"/>
      <c r="AG137" s="153" t="n"/>
      <c r="AH137" s="154" t="n"/>
      <c r="AJ137" s="391" t="n"/>
    </row>
    <row r="138" customFormat="1" s="141">
      <c r="A138" s="42" t="n"/>
      <c r="B138" s="791" t="n"/>
      <c r="C138" s="789" t="n"/>
      <c r="D138" s="277" t="n"/>
      <c r="E138" s="789" t="n"/>
      <c r="F138" s="789" t="n"/>
      <c r="G138" s="790" t="n"/>
      <c r="H138" s="791" t="n"/>
      <c r="I138" s="791" t="n"/>
      <c r="J138" s="792" t="n"/>
      <c r="K138" s="792" t="n"/>
      <c r="L138" s="792" t="n"/>
      <c r="M138" s="793" t="n"/>
      <c r="O138" s="142" t="n"/>
      <c r="P138" s="142" t="n"/>
      <c r="Q138" s="791" t="n"/>
      <c r="R138" s="791" t="n"/>
      <c r="S138" s="791" t="n"/>
      <c r="T138" s="148" t="n"/>
      <c r="U138" s="148" t="n"/>
      <c r="V138" s="148" t="n"/>
      <c r="W138" s="148" t="n"/>
      <c r="X138" s="149" t="n"/>
      <c r="Y138" s="148" t="n"/>
      <c r="Z138" s="148" t="n"/>
      <c r="AA138" s="148" t="n"/>
      <c r="AB138" s="148" t="n"/>
      <c r="AC138" s="148" t="n"/>
      <c r="AD138" s="150" t="n"/>
      <c r="AE138" s="151" t="n"/>
      <c r="AF138" s="152" t="n"/>
      <c r="AG138" s="153" t="n"/>
      <c r="AH138" s="154" t="n"/>
      <c r="AJ138" s="391" t="n"/>
    </row>
    <row r="139" customFormat="1" s="141">
      <c r="A139" s="42" t="n"/>
      <c r="B139" s="791" t="n"/>
      <c r="C139" s="789" t="n"/>
      <c r="D139" s="277" t="n"/>
      <c r="E139" s="789" t="n"/>
      <c r="F139" s="789" t="n"/>
      <c r="G139" s="790" t="n"/>
      <c r="H139" s="791" t="n"/>
      <c r="I139" s="791" t="n"/>
      <c r="J139" s="792" t="n"/>
      <c r="K139" s="792" t="n"/>
      <c r="L139" s="792" t="n"/>
      <c r="M139" s="793" t="n"/>
      <c r="O139" s="142" t="n"/>
      <c r="P139" s="142" t="n"/>
      <c r="Q139" s="791" t="n"/>
      <c r="R139" s="791" t="n"/>
      <c r="S139" s="791" t="n"/>
      <c r="T139" s="148" t="n"/>
      <c r="U139" s="148" t="n"/>
      <c r="V139" s="148" t="n"/>
      <c r="W139" s="148" t="n"/>
      <c r="X139" s="149" t="n"/>
      <c r="Y139" s="148" t="n"/>
      <c r="Z139" s="148" t="n"/>
      <c r="AA139" s="148" t="n"/>
      <c r="AB139" s="148" t="n"/>
      <c r="AC139" s="148" t="n"/>
      <c r="AD139" s="150" t="n"/>
      <c r="AE139" s="151" t="n"/>
      <c r="AF139" s="152" t="n"/>
      <c r="AG139" s="153" t="n"/>
      <c r="AH139" s="154" t="n"/>
      <c r="AJ139" s="391" t="n"/>
    </row>
    <row r="140" customFormat="1" s="141">
      <c r="A140" s="42" t="n"/>
      <c r="B140" s="791" t="n"/>
      <c r="C140" s="789" t="n"/>
      <c r="D140" s="277" t="n"/>
      <c r="E140" s="789" t="n"/>
      <c r="F140" s="789" t="n"/>
      <c r="G140" s="790" t="n"/>
      <c r="H140" s="791" t="n"/>
      <c r="I140" s="791" t="n"/>
      <c r="J140" s="792" t="n"/>
      <c r="K140" s="792" t="n"/>
      <c r="L140" s="792" t="n"/>
      <c r="M140" s="793" t="n"/>
      <c r="O140" s="142" t="n"/>
      <c r="P140" s="142" t="n"/>
      <c r="Q140" s="791" t="n"/>
      <c r="R140" s="791" t="n"/>
      <c r="S140" s="791" t="n"/>
      <c r="T140" s="148" t="n"/>
      <c r="U140" s="148" t="n"/>
      <c r="V140" s="148" t="n"/>
      <c r="W140" s="148" t="n"/>
      <c r="X140" s="149" t="n"/>
      <c r="Y140" s="148" t="n"/>
      <c r="Z140" s="148" t="n"/>
      <c r="AA140" s="148" t="n"/>
      <c r="AB140" s="148" t="n"/>
      <c r="AC140" s="148" t="n"/>
      <c r="AD140" s="150" t="n"/>
      <c r="AE140" s="151" t="n"/>
      <c r="AF140" s="152" t="n"/>
      <c r="AG140" s="153" t="n"/>
      <c r="AH140" s="154" t="n"/>
      <c r="AJ140" s="391" t="n"/>
    </row>
    <row r="141" customFormat="1" s="141">
      <c r="A141" s="42" t="n"/>
      <c r="B141" s="791" t="n"/>
      <c r="C141" s="789" t="n"/>
      <c r="D141" s="277" t="n"/>
      <c r="E141" s="789" t="n"/>
      <c r="F141" s="789" t="n"/>
      <c r="G141" s="790" t="n"/>
      <c r="H141" s="791" t="n"/>
      <c r="I141" s="791" t="n"/>
      <c r="J141" s="792" t="n"/>
      <c r="K141" s="792" t="n"/>
      <c r="L141" s="792" t="n"/>
      <c r="M141" s="793" t="n"/>
      <c r="O141" s="142" t="n"/>
      <c r="P141" s="142" t="n"/>
      <c r="Q141" s="791" t="n"/>
      <c r="R141" s="791" t="n"/>
      <c r="S141" s="791" t="n"/>
      <c r="T141" s="148" t="n"/>
      <c r="U141" s="148" t="n"/>
      <c r="V141" s="148" t="n"/>
      <c r="W141" s="148" t="n"/>
      <c r="X141" s="149" t="n"/>
      <c r="Y141" s="148" t="n"/>
      <c r="Z141" s="148" t="n"/>
      <c r="AA141" s="148" t="n"/>
      <c r="AB141" s="148" t="n"/>
      <c r="AC141" s="148" t="n"/>
      <c r="AD141" s="150" t="n"/>
      <c r="AE141" s="151" t="n"/>
      <c r="AF141" s="152" t="n"/>
      <c r="AG141" s="153" t="n"/>
      <c r="AH141" s="154" t="n"/>
      <c r="AJ141" s="391" t="n"/>
    </row>
    <row r="142" customFormat="1" s="141">
      <c r="A142" s="42" t="n"/>
      <c r="B142" s="791" t="n"/>
      <c r="C142" s="789" t="n"/>
      <c r="D142" s="277" t="n"/>
      <c r="E142" s="789" t="n"/>
      <c r="F142" s="789" t="n"/>
      <c r="G142" s="790" t="n"/>
      <c r="H142" s="791" t="n"/>
      <c r="I142" s="791" t="n"/>
      <c r="J142" s="792" t="n"/>
      <c r="K142" s="792" t="n"/>
      <c r="L142" s="792" t="n"/>
      <c r="M142" s="793" t="n"/>
      <c r="O142" s="142" t="n"/>
      <c r="P142" s="142" t="n"/>
      <c r="Q142" s="791" t="n"/>
      <c r="R142" s="791" t="n"/>
      <c r="S142" s="791" t="n"/>
      <c r="T142" s="148" t="n"/>
      <c r="U142" s="148" t="n"/>
      <c r="V142" s="148" t="n"/>
      <c r="W142" s="148" t="n"/>
      <c r="X142" s="149" t="n"/>
      <c r="Y142" s="148" t="n"/>
      <c r="Z142" s="148" t="n"/>
      <c r="AA142" s="148" t="n"/>
      <c r="AB142" s="148" t="n"/>
      <c r="AC142" s="148" t="n"/>
      <c r="AD142" s="150" t="n"/>
      <c r="AE142" s="151" t="n"/>
      <c r="AF142" s="152" t="n"/>
      <c r="AG142" s="153" t="n"/>
      <c r="AH142" s="154" t="n"/>
      <c r="AJ142" s="391" t="n"/>
    </row>
    <row r="143" customFormat="1" s="141">
      <c r="A143" s="42" t="n"/>
      <c r="B143" s="791" t="n"/>
      <c r="C143" s="789" t="n"/>
      <c r="D143" s="277" t="n"/>
      <c r="E143" s="789" t="n"/>
      <c r="F143" s="789" t="n"/>
      <c r="G143" s="790" t="n"/>
      <c r="H143" s="791" t="n"/>
      <c r="I143" s="791" t="n"/>
      <c r="J143" s="792" t="n"/>
      <c r="K143" s="792" t="n"/>
      <c r="L143" s="792" t="n"/>
      <c r="M143" s="793" t="n"/>
      <c r="O143" s="142" t="n"/>
      <c r="P143" s="142" t="n"/>
      <c r="Q143" s="791" t="n"/>
      <c r="R143" s="791" t="n"/>
      <c r="S143" s="791" t="n"/>
      <c r="T143" s="148" t="n"/>
      <c r="U143" s="148" t="n"/>
      <c r="V143" s="148" t="n"/>
      <c r="W143" s="148" t="n"/>
      <c r="X143" s="149" t="n"/>
      <c r="Y143" s="148" t="n"/>
      <c r="Z143" s="148" t="n"/>
      <c r="AA143" s="148" t="n"/>
      <c r="AB143" s="148" t="n"/>
      <c r="AC143" s="148" t="n"/>
      <c r="AD143" s="150" t="n"/>
      <c r="AE143" s="151" t="n"/>
      <c r="AF143" s="152" t="n"/>
      <c r="AG143" s="153" t="n"/>
      <c r="AH143" s="154" t="n"/>
      <c r="AJ143" s="391" t="n"/>
    </row>
    <row r="144" customFormat="1" s="141">
      <c r="A144" s="42" t="n"/>
      <c r="B144" s="791" t="n"/>
      <c r="C144" s="789" t="n"/>
      <c r="D144" s="277" t="n"/>
      <c r="E144" s="789" t="n"/>
      <c r="F144" s="789" t="n"/>
      <c r="G144" s="790" t="n"/>
      <c r="H144" s="791" t="n"/>
      <c r="I144" s="791" t="n"/>
      <c r="J144" s="792" t="n"/>
      <c r="K144" s="792" t="n"/>
      <c r="L144" s="792" t="n"/>
      <c r="M144" s="793" t="n"/>
      <c r="O144" s="142" t="n"/>
      <c r="P144" s="142" t="n"/>
      <c r="Q144" s="791" t="n"/>
      <c r="R144" s="791" t="n"/>
      <c r="S144" s="791" t="n"/>
      <c r="T144" s="148" t="n"/>
      <c r="U144" s="148" t="n"/>
      <c r="V144" s="148" t="n"/>
      <c r="W144" s="148" t="n"/>
      <c r="X144" s="149" t="n"/>
      <c r="Y144" s="148" t="n"/>
      <c r="Z144" s="148" t="n"/>
      <c r="AA144" s="148" t="n"/>
      <c r="AB144" s="148" t="n"/>
      <c r="AC144" s="148" t="n"/>
      <c r="AD144" s="150" t="n"/>
      <c r="AE144" s="151" t="n"/>
      <c r="AF144" s="152" t="n"/>
      <c r="AG144" s="153" t="n"/>
      <c r="AH144" s="154" t="n"/>
      <c r="AJ144" s="391" t="n"/>
    </row>
    <row r="145" customFormat="1" s="141">
      <c r="A145" s="42" t="n"/>
      <c r="B145" s="791" t="n"/>
      <c r="C145" s="789" t="n"/>
      <c r="D145" s="277" t="n"/>
      <c r="E145" s="789" t="n"/>
      <c r="F145" s="789" t="n"/>
      <c r="G145" s="790" t="n"/>
      <c r="H145" s="791" t="n"/>
      <c r="I145" s="791" t="n"/>
      <c r="J145" s="792" t="n"/>
      <c r="K145" s="792" t="n"/>
      <c r="L145" s="792" t="n"/>
      <c r="M145" s="793" t="n"/>
      <c r="O145" s="142" t="n"/>
      <c r="P145" s="142" t="n"/>
      <c r="Q145" s="791" t="n"/>
      <c r="R145" s="791" t="n"/>
      <c r="S145" s="791" t="n"/>
      <c r="T145" s="148" t="n"/>
      <c r="U145" s="148" t="n"/>
      <c r="V145" s="148" t="n"/>
      <c r="W145" s="148" t="n"/>
      <c r="X145" s="149" t="n"/>
      <c r="Y145" s="148" t="n"/>
      <c r="Z145" s="148" t="n"/>
      <c r="AA145" s="148" t="n"/>
      <c r="AB145" s="148" t="n"/>
      <c r="AC145" s="148" t="n"/>
      <c r="AD145" s="150" t="n"/>
      <c r="AE145" s="151" t="n"/>
      <c r="AF145" s="152" t="n"/>
      <c r="AG145" s="153" t="n"/>
      <c r="AH145" s="154" t="n"/>
      <c r="AJ145" s="391" t="n"/>
    </row>
    <row r="146" customFormat="1" s="141">
      <c r="A146" s="42" t="n"/>
      <c r="B146" s="791" t="n"/>
      <c r="C146" s="789" t="n"/>
      <c r="D146" s="277" t="n"/>
      <c r="E146" s="789" t="n"/>
      <c r="F146" s="789" t="n"/>
      <c r="G146" s="790" t="n"/>
      <c r="H146" s="791" t="n"/>
      <c r="I146" s="791" t="n"/>
      <c r="J146" s="792" t="n"/>
      <c r="K146" s="792" t="n"/>
      <c r="L146" s="792" t="n"/>
      <c r="M146" s="793" t="n"/>
      <c r="O146" s="142" t="n"/>
      <c r="P146" s="142" t="n"/>
      <c r="Q146" s="791" t="n"/>
      <c r="R146" s="791" t="n"/>
      <c r="S146" s="791" t="n"/>
      <c r="T146" s="148" t="n"/>
      <c r="U146" s="148" t="n"/>
      <c r="V146" s="148" t="n"/>
      <c r="W146" s="148" t="n"/>
      <c r="X146" s="149" t="n"/>
      <c r="Y146" s="148" t="n"/>
      <c r="Z146" s="148" t="n"/>
      <c r="AA146" s="148" t="n"/>
      <c r="AB146" s="148" t="n"/>
      <c r="AC146" s="148" t="n"/>
      <c r="AD146" s="150" t="n"/>
      <c r="AE146" s="151" t="n"/>
      <c r="AF146" s="152" t="n"/>
      <c r="AG146" s="153" t="n"/>
      <c r="AH146" s="154" t="n"/>
      <c r="AJ146" s="391" t="n"/>
    </row>
    <row r="147" customFormat="1" s="141">
      <c r="A147" s="42" t="n"/>
      <c r="B147" s="791" t="n"/>
      <c r="C147" s="789" t="n"/>
      <c r="D147" s="277" t="n"/>
      <c r="E147" s="789" t="n"/>
      <c r="F147" s="789" t="n"/>
      <c r="G147" s="790" t="n"/>
      <c r="H147" s="791" t="n"/>
      <c r="I147" s="791" t="n"/>
      <c r="J147" s="792" t="n"/>
      <c r="K147" s="792" t="n"/>
      <c r="L147" s="792" t="n"/>
      <c r="M147" s="793" t="n"/>
      <c r="O147" s="142" t="n"/>
      <c r="P147" s="142" t="n"/>
      <c r="Q147" s="791" t="n"/>
      <c r="R147" s="791" t="n"/>
      <c r="S147" s="791" t="n"/>
      <c r="T147" s="148" t="n"/>
      <c r="U147" s="148" t="n"/>
      <c r="V147" s="148" t="n"/>
      <c r="W147" s="148" t="n"/>
      <c r="X147" s="149" t="n"/>
      <c r="Y147" s="148" t="n"/>
      <c r="Z147" s="148" t="n"/>
      <c r="AA147" s="148" t="n"/>
      <c r="AB147" s="148" t="n"/>
      <c r="AC147" s="148" t="n"/>
      <c r="AD147" s="150" t="n"/>
      <c r="AE147" s="151" t="n"/>
      <c r="AF147" s="152" t="n"/>
      <c r="AG147" s="153" t="n"/>
      <c r="AH147" s="154" t="n"/>
      <c r="AJ147" s="391" t="n"/>
    </row>
    <row r="148" customFormat="1" s="141">
      <c r="A148" s="42" t="n"/>
      <c r="B148" s="791" t="n"/>
      <c r="C148" s="789" t="n"/>
      <c r="D148" s="277" t="n"/>
      <c r="E148" s="789" t="n"/>
      <c r="F148" s="789" t="n"/>
      <c r="G148" s="790" t="n"/>
      <c r="H148" s="791" t="n"/>
      <c r="I148" s="791" t="n"/>
      <c r="J148" s="792" t="n"/>
      <c r="K148" s="792" t="n"/>
      <c r="L148" s="792" t="n"/>
      <c r="M148" s="793" t="n"/>
      <c r="O148" s="142" t="n"/>
      <c r="P148" s="142" t="n"/>
      <c r="Q148" s="791" t="n"/>
      <c r="R148" s="791" t="n"/>
      <c r="S148" s="791" t="n"/>
      <c r="T148" s="148" t="n"/>
      <c r="U148" s="148" t="n"/>
      <c r="V148" s="148" t="n"/>
      <c r="W148" s="148" t="n"/>
      <c r="X148" s="149" t="n"/>
      <c r="Y148" s="148" t="n"/>
      <c r="Z148" s="148" t="n"/>
      <c r="AA148" s="148" t="n"/>
      <c r="AB148" s="148" t="n"/>
      <c r="AC148" s="148" t="n"/>
      <c r="AD148" s="150" t="n"/>
      <c r="AE148" s="151" t="n"/>
      <c r="AF148" s="152" t="n"/>
      <c r="AG148" s="153" t="n"/>
      <c r="AH148" s="154" t="n"/>
      <c r="AJ148" s="391" t="n"/>
    </row>
    <row r="149" customFormat="1" s="141">
      <c r="A149" s="42" t="n"/>
      <c r="B149" s="791" t="n"/>
      <c r="C149" s="789" t="n"/>
      <c r="D149" s="277" t="n"/>
      <c r="E149" s="789" t="n"/>
      <c r="F149" s="789" t="n"/>
      <c r="G149" s="790" t="n"/>
      <c r="H149" s="791" t="n"/>
      <c r="I149" s="791" t="n"/>
      <c r="J149" s="792" t="n"/>
      <c r="K149" s="792" t="n"/>
      <c r="L149" s="792" t="n"/>
      <c r="M149" s="793" t="n"/>
      <c r="O149" s="142" t="n"/>
      <c r="P149" s="142" t="n"/>
      <c r="Q149" s="791" t="n"/>
      <c r="R149" s="791" t="n"/>
      <c r="S149" s="791" t="n"/>
      <c r="T149" s="148" t="n"/>
      <c r="U149" s="148" t="n"/>
      <c r="V149" s="148" t="n"/>
      <c r="W149" s="148" t="n"/>
      <c r="X149" s="149" t="n"/>
      <c r="Y149" s="148" t="n"/>
      <c r="Z149" s="148" t="n"/>
      <c r="AA149" s="148" t="n"/>
      <c r="AB149" s="148" t="n"/>
      <c r="AC149" s="148" t="n"/>
      <c r="AD149" s="150" t="n"/>
      <c r="AE149" s="151" t="n"/>
      <c r="AF149" s="152" t="n"/>
      <c r="AG149" s="153" t="n"/>
      <c r="AH149" s="154" t="n"/>
      <c r="AJ149" s="391" t="n"/>
    </row>
    <row r="150" customFormat="1" s="141">
      <c r="A150" s="42" t="n"/>
      <c r="B150" s="791" t="n"/>
      <c r="C150" s="789" t="n"/>
      <c r="D150" s="277" t="n"/>
      <c r="E150" s="789" t="n"/>
      <c r="F150" s="789" t="n"/>
      <c r="G150" s="790" t="n"/>
      <c r="H150" s="791" t="n"/>
      <c r="I150" s="791" t="n"/>
      <c r="J150" s="792" t="n"/>
      <c r="K150" s="792" t="n"/>
      <c r="L150" s="792" t="n"/>
      <c r="M150" s="793" t="n"/>
      <c r="O150" s="142" t="n"/>
      <c r="P150" s="142" t="n"/>
      <c r="Q150" s="791" t="n"/>
      <c r="R150" s="791" t="n"/>
      <c r="S150" s="791" t="n"/>
      <c r="T150" s="148" t="n"/>
      <c r="U150" s="148" t="n"/>
      <c r="V150" s="148" t="n"/>
      <c r="W150" s="148" t="n"/>
      <c r="X150" s="149" t="n"/>
      <c r="Y150" s="148" t="n"/>
      <c r="Z150" s="148" t="n"/>
      <c r="AA150" s="148" t="n"/>
      <c r="AB150" s="148" t="n"/>
      <c r="AC150" s="148" t="n"/>
      <c r="AD150" s="150" t="n"/>
      <c r="AE150" s="151" t="n"/>
      <c r="AF150" s="152" t="n"/>
      <c r="AG150" s="153" t="n"/>
      <c r="AH150" s="154" t="n"/>
      <c r="AJ150" s="391" t="n"/>
    </row>
    <row r="151" customFormat="1" s="141">
      <c r="A151" s="42" t="n"/>
      <c r="B151" s="791" t="n"/>
      <c r="C151" s="789" t="n"/>
      <c r="D151" s="277" t="n"/>
      <c r="E151" s="789" t="n"/>
      <c r="F151" s="789" t="n"/>
      <c r="G151" s="790" t="n"/>
      <c r="H151" s="791" t="n"/>
      <c r="I151" s="791" t="n"/>
      <c r="J151" s="792" t="n"/>
      <c r="K151" s="792" t="n"/>
      <c r="L151" s="792" t="n"/>
      <c r="M151" s="793" t="n"/>
      <c r="O151" s="142" t="n"/>
      <c r="P151" s="142" t="n"/>
      <c r="Q151" s="791" t="n"/>
      <c r="R151" s="791" t="n"/>
      <c r="S151" s="791" t="n"/>
      <c r="T151" s="148" t="n"/>
      <c r="U151" s="148" t="n"/>
      <c r="V151" s="148" t="n"/>
      <c r="W151" s="148" t="n"/>
      <c r="X151" s="149" t="n"/>
      <c r="Y151" s="148" t="n"/>
      <c r="Z151" s="148" t="n"/>
      <c r="AA151" s="148" t="n"/>
      <c r="AB151" s="148" t="n"/>
      <c r="AC151" s="148" t="n"/>
      <c r="AD151" s="150" t="n"/>
      <c r="AE151" s="151" t="n"/>
      <c r="AF151" s="152" t="n"/>
      <c r="AG151" s="153" t="n"/>
      <c r="AH151" s="154" t="n"/>
      <c r="AJ151" s="391" t="n"/>
    </row>
    <row r="152" customFormat="1" s="141">
      <c r="A152" s="42" t="n"/>
      <c r="B152" s="791" t="n"/>
      <c r="C152" s="789" t="n"/>
      <c r="D152" s="277" t="n"/>
      <c r="E152" s="789" t="n"/>
      <c r="F152" s="789" t="n"/>
      <c r="G152" s="790" t="n"/>
      <c r="H152" s="791" t="n"/>
      <c r="I152" s="791" t="n"/>
      <c r="J152" s="792" t="n"/>
      <c r="K152" s="792" t="n"/>
      <c r="L152" s="792" t="n"/>
      <c r="M152" s="793" t="n"/>
      <c r="O152" s="142" t="n"/>
      <c r="P152" s="142" t="n"/>
      <c r="Q152" s="791" t="n"/>
      <c r="R152" s="791" t="n"/>
      <c r="S152" s="791" t="n"/>
      <c r="T152" s="148" t="n"/>
      <c r="U152" s="148" t="n"/>
      <c r="V152" s="148" t="n"/>
      <c r="W152" s="148" t="n"/>
      <c r="X152" s="149" t="n"/>
      <c r="Y152" s="148" t="n"/>
      <c r="Z152" s="148" t="n"/>
      <c r="AA152" s="148" t="n"/>
      <c r="AB152" s="148" t="n"/>
      <c r="AC152" s="148" t="n"/>
      <c r="AD152" s="150" t="n"/>
      <c r="AE152" s="151" t="n"/>
      <c r="AF152" s="152" t="n"/>
      <c r="AG152" s="153" t="n"/>
      <c r="AH152" s="154" t="n"/>
      <c r="AJ152" s="391" t="n"/>
    </row>
    <row r="153" customFormat="1" s="141">
      <c r="A153" s="42" t="n"/>
      <c r="B153" s="791" t="n"/>
      <c r="C153" s="789" t="n"/>
      <c r="D153" s="277" t="n"/>
      <c r="E153" s="789" t="n"/>
      <c r="F153" s="789" t="n"/>
      <c r="G153" s="790" t="n"/>
      <c r="H153" s="791" t="n"/>
      <c r="I153" s="791" t="n"/>
      <c r="J153" s="792" t="n"/>
      <c r="K153" s="792" t="n"/>
      <c r="L153" s="792" t="n"/>
      <c r="M153" s="793" t="n"/>
      <c r="O153" s="142" t="n"/>
      <c r="P153" s="142" t="n"/>
      <c r="Q153" s="791" t="n"/>
      <c r="R153" s="791" t="n"/>
      <c r="S153" s="791" t="n"/>
      <c r="T153" s="148" t="n"/>
      <c r="U153" s="148" t="n"/>
      <c r="V153" s="148" t="n"/>
      <c r="W153" s="148" t="n"/>
      <c r="X153" s="149" t="n"/>
      <c r="Y153" s="148" t="n"/>
      <c r="Z153" s="148" t="n"/>
      <c r="AA153" s="148" t="n"/>
      <c r="AB153" s="148" t="n"/>
      <c r="AC153" s="148" t="n"/>
      <c r="AD153" s="150" t="n"/>
      <c r="AE153" s="151" t="n"/>
      <c r="AF153" s="152" t="n"/>
      <c r="AG153" s="153" t="n"/>
      <c r="AH153" s="154" t="n"/>
      <c r="AJ153" s="391" t="n"/>
    </row>
    <row r="154" customFormat="1" s="141">
      <c r="A154" s="42" t="n"/>
      <c r="B154" s="791" t="n"/>
      <c r="C154" s="789" t="n"/>
      <c r="D154" s="277" t="n"/>
      <c r="E154" s="789" t="n"/>
      <c r="F154" s="789" t="n"/>
      <c r="G154" s="790" t="n"/>
      <c r="H154" s="791" t="n"/>
      <c r="I154" s="791" t="n"/>
      <c r="J154" s="792" t="n"/>
      <c r="K154" s="792" t="n"/>
      <c r="L154" s="792" t="n"/>
      <c r="M154" s="793" t="n"/>
      <c r="O154" s="142" t="n"/>
      <c r="P154" s="142" t="n"/>
      <c r="Q154" s="791" t="n"/>
      <c r="R154" s="791" t="n"/>
      <c r="S154" s="791" t="n"/>
      <c r="T154" s="148" t="n"/>
      <c r="U154" s="148" t="n"/>
      <c r="V154" s="148" t="n"/>
      <c r="W154" s="148" t="n"/>
      <c r="X154" s="149" t="n"/>
      <c r="Y154" s="148" t="n"/>
      <c r="Z154" s="148" t="n"/>
      <c r="AA154" s="148" t="n"/>
      <c r="AB154" s="148" t="n"/>
      <c r="AC154" s="148" t="n"/>
      <c r="AD154" s="150" t="n"/>
      <c r="AE154" s="151" t="n"/>
      <c r="AF154" s="152" t="n"/>
      <c r="AG154" s="153" t="n"/>
      <c r="AH154" s="154" t="n"/>
      <c r="AJ154" s="391" t="n"/>
    </row>
    <row r="155" customFormat="1" s="141">
      <c r="A155" s="42" t="n"/>
      <c r="B155" s="791" t="n"/>
      <c r="C155" s="789" t="n"/>
      <c r="D155" s="277" t="n"/>
      <c r="E155" s="789" t="n"/>
      <c r="F155" s="789" t="n"/>
      <c r="G155" s="790" t="n"/>
      <c r="H155" s="791" t="n"/>
      <c r="I155" s="791" t="n"/>
      <c r="J155" s="792" t="n"/>
      <c r="K155" s="792" t="n"/>
      <c r="L155" s="792" t="n"/>
      <c r="M155" s="793" t="n"/>
      <c r="O155" s="142" t="n"/>
      <c r="P155" s="142" t="n"/>
      <c r="Q155" s="791" t="n"/>
      <c r="R155" s="791" t="n"/>
      <c r="S155" s="791" t="n"/>
      <c r="T155" s="148" t="n"/>
      <c r="U155" s="148" t="n"/>
      <c r="V155" s="148" t="n"/>
      <c r="W155" s="148" t="n"/>
      <c r="X155" s="149" t="n"/>
      <c r="Y155" s="148" t="n"/>
      <c r="Z155" s="148" t="n"/>
      <c r="AA155" s="148" t="n"/>
      <c r="AB155" s="148" t="n"/>
      <c r="AC155" s="148" t="n"/>
      <c r="AD155" s="150" t="n"/>
      <c r="AE155" s="151" t="n"/>
      <c r="AF155" s="152" t="n"/>
      <c r="AG155" s="153" t="n"/>
      <c r="AH155" s="154" t="n"/>
      <c r="AJ155" s="391" t="n"/>
    </row>
    <row r="156" customFormat="1" s="141">
      <c r="A156" s="42" t="n"/>
      <c r="B156" s="791" t="n"/>
      <c r="C156" s="789" t="n"/>
      <c r="D156" s="277" t="n"/>
      <c r="E156" s="789" t="n"/>
      <c r="F156" s="789" t="n"/>
      <c r="G156" s="790" t="n"/>
      <c r="H156" s="791" t="n"/>
      <c r="I156" s="791" t="n"/>
      <c r="J156" s="792" t="n"/>
      <c r="K156" s="792" t="n"/>
      <c r="L156" s="792" t="n"/>
      <c r="M156" s="793" t="n"/>
      <c r="O156" s="142" t="n"/>
      <c r="P156" s="142" t="n"/>
      <c r="Q156" s="791" t="n"/>
      <c r="R156" s="791" t="n"/>
      <c r="S156" s="791" t="n"/>
      <c r="T156" s="148" t="n"/>
      <c r="U156" s="148" t="n"/>
      <c r="V156" s="148" t="n"/>
      <c r="W156" s="148" t="n"/>
      <c r="X156" s="149" t="n"/>
      <c r="Y156" s="148" t="n"/>
      <c r="Z156" s="148" t="n"/>
      <c r="AA156" s="148" t="n"/>
      <c r="AB156" s="148" t="n"/>
      <c r="AC156" s="148" t="n"/>
      <c r="AD156" s="150" t="n"/>
      <c r="AE156" s="151" t="n"/>
      <c r="AF156" s="152" t="n"/>
      <c r="AG156" s="153" t="n"/>
      <c r="AH156" s="154" t="n"/>
      <c r="AJ156" s="391" t="n"/>
    </row>
    <row r="157" customFormat="1" s="141">
      <c r="A157" s="42" t="n"/>
      <c r="B157" s="791" t="n"/>
      <c r="C157" s="789" t="n"/>
      <c r="D157" s="277" t="n"/>
      <c r="E157" s="789" t="n"/>
      <c r="F157" s="789" t="n"/>
      <c r="G157" s="790" t="n"/>
      <c r="H157" s="791" t="n"/>
      <c r="I157" s="791" t="n"/>
      <c r="J157" s="792" t="n"/>
      <c r="K157" s="792" t="n"/>
      <c r="L157" s="792" t="n"/>
      <c r="M157" s="793" t="n"/>
      <c r="O157" s="142" t="n"/>
      <c r="P157" s="142" t="n"/>
      <c r="Q157" s="791" t="n"/>
      <c r="R157" s="791" t="n"/>
      <c r="S157" s="791" t="n"/>
      <c r="T157" s="148" t="n"/>
      <c r="U157" s="148" t="n"/>
      <c r="V157" s="148" t="n"/>
      <c r="W157" s="148" t="n"/>
      <c r="X157" s="149" t="n"/>
      <c r="Y157" s="148" t="n"/>
      <c r="Z157" s="148" t="n"/>
      <c r="AA157" s="148" t="n"/>
      <c r="AB157" s="148" t="n"/>
      <c r="AC157" s="148" t="n"/>
      <c r="AD157" s="150" t="n"/>
      <c r="AE157" s="151" t="n"/>
      <c r="AF157" s="152" t="n"/>
      <c r="AG157" s="153" t="n"/>
      <c r="AH157" s="154" t="n"/>
      <c r="AJ157" s="391" t="n"/>
    </row>
    <row r="158" customFormat="1" s="141">
      <c r="A158" s="42" t="n"/>
      <c r="B158" s="791" t="n"/>
      <c r="C158" s="789" t="n"/>
      <c r="D158" s="277" t="n"/>
      <c r="E158" s="789" t="n"/>
      <c r="F158" s="789" t="n"/>
      <c r="G158" s="790" t="n"/>
      <c r="H158" s="791" t="n"/>
      <c r="I158" s="791" t="n"/>
      <c r="J158" s="792" t="n"/>
      <c r="K158" s="792" t="n"/>
      <c r="L158" s="792" t="n"/>
      <c r="M158" s="793" t="n"/>
      <c r="O158" s="142" t="n"/>
      <c r="P158" s="142" t="n"/>
      <c r="Q158" s="791" t="n"/>
      <c r="R158" s="791" t="n"/>
      <c r="S158" s="791" t="n"/>
      <c r="T158" s="148" t="n"/>
      <c r="U158" s="148" t="n"/>
      <c r="V158" s="148" t="n"/>
      <c r="W158" s="148" t="n"/>
      <c r="X158" s="149" t="n"/>
      <c r="Y158" s="148" t="n"/>
      <c r="Z158" s="148" t="n"/>
      <c r="AA158" s="148" t="n"/>
      <c r="AB158" s="148" t="n"/>
      <c r="AC158" s="148" t="n"/>
      <c r="AD158" s="150" t="n"/>
      <c r="AE158" s="151" t="n"/>
      <c r="AF158" s="152" t="n"/>
      <c r="AG158" s="153" t="n"/>
      <c r="AH158" s="154" t="n"/>
      <c r="AJ158" s="391" t="n"/>
    </row>
    <row r="159" customFormat="1" s="141">
      <c r="A159" s="42" t="n"/>
      <c r="B159" s="791" t="n"/>
      <c r="C159" s="789" t="n"/>
      <c r="D159" s="277" t="n"/>
      <c r="E159" s="789" t="n"/>
      <c r="F159" s="789" t="n"/>
      <c r="G159" s="790" t="n"/>
      <c r="H159" s="791" t="n"/>
      <c r="I159" s="791" t="n"/>
      <c r="J159" s="792" t="n"/>
      <c r="K159" s="792" t="n"/>
      <c r="L159" s="792" t="n"/>
      <c r="M159" s="793" t="n"/>
      <c r="O159" s="142" t="n"/>
      <c r="P159" s="142" t="n"/>
      <c r="Q159" s="791" t="n"/>
      <c r="R159" s="791" t="n"/>
      <c r="S159" s="791" t="n"/>
      <c r="T159" s="148" t="n"/>
      <c r="U159" s="148" t="n"/>
      <c r="V159" s="148" t="n"/>
      <c r="W159" s="148" t="n"/>
      <c r="X159" s="149" t="n"/>
      <c r="Y159" s="148" t="n"/>
      <c r="Z159" s="148" t="n"/>
      <c r="AA159" s="148" t="n"/>
      <c r="AB159" s="148" t="n"/>
      <c r="AC159" s="148" t="n"/>
      <c r="AD159" s="150" t="n"/>
      <c r="AE159" s="151" t="n"/>
      <c r="AF159" s="152" t="n"/>
      <c r="AG159" s="153" t="n"/>
      <c r="AH159" s="154" t="n"/>
      <c r="AJ159" s="391" t="n"/>
    </row>
    <row r="160" customFormat="1" s="141">
      <c r="A160" s="42" t="n"/>
      <c r="B160" s="791" t="n"/>
      <c r="C160" s="789" t="n"/>
      <c r="D160" s="277" t="n"/>
      <c r="E160" s="789" t="n"/>
      <c r="F160" s="789" t="n"/>
      <c r="G160" s="790" t="n"/>
      <c r="H160" s="791" t="n"/>
      <c r="I160" s="791" t="n"/>
      <c r="J160" s="792" t="n"/>
      <c r="K160" s="792" t="n"/>
      <c r="L160" s="792" t="n"/>
      <c r="M160" s="793" t="n"/>
      <c r="O160" s="142" t="n"/>
      <c r="P160" s="142" t="n"/>
      <c r="Q160" s="791" t="n"/>
      <c r="R160" s="791" t="n"/>
      <c r="S160" s="791" t="n"/>
      <c r="T160" s="148" t="n"/>
      <c r="U160" s="148" t="n"/>
      <c r="V160" s="148" t="n"/>
      <c r="W160" s="148" t="n"/>
      <c r="X160" s="149" t="n"/>
      <c r="Y160" s="148" t="n"/>
      <c r="Z160" s="148" t="n"/>
      <c r="AA160" s="148" t="n"/>
      <c r="AB160" s="148" t="n"/>
      <c r="AC160" s="148" t="n"/>
      <c r="AD160" s="150" t="n"/>
      <c r="AE160" s="151" t="n"/>
      <c r="AF160" s="152" t="n"/>
      <c r="AG160" s="153" t="n"/>
      <c r="AH160" s="154" t="n"/>
      <c r="AJ160" s="391" t="n"/>
    </row>
    <row r="161" customFormat="1" s="141">
      <c r="A161" s="42" t="n"/>
      <c r="B161" s="791" t="n"/>
      <c r="C161" s="789" t="n"/>
      <c r="D161" s="277" t="n"/>
      <c r="E161" s="789" t="n"/>
      <c r="F161" s="789" t="n"/>
      <c r="G161" s="790" t="n"/>
      <c r="H161" s="791" t="n"/>
      <c r="I161" s="791" t="n"/>
      <c r="J161" s="792" t="n"/>
      <c r="K161" s="792" t="n"/>
      <c r="L161" s="792" t="n"/>
      <c r="M161" s="793" t="n"/>
      <c r="O161" s="142" t="n"/>
      <c r="P161" s="142" t="n"/>
      <c r="Q161" s="791" t="n"/>
      <c r="R161" s="791" t="n"/>
      <c r="S161" s="791" t="n"/>
      <c r="T161" s="148" t="n"/>
      <c r="U161" s="148" t="n"/>
      <c r="V161" s="148" t="n"/>
      <c r="W161" s="148" t="n"/>
      <c r="X161" s="149" t="n"/>
      <c r="Y161" s="148" t="n"/>
      <c r="Z161" s="148" t="n"/>
      <c r="AA161" s="148" t="n"/>
      <c r="AB161" s="148" t="n"/>
      <c r="AC161" s="148" t="n"/>
      <c r="AD161" s="150" t="n"/>
      <c r="AE161" s="151" t="n"/>
      <c r="AF161" s="152" t="n"/>
      <c r="AG161" s="153" t="n"/>
      <c r="AH161" s="154" t="n"/>
      <c r="AJ161" s="391" t="n"/>
    </row>
    <row r="162" customFormat="1" s="141">
      <c r="A162" s="42" t="n"/>
      <c r="B162" s="791" t="n"/>
      <c r="C162" s="789" t="n"/>
      <c r="D162" s="277" t="n"/>
      <c r="E162" s="789" t="n"/>
      <c r="F162" s="789" t="n"/>
      <c r="G162" s="790" t="n"/>
      <c r="H162" s="791" t="n"/>
      <c r="I162" s="791" t="n"/>
      <c r="J162" s="792" t="n"/>
      <c r="K162" s="792" t="n"/>
      <c r="L162" s="792" t="n"/>
      <c r="M162" s="793" t="n"/>
      <c r="O162" s="142" t="n"/>
      <c r="P162" s="142" t="n"/>
      <c r="Q162" s="791" t="n"/>
      <c r="R162" s="791" t="n"/>
      <c r="S162" s="791" t="n"/>
      <c r="T162" s="148" t="n"/>
      <c r="U162" s="148" t="n"/>
      <c r="V162" s="148" t="n"/>
      <c r="W162" s="148" t="n"/>
      <c r="X162" s="149" t="n"/>
      <c r="Y162" s="148" t="n"/>
      <c r="Z162" s="148" t="n"/>
      <c r="AA162" s="148" t="n"/>
      <c r="AB162" s="148" t="n"/>
      <c r="AC162" s="148" t="n"/>
      <c r="AD162" s="150" t="n"/>
      <c r="AE162" s="151" t="n"/>
      <c r="AF162" s="152" t="n"/>
      <c r="AG162" s="153" t="n"/>
      <c r="AH162" s="154" t="n"/>
      <c r="AJ162" s="391" t="n"/>
    </row>
    <row r="163" customFormat="1" s="141">
      <c r="A163" s="42" t="n"/>
      <c r="B163" s="791" t="n"/>
      <c r="C163" s="789" t="n"/>
      <c r="D163" s="277" t="n"/>
      <c r="E163" s="789" t="n"/>
      <c r="F163" s="789" t="n"/>
      <c r="G163" s="790" t="n"/>
      <c r="H163" s="791" t="n"/>
      <c r="I163" s="791" t="n"/>
      <c r="J163" s="792" t="n"/>
      <c r="K163" s="792" t="n"/>
      <c r="L163" s="792" t="n"/>
      <c r="M163" s="793" t="n"/>
      <c r="O163" s="142" t="n"/>
      <c r="P163" s="142" t="n"/>
      <c r="Q163" s="791" t="n"/>
      <c r="R163" s="791" t="n"/>
      <c r="S163" s="791" t="n"/>
      <c r="T163" s="148" t="n"/>
      <c r="U163" s="148" t="n"/>
      <c r="V163" s="148" t="n"/>
      <c r="W163" s="148" t="n"/>
      <c r="X163" s="149" t="n"/>
      <c r="Y163" s="148" t="n"/>
      <c r="Z163" s="148" t="n"/>
      <c r="AA163" s="148" t="n"/>
      <c r="AB163" s="148" t="n"/>
      <c r="AC163" s="148" t="n"/>
      <c r="AD163" s="150" t="n"/>
      <c r="AE163" s="151" t="n"/>
      <c r="AF163" s="152" t="n"/>
      <c r="AG163" s="153" t="n"/>
      <c r="AH163" s="154" t="n"/>
      <c r="AJ163" s="391" t="n"/>
    </row>
    <row r="164" customFormat="1" s="141">
      <c r="A164" s="42" t="n"/>
      <c r="B164" s="791" t="n"/>
      <c r="C164" s="789" t="n"/>
      <c r="D164" s="277" t="n"/>
      <c r="E164" s="789" t="n"/>
      <c r="F164" s="789" t="n"/>
      <c r="G164" s="790" t="n"/>
      <c r="H164" s="791" t="n"/>
      <c r="I164" s="791" t="n"/>
      <c r="J164" s="792" t="n"/>
      <c r="K164" s="792" t="n"/>
      <c r="L164" s="792" t="n"/>
      <c r="M164" s="793" t="n"/>
      <c r="O164" s="142" t="n"/>
      <c r="P164" s="142" t="n"/>
      <c r="Q164" s="791" t="n"/>
      <c r="R164" s="791" t="n"/>
      <c r="S164" s="791" t="n"/>
      <c r="T164" s="148" t="n"/>
      <c r="U164" s="148" t="n"/>
      <c r="V164" s="148" t="n"/>
      <c r="W164" s="148" t="n"/>
      <c r="X164" s="149" t="n"/>
      <c r="Y164" s="148" t="n"/>
      <c r="Z164" s="148" t="n"/>
      <c r="AA164" s="148" t="n"/>
      <c r="AB164" s="148" t="n"/>
      <c r="AC164" s="148" t="n"/>
      <c r="AD164" s="150" t="n"/>
      <c r="AE164" s="151" t="n"/>
      <c r="AF164" s="152" t="n"/>
      <c r="AG164" s="153" t="n"/>
      <c r="AH164" s="154" t="n"/>
      <c r="AJ164" s="391" t="n"/>
    </row>
    <row r="165" customFormat="1" s="141">
      <c r="A165" s="42" t="n"/>
      <c r="B165" s="791" t="n"/>
      <c r="C165" s="789" t="n"/>
      <c r="D165" s="277" t="n"/>
      <c r="E165" s="789" t="n"/>
      <c r="F165" s="789" t="n"/>
      <c r="G165" s="790" t="n"/>
      <c r="H165" s="791" t="n"/>
      <c r="I165" s="791" t="n"/>
      <c r="J165" s="792" t="n"/>
      <c r="K165" s="792" t="n"/>
      <c r="L165" s="792" t="n"/>
      <c r="M165" s="793" t="n"/>
      <c r="O165" s="142" t="n"/>
      <c r="P165" s="142" t="n"/>
      <c r="Q165" s="791" t="n"/>
      <c r="R165" s="791" t="n"/>
      <c r="S165" s="791" t="n"/>
      <c r="T165" s="148" t="n"/>
      <c r="U165" s="148" t="n"/>
      <c r="V165" s="148" t="n"/>
      <c r="W165" s="148" t="n"/>
      <c r="X165" s="149" t="n"/>
      <c r="Y165" s="148" t="n"/>
      <c r="Z165" s="148" t="n"/>
      <c r="AA165" s="148" t="n"/>
      <c r="AB165" s="148" t="n"/>
      <c r="AC165" s="148" t="n"/>
      <c r="AD165" s="150" t="n"/>
      <c r="AE165" s="151" t="n"/>
      <c r="AF165" s="152" t="n"/>
      <c r="AG165" s="153" t="n"/>
      <c r="AH165" s="154" t="n"/>
      <c r="AJ165" s="391" t="n"/>
    </row>
    <row r="166" customFormat="1" s="141">
      <c r="A166" s="42" t="n"/>
      <c r="B166" s="791" t="n"/>
      <c r="C166" s="789" t="n"/>
      <c r="D166" s="277" t="n"/>
      <c r="E166" s="789" t="n"/>
      <c r="F166" s="789" t="n"/>
      <c r="G166" s="790" t="n"/>
      <c r="H166" s="791" t="n"/>
      <c r="I166" s="791" t="n"/>
      <c r="J166" s="792" t="n"/>
      <c r="K166" s="792" t="n"/>
      <c r="L166" s="792" t="n"/>
      <c r="M166" s="793" t="n"/>
      <c r="O166" s="142" t="n"/>
      <c r="P166" s="142" t="n"/>
      <c r="Q166" s="791" t="n"/>
      <c r="R166" s="791" t="n"/>
      <c r="S166" s="791" t="n"/>
      <c r="T166" s="148" t="n"/>
      <c r="U166" s="148" t="n"/>
      <c r="V166" s="148" t="n"/>
      <c r="W166" s="148" t="n"/>
      <c r="X166" s="149" t="n"/>
      <c r="Y166" s="148" t="n"/>
      <c r="Z166" s="148" t="n"/>
      <c r="AA166" s="148" t="n"/>
      <c r="AB166" s="148" t="n"/>
      <c r="AC166" s="148" t="n"/>
      <c r="AD166" s="150" t="n"/>
      <c r="AE166" s="151" t="n"/>
      <c r="AF166" s="152" t="n"/>
      <c r="AG166" s="153" t="n"/>
      <c r="AH166" s="154" t="n"/>
      <c r="AJ166" s="391" t="n"/>
    </row>
    <row r="167" customFormat="1" s="141">
      <c r="A167" s="42" t="n"/>
      <c r="B167" s="791" t="n"/>
      <c r="C167" s="789" t="n"/>
      <c r="D167" s="277" t="n"/>
      <c r="E167" s="789" t="n"/>
      <c r="F167" s="789" t="n"/>
      <c r="G167" s="790" t="n"/>
      <c r="H167" s="791" t="n"/>
      <c r="I167" s="791" t="n"/>
      <c r="J167" s="792" t="n"/>
      <c r="K167" s="792" t="n"/>
      <c r="L167" s="792" t="n"/>
      <c r="M167" s="793" t="n"/>
      <c r="O167" s="142" t="n"/>
      <c r="P167" s="142" t="n"/>
      <c r="Q167" s="791" t="n"/>
      <c r="R167" s="791" t="n"/>
      <c r="S167" s="791" t="n"/>
      <c r="T167" s="148" t="n"/>
      <c r="U167" s="148" t="n"/>
      <c r="V167" s="148" t="n"/>
      <c r="W167" s="148" t="n"/>
      <c r="X167" s="149" t="n"/>
      <c r="Y167" s="148" t="n"/>
      <c r="Z167" s="148" t="n"/>
      <c r="AA167" s="148" t="n"/>
      <c r="AB167" s="148" t="n"/>
      <c r="AC167" s="148" t="n"/>
      <c r="AD167" s="150" t="n"/>
      <c r="AE167" s="151" t="n"/>
      <c r="AF167" s="152" t="n"/>
      <c r="AG167" s="153" t="n"/>
      <c r="AH167" s="154" t="n"/>
      <c r="AJ167" s="391" t="n"/>
    </row>
    <row r="168" customFormat="1" s="141">
      <c r="A168" s="42" t="n"/>
      <c r="B168" s="791" t="n"/>
      <c r="C168" s="789" t="n"/>
      <c r="D168" s="277" t="n"/>
      <c r="E168" s="789" t="n"/>
      <c r="F168" s="789" t="n"/>
      <c r="G168" s="790" t="n"/>
      <c r="H168" s="791" t="n"/>
      <c r="I168" s="791" t="n"/>
      <c r="J168" s="792" t="n"/>
      <c r="K168" s="792" t="n"/>
      <c r="L168" s="792" t="n"/>
      <c r="M168" s="793" t="n"/>
      <c r="O168" s="142" t="n"/>
      <c r="P168" s="142" t="n"/>
      <c r="Q168" s="791" t="n"/>
      <c r="R168" s="791" t="n"/>
      <c r="S168" s="791" t="n"/>
      <c r="T168" s="148" t="n"/>
      <c r="U168" s="148" t="n"/>
      <c r="V168" s="148" t="n"/>
      <c r="W168" s="148" t="n"/>
      <c r="X168" s="149" t="n"/>
      <c r="Y168" s="148" t="n"/>
      <c r="Z168" s="148" t="n"/>
      <c r="AA168" s="148" t="n"/>
      <c r="AB168" s="148" t="n"/>
      <c r="AC168" s="148" t="n"/>
      <c r="AD168" s="150" t="n"/>
      <c r="AE168" s="151" t="n"/>
      <c r="AF168" s="152" t="n"/>
      <c r="AG168" s="153" t="n"/>
      <c r="AH168" s="154" t="n"/>
      <c r="AJ168" s="391" t="n"/>
    </row>
    <row r="169" customFormat="1" s="141">
      <c r="A169" s="42" t="n"/>
      <c r="B169" s="791" t="n"/>
      <c r="C169" s="789" t="n"/>
      <c r="D169" s="277" t="n"/>
      <c r="E169" s="789" t="n"/>
      <c r="F169" s="789" t="n"/>
      <c r="G169" s="790" t="n"/>
      <c r="H169" s="791" t="n"/>
      <c r="I169" s="791" t="n"/>
      <c r="J169" s="792" t="n"/>
      <c r="K169" s="792" t="n"/>
      <c r="L169" s="792" t="n"/>
      <c r="M169" s="793" t="n"/>
      <c r="O169" s="142" t="n"/>
      <c r="P169" s="142" t="n"/>
      <c r="Q169" s="791" t="n"/>
      <c r="R169" s="791" t="n"/>
      <c r="S169" s="791" t="n"/>
      <c r="T169" s="148" t="n"/>
      <c r="U169" s="148" t="n"/>
      <c r="V169" s="148" t="n"/>
      <c r="W169" s="148" t="n"/>
      <c r="X169" s="149" t="n"/>
      <c r="Y169" s="148" t="n"/>
      <c r="Z169" s="148" t="n"/>
      <c r="AA169" s="148" t="n"/>
      <c r="AB169" s="148" t="n"/>
      <c r="AC169" s="148" t="n"/>
      <c r="AD169" s="150" t="n"/>
      <c r="AE169" s="151" t="n"/>
      <c r="AF169" s="152" t="n"/>
      <c r="AG169" s="153" t="n"/>
      <c r="AH169" s="154" t="n"/>
      <c r="AJ169" s="391" t="n"/>
    </row>
    <row r="170" customFormat="1" s="141">
      <c r="A170" s="42" t="n"/>
      <c r="B170" s="791" t="n"/>
      <c r="C170" s="789" t="n"/>
      <c r="D170" s="277" t="n"/>
      <c r="E170" s="789" t="n"/>
      <c r="F170" s="789" t="n"/>
      <c r="G170" s="790" t="n"/>
      <c r="H170" s="791" t="n"/>
      <c r="I170" s="791" t="n"/>
      <c r="J170" s="792" t="n"/>
      <c r="K170" s="792" t="n"/>
      <c r="L170" s="792" t="n"/>
      <c r="M170" s="793" t="n"/>
      <c r="O170" s="142" t="n"/>
      <c r="P170" s="142" t="n"/>
      <c r="Q170" s="791" t="n"/>
      <c r="R170" s="791" t="n"/>
      <c r="S170" s="791" t="n"/>
      <c r="T170" s="148" t="n"/>
      <c r="U170" s="148" t="n"/>
      <c r="V170" s="148" t="n"/>
      <c r="W170" s="148" t="n"/>
      <c r="X170" s="149" t="n"/>
      <c r="Y170" s="148" t="n"/>
      <c r="Z170" s="148" t="n"/>
      <c r="AA170" s="148" t="n"/>
      <c r="AB170" s="148" t="n"/>
      <c r="AC170" s="148" t="n"/>
      <c r="AD170" s="150" t="n"/>
      <c r="AE170" s="151" t="n"/>
      <c r="AF170" s="152" t="n"/>
      <c r="AG170" s="153" t="n"/>
      <c r="AH170" s="154" t="n"/>
      <c r="AJ170" s="391" t="n"/>
    </row>
    <row r="171" customFormat="1" s="141">
      <c r="A171" s="42" t="n"/>
      <c r="B171" s="791" t="n"/>
      <c r="C171" s="789" t="n"/>
      <c r="D171" s="277" t="n"/>
      <c r="E171" s="789" t="n"/>
      <c r="F171" s="789" t="n"/>
      <c r="G171" s="790" t="n"/>
      <c r="H171" s="791" t="n"/>
      <c r="I171" s="791" t="n"/>
      <c r="J171" s="792" t="n"/>
      <c r="K171" s="792" t="n"/>
      <c r="L171" s="792" t="n"/>
      <c r="M171" s="793" t="n"/>
      <c r="O171" s="142" t="n"/>
      <c r="P171" s="142" t="n"/>
      <c r="Q171" s="791" t="n"/>
      <c r="R171" s="791" t="n"/>
      <c r="S171" s="791" t="n"/>
      <c r="T171" s="148" t="n"/>
      <c r="U171" s="148" t="n"/>
      <c r="V171" s="148" t="n"/>
      <c r="W171" s="148" t="n"/>
      <c r="X171" s="149" t="n"/>
      <c r="Y171" s="148" t="n"/>
      <c r="Z171" s="148" t="n"/>
      <c r="AA171" s="148" t="n"/>
      <c r="AB171" s="148" t="n"/>
      <c r="AC171" s="148" t="n"/>
      <c r="AD171" s="150" t="n"/>
      <c r="AE171" s="151" t="n"/>
      <c r="AF171" s="152" t="n"/>
      <c r="AG171" s="153" t="n"/>
      <c r="AH171" s="154" t="n"/>
      <c r="AJ171" s="391" t="n"/>
    </row>
    <row r="172" customFormat="1" s="141">
      <c r="A172" s="42" t="n"/>
      <c r="B172" s="791" t="n"/>
      <c r="C172" s="789" t="n"/>
      <c r="D172" s="277" t="n"/>
      <c r="E172" s="789" t="n"/>
      <c r="F172" s="789" t="n"/>
      <c r="G172" s="790" t="n"/>
      <c r="H172" s="791" t="n"/>
      <c r="I172" s="791" t="n"/>
      <c r="J172" s="792" t="n"/>
      <c r="K172" s="792" t="n"/>
      <c r="L172" s="792" t="n"/>
      <c r="M172" s="793" t="n"/>
      <c r="O172" s="142" t="n"/>
      <c r="P172" s="142" t="n"/>
      <c r="Q172" s="791" t="n"/>
      <c r="R172" s="791" t="n"/>
      <c r="S172" s="791" t="n"/>
      <c r="T172" s="148" t="n"/>
      <c r="U172" s="148" t="n"/>
      <c r="V172" s="148" t="n"/>
      <c r="W172" s="148" t="n"/>
      <c r="X172" s="149" t="n"/>
      <c r="Y172" s="148" t="n"/>
      <c r="Z172" s="148" t="n"/>
      <c r="AA172" s="148" t="n"/>
      <c r="AB172" s="148" t="n"/>
      <c r="AC172" s="148" t="n"/>
      <c r="AD172" s="150" t="n"/>
      <c r="AE172" s="151" t="n"/>
      <c r="AF172" s="152" t="n"/>
      <c r="AG172" s="153" t="n"/>
      <c r="AH172" s="154" t="n"/>
      <c r="AJ172" s="391" t="n"/>
    </row>
    <row r="173" customFormat="1" s="141">
      <c r="A173" s="42" t="n"/>
      <c r="B173" s="791" t="n"/>
      <c r="C173" s="789" t="n"/>
      <c r="D173" s="277" t="n"/>
      <c r="E173" s="789" t="n"/>
      <c r="F173" s="789" t="n"/>
      <c r="G173" s="790" t="n"/>
      <c r="H173" s="791" t="n"/>
      <c r="I173" s="791" t="n"/>
      <c r="J173" s="792" t="n"/>
      <c r="K173" s="792" t="n"/>
      <c r="L173" s="792" t="n"/>
      <c r="M173" s="793" t="n"/>
      <c r="O173" s="142" t="n"/>
      <c r="P173" s="142" t="n"/>
      <c r="Q173" s="791" t="n"/>
      <c r="R173" s="791" t="n"/>
      <c r="S173" s="791" t="n"/>
      <c r="T173" s="148" t="n"/>
      <c r="U173" s="148" t="n"/>
      <c r="V173" s="148" t="n"/>
      <c r="W173" s="148" t="n"/>
      <c r="X173" s="149" t="n"/>
      <c r="Y173" s="148" t="n"/>
      <c r="Z173" s="148" t="n"/>
      <c r="AA173" s="148" t="n"/>
      <c r="AB173" s="148" t="n"/>
      <c r="AC173" s="148" t="n"/>
      <c r="AD173" s="150" t="n"/>
      <c r="AE173" s="151" t="n"/>
      <c r="AF173" s="152" t="n"/>
      <c r="AG173" s="153" t="n"/>
      <c r="AH173" s="154" t="n"/>
      <c r="AJ173" s="391" t="n"/>
    </row>
    <row r="174" customFormat="1" s="141">
      <c r="A174" s="42" t="n"/>
      <c r="B174" s="791" t="n"/>
      <c r="C174" s="789" t="n"/>
      <c r="D174" s="277" t="n"/>
      <c r="E174" s="789" t="n"/>
      <c r="F174" s="789" t="n"/>
      <c r="G174" s="790" t="n"/>
      <c r="H174" s="791" t="n"/>
      <c r="I174" s="791" t="n"/>
      <c r="J174" s="792" t="n"/>
      <c r="K174" s="792" t="n"/>
      <c r="L174" s="792" t="n"/>
      <c r="M174" s="793" t="n"/>
      <c r="O174" s="142" t="n"/>
      <c r="P174" s="142" t="n"/>
      <c r="Q174" s="791" t="n"/>
      <c r="R174" s="791" t="n"/>
      <c r="S174" s="791" t="n"/>
      <c r="T174" s="148" t="n"/>
      <c r="U174" s="148" t="n"/>
      <c r="V174" s="148" t="n"/>
      <c r="W174" s="148" t="n"/>
      <c r="X174" s="149" t="n"/>
      <c r="Y174" s="148" t="n"/>
      <c r="Z174" s="148" t="n"/>
      <c r="AA174" s="148" t="n"/>
      <c r="AB174" s="148" t="n"/>
      <c r="AC174" s="148" t="n"/>
      <c r="AD174" s="150" t="n"/>
      <c r="AE174" s="151" t="n"/>
      <c r="AF174" s="152" t="n"/>
      <c r="AG174" s="153" t="n"/>
      <c r="AH174" s="154" t="n"/>
      <c r="AJ174" s="391" t="n"/>
    </row>
    <row r="175" customFormat="1" s="141">
      <c r="A175" s="42" t="n"/>
      <c r="B175" s="791" t="n"/>
      <c r="C175" s="789" t="n"/>
      <c r="D175" s="277" t="n"/>
      <c r="E175" s="789" t="n"/>
      <c r="F175" s="789" t="n"/>
      <c r="G175" s="790" t="n"/>
      <c r="H175" s="791" t="n"/>
      <c r="I175" s="791" t="n"/>
      <c r="J175" s="792" t="n"/>
      <c r="K175" s="792" t="n"/>
      <c r="L175" s="792" t="n"/>
      <c r="M175" s="793" t="n"/>
      <c r="O175" s="142" t="n"/>
      <c r="P175" s="142" t="n"/>
      <c r="Q175" s="791" t="n"/>
      <c r="R175" s="791" t="n"/>
      <c r="S175" s="791" t="n"/>
      <c r="T175" s="148" t="n"/>
      <c r="U175" s="148" t="n"/>
      <c r="V175" s="148" t="n"/>
      <c r="W175" s="148" t="n"/>
      <c r="X175" s="149" t="n"/>
      <c r="Y175" s="148" t="n"/>
      <c r="Z175" s="148" t="n"/>
      <c r="AA175" s="148" t="n"/>
      <c r="AB175" s="148" t="n"/>
      <c r="AC175" s="148" t="n"/>
      <c r="AD175" s="150" t="n"/>
      <c r="AE175" s="151" t="n"/>
      <c r="AF175" s="152" t="n"/>
      <c r="AG175" s="153" t="n"/>
      <c r="AH175" s="154" t="n"/>
      <c r="AJ175" s="391" t="n"/>
    </row>
    <row r="176" customFormat="1" s="141">
      <c r="A176" s="42" t="n"/>
      <c r="B176" s="791" t="n"/>
      <c r="C176" s="789" t="n"/>
      <c r="D176" s="277" t="n"/>
      <c r="E176" s="789" t="n"/>
      <c r="F176" s="789" t="n"/>
      <c r="G176" s="790" t="n"/>
      <c r="H176" s="791" t="n"/>
      <c r="I176" s="791" t="n"/>
      <c r="J176" s="792" t="n"/>
      <c r="K176" s="792" t="n"/>
      <c r="L176" s="792" t="n"/>
      <c r="M176" s="793" t="n"/>
      <c r="O176" s="142" t="n"/>
      <c r="P176" s="142" t="n"/>
      <c r="Q176" s="791" t="n"/>
      <c r="R176" s="791" t="n"/>
      <c r="S176" s="791" t="n"/>
      <c r="T176" s="148" t="n"/>
      <c r="U176" s="148" t="n"/>
      <c r="V176" s="148" t="n"/>
      <c r="W176" s="148" t="n"/>
      <c r="X176" s="149" t="n"/>
      <c r="Y176" s="148" t="n"/>
      <c r="Z176" s="148" t="n"/>
      <c r="AA176" s="148" t="n"/>
      <c r="AB176" s="148" t="n"/>
      <c r="AC176" s="148" t="n"/>
      <c r="AD176" s="150" t="n"/>
      <c r="AE176" s="151" t="n"/>
      <c r="AF176" s="152" t="n"/>
      <c r="AG176" s="153" t="n"/>
      <c r="AH176" s="154" t="n"/>
      <c r="AJ176" s="391" t="n"/>
    </row>
    <row r="177" customFormat="1" s="141">
      <c r="A177" s="42" t="n"/>
      <c r="B177" s="791" t="n"/>
      <c r="C177" s="789" t="n"/>
      <c r="D177" s="277" t="n"/>
      <c r="E177" s="789" t="n"/>
      <c r="F177" s="789" t="n"/>
      <c r="G177" s="790" t="n"/>
      <c r="H177" s="791" t="n"/>
      <c r="I177" s="791" t="n"/>
      <c r="J177" s="792" t="n"/>
      <c r="K177" s="792" t="n"/>
      <c r="L177" s="792" t="n"/>
      <c r="M177" s="793" t="n"/>
      <c r="O177" s="142" t="n"/>
      <c r="P177" s="142" t="n"/>
      <c r="Q177" s="791" t="n"/>
      <c r="R177" s="791" t="n"/>
      <c r="S177" s="791" t="n"/>
      <c r="T177" s="148" t="n"/>
      <c r="U177" s="148" t="n"/>
      <c r="V177" s="148" t="n"/>
      <c r="W177" s="148" t="n"/>
      <c r="X177" s="149" t="n"/>
      <c r="Y177" s="148" t="n"/>
      <c r="Z177" s="148" t="n"/>
      <c r="AA177" s="148" t="n"/>
      <c r="AB177" s="148" t="n"/>
      <c r="AC177" s="148" t="n"/>
      <c r="AD177" s="150" t="n"/>
      <c r="AE177" s="151" t="n"/>
      <c r="AF177" s="152" t="n"/>
      <c r="AG177" s="153" t="n"/>
      <c r="AH177" s="154" t="n"/>
      <c r="AJ177" s="391" t="n"/>
    </row>
    <row r="178" customFormat="1" s="141">
      <c r="A178" s="42" t="n"/>
      <c r="B178" s="791" t="n"/>
      <c r="C178" s="789" t="n"/>
      <c r="D178" s="277" t="n"/>
      <c r="E178" s="789" t="n"/>
      <c r="F178" s="789" t="n"/>
      <c r="G178" s="790" t="n"/>
      <c r="H178" s="791" t="n"/>
      <c r="I178" s="791" t="n"/>
      <c r="J178" s="792" t="n"/>
      <c r="K178" s="792" t="n"/>
      <c r="L178" s="792" t="n"/>
      <c r="M178" s="793" t="n"/>
      <c r="O178" s="142" t="n"/>
      <c r="P178" s="142" t="n"/>
      <c r="Q178" s="791" t="n"/>
      <c r="R178" s="791" t="n"/>
      <c r="S178" s="791" t="n"/>
      <c r="T178" s="148" t="n"/>
      <c r="U178" s="148" t="n"/>
      <c r="V178" s="148" t="n"/>
      <c r="W178" s="148" t="n"/>
      <c r="X178" s="149" t="n"/>
      <c r="Y178" s="148" t="n"/>
      <c r="Z178" s="148" t="n"/>
      <c r="AA178" s="148" t="n"/>
      <c r="AB178" s="148" t="n"/>
      <c r="AC178" s="148" t="n"/>
      <c r="AD178" s="150" t="n"/>
      <c r="AE178" s="151" t="n"/>
      <c r="AF178" s="152" t="n"/>
      <c r="AG178" s="153" t="n"/>
      <c r="AH178" s="154" t="n"/>
      <c r="AJ178" s="391" t="n"/>
    </row>
    <row r="179" customFormat="1" s="141">
      <c r="A179" s="42" t="n"/>
      <c r="B179" s="791" t="n"/>
      <c r="C179" s="789" t="n"/>
      <c r="D179" s="277" t="n"/>
      <c r="E179" s="789" t="n"/>
      <c r="F179" s="789" t="n"/>
      <c r="G179" s="790" t="n"/>
      <c r="H179" s="791" t="n"/>
      <c r="I179" s="791" t="n"/>
      <c r="J179" s="792" t="n"/>
      <c r="K179" s="792" t="n"/>
      <c r="L179" s="792" t="n"/>
      <c r="M179" s="793" t="n"/>
      <c r="O179" s="142" t="n"/>
      <c r="P179" s="142" t="n"/>
      <c r="Q179" s="791" t="n"/>
      <c r="R179" s="791" t="n"/>
      <c r="S179" s="791" t="n"/>
      <c r="T179" s="148" t="n"/>
      <c r="U179" s="148" t="n"/>
      <c r="V179" s="148" t="n"/>
      <c r="W179" s="148" t="n"/>
      <c r="X179" s="149" t="n"/>
      <c r="Y179" s="148" t="n"/>
      <c r="Z179" s="148" t="n"/>
      <c r="AA179" s="148" t="n"/>
      <c r="AB179" s="148" t="n"/>
      <c r="AC179" s="148" t="n"/>
      <c r="AD179" s="150" t="n"/>
      <c r="AE179" s="151" t="n"/>
      <c r="AF179" s="152" t="n"/>
      <c r="AG179" s="153" t="n"/>
      <c r="AH179" s="154" t="n"/>
      <c r="AJ179" s="391" t="n"/>
    </row>
    <row r="180" customFormat="1" s="141">
      <c r="A180" s="42" t="n"/>
      <c r="B180" s="791" t="n"/>
      <c r="C180" s="789" t="n"/>
      <c r="D180" s="277" t="n"/>
      <c r="E180" s="789" t="n"/>
      <c r="F180" s="789" t="n"/>
      <c r="G180" s="790" t="n"/>
      <c r="H180" s="791" t="n"/>
      <c r="I180" s="791" t="n"/>
      <c r="J180" s="792" t="n"/>
      <c r="K180" s="792" t="n"/>
      <c r="L180" s="792" t="n"/>
      <c r="M180" s="793" t="n"/>
      <c r="O180" s="142" t="n"/>
      <c r="P180" s="142" t="n"/>
      <c r="Q180" s="791" t="n"/>
      <c r="R180" s="791" t="n"/>
      <c r="S180" s="791" t="n"/>
      <c r="T180" s="148" t="n"/>
      <c r="U180" s="148" t="n"/>
      <c r="V180" s="148" t="n"/>
      <c r="W180" s="148" t="n"/>
      <c r="X180" s="149" t="n"/>
      <c r="Y180" s="148" t="n"/>
      <c r="Z180" s="148" t="n"/>
      <c r="AA180" s="148" t="n"/>
      <c r="AB180" s="148" t="n"/>
      <c r="AC180" s="148" t="n"/>
      <c r="AD180" s="150" t="n"/>
      <c r="AE180" s="151" t="n"/>
      <c r="AF180" s="152" t="n"/>
      <c r="AG180" s="153" t="n"/>
      <c r="AH180" s="154" t="n"/>
      <c r="AJ180" s="391" t="n"/>
    </row>
    <row r="181" customFormat="1" s="141">
      <c r="A181" s="42" t="n"/>
      <c r="B181" s="791" t="n"/>
      <c r="C181" s="789" t="n"/>
      <c r="D181" s="277" t="n"/>
      <c r="E181" s="789" t="n"/>
      <c r="F181" s="789" t="n"/>
      <c r="G181" s="790" t="n"/>
      <c r="H181" s="791" t="n"/>
      <c r="I181" s="791" t="n"/>
      <c r="J181" s="792" t="n"/>
      <c r="K181" s="792" t="n"/>
      <c r="L181" s="792" t="n"/>
      <c r="M181" s="793" t="n"/>
      <c r="O181" s="142" t="n"/>
      <c r="P181" s="142" t="n"/>
      <c r="Q181" s="791" t="n"/>
      <c r="R181" s="791" t="n"/>
      <c r="S181" s="791" t="n"/>
      <c r="T181" s="148" t="n"/>
      <c r="U181" s="148" t="n"/>
      <c r="V181" s="148" t="n"/>
      <c r="W181" s="148" t="n"/>
      <c r="X181" s="149" t="n"/>
      <c r="Y181" s="148" t="n"/>
      <c r="Z181" s="148" t="n"/>
      <c r="AA181" s="148" t="n"/>
      <c r="AB181" s="148" t="n"/>
      <c r="AC181" s="148" t="n"/>
      <c r="AD181" s="150" t="n"/>
      <c r="AE181" s="151" t="n"/>
      <c r="AF181" s="152" t="n"/>
      <c r="AG181" s="153" t="n"/>
      <c r="AH181" s="154" t="n"/>
      <c r="AJ181" s="391" t="n"/>
    </row>
    <row r="182" customFormat="1" s="141">
      <c r="A182" s="42" t="n"/>
      <c r="B182" s="791" t="n"/>
      <c r="C182" s="789" t="n"/>
      <c r="D182" s="277" t="n"/>
      <c r="E182" s="789" t="n"/>
      <c r="F182" s="789" t="n"/>
      <c r="G182" s="790" t="n"/>
      <c r="H182" s="791" t="n"/>
      <c r="I182" s="791" t="n"/>
      <c r="J182" s="792" t="n"/>
      <c r="K182" s="792" t="n"/>
      <c r="L182" s="792" t="n"/>
      <c r="M182" s="793" t="n"/>
      <c r="O182" s="142" t="n"/>
      <c r="P182" s="142" t="n"/>
      <c r="Q182" s="791" t="n"/>
      <c r="R182" s="791" t="n"/>
      <c r="S182" s="791" t="n"/>
      <c r="T182" s="148" t="n"/>
      <c r="U182" s="148" t="n"/>
      <c r="V182" s="148" t="n"/>
      <c r="W182" s="148" t="n"/>
      <c r="X182" s="149" t="n"/>
      <c r="Y182" s="148" t="n"/>
      <c r="Z182" s="148" t="n"/>
      <c r="AA182" s="148" t="n"/>
      <c r="AB182" s="148" t="n"/>
      <c r="AC182" s="148" t="n"/>
      <c r="AD182" s="150" t="n"/>
      <c r="AE182" s="151" t="n"/>
      <c r="AF182" s="152" t="n"/>
      <c r="AG182" s="153" t="n"/>
      <c r="AH182" s="154" t="n"/>
      <c r="AJ182" s="391" t="n"/>
    </row>
    <row r="183" customFormat="1" s="141">
      <c r="A183" s="42" t="n"/>
      <c r="B183" s="791" t="n"/>
      <c r="C183" s="789" t="n"/>
      <c r="D183" s="277" t="n"/>
      <c r="E183" s="789" t="n"/>
      <c r="F183" s="789" t="n"/>
      <c r="G183" s="790" t="n"/>
      <c r="H183" s="791" t="n"/>
      <c r="I183" s="791" t="n"/>
      <c r="J183" s="792" t="n"/>
      <c r="K183" s="792" t="n"/>
      <c r="L183" s="792" t="n"/>
      <c r="M183" s="793" t="n"/>
      <c r="O183" s="142" t="n"/>
      <c r="P183" s="142" t="n"/>
      <c r="Q183" s="791" t="n"/>
      <c r="R183" s="791" t="n"/>
      <c r="S183" s="791" t="n"/>
      <c r="T183" s="148" t="n"/>
      <c r="U183" s="148" t="n"/>
      <c r="V183" s="148" t="n"/>
      <c r="W183" s="148" t="n"/>
      <c r="X183" s="149" t="n"/>
      <c r="Y183" s="148" t="n"/>
      <c r="Z183" s="148" t="n"/>
      <c r="AA183" s="148" t="n"/>
      <c r="AB183" s="148" t="n"/>
      <c r="AC183" s="148" t="n"/>
      <c r="AD183" s="150" t="n"/>
      <c r="AE183" s="151" t="n"/>
      <c r="AF183" s="152" t="n"/>
      <c r="AG183" s="153" t="n"/>
      <c r="AH183" s="154" t="n"/>
      <c r="AJ183" s="391" t="n"/>
    </row>
    <row r="184" customFormat="1" s="141">
      <c r="A184" s="42" t="n"/>
      <c r="B184" s="791" t="n"/>
      <c r="C184" s="789" t="n"/>
      <c r="D184" s="277" t="n"/>
      <c r="E184" s="789" t="n"/>
      <c r="F184" s="789" t="n"/>
      <c r="G184" s="790" t="n"/>
      <c r="H184" s="791" t="n"/>
      <c r="I184" s="791" t="n"/>
      <c r="J184" s="792" t="n"/>
      <c r="K184" s="792" t="n"/>
      <c r="L184" s="792" t="n"/>
      <c r="M184" s="793" t="n"/>
      <c r="O184" s="142" t="n"/>
      <c r="P184" s="142" t="n"/>
      <c r="Q184" s="791" t="n"/>
      <c r="R184" s="791" t="n"/>
      <c r="S184" s="791" t="n"/>
      <c r="T184" s="148" t="n"/>
      <c r="U184" s="148" t="n"/>
      <c r="V184" s="148" t="n"/>
      <c r="W184" s="148" t="n"/>
      <c r="X184" s="149" t="n"/>
      <c r="Y184" s="148" t="n"/>
      <c r="Z184" s="148" t="n"/>
      <c r="AA184" s="148" t="n"/>
      <c r="AB184" s="148" t="n"/>
      <c r="AC184" s="148" t="n"/>
      <c r="AD184" s="150" t="n"/>
      <c r="AE184" s="151" t="n"/>
      <c r="AF184" s="152" t="n"/>
      <c r="AG184" s="153" t="n"/>
      <c r="AH184" s="154" t="n"/>
      <c r="AJ184" s="391" t="n"/>
    </row>
    <row r="185" customFormat="1" s="141">
      <c r="A185" s="42" t="n"/>
      <c r="B185" s="791" t="n"/>
      <c r="C185" s="789" t="n"/>
      <c r="D185" s="277" t="n"/>
      <c r="E185" s="789" t="n"/>
      <c r="F185" s="789" t="n"/>
      <c r="G185" s="790" t="n"/>
      <c r="H185" s="791" t="n"/>
      <c r="I185" s="791" t="n"/>
      <c r="J185" s="792" t="n"/>
      <c r="K185" s="792" t="n"/>
      <c r="L185" s="792" t="n"/>
      <c r="M185" s="793" t="n"/>
      <c r="O185" s="142" t="n"/>
      <c r="P185" s="142" t="n"/>
      <c r="Q185" s="791" t="n"/>
      <c r="R185" s="791" t="n"/>
      <c r="S185" s="791" t="n"/>
      <c r="T185" s="148" t="n"/>
      <c r="U185" s="148" t="n"/>
      <c r="V185" s="148" t="n"/>
      <c r="W185" s="148" t="n"/>
      <c r="X185" s="149" t="n"/>
      <c r="Y185" s="148" t="n"/>
      <c r="Z185" s="148" t="n"/>
      <c r="AA185" s="148" t="n"/>
      <c r="AB185" s="148" t="n"/>
      <c r="AC185" s="148" t="n"/>
      <c r="AD185" s="150" t="n"/>
      <c r="AE185" s="151" t="n"/>
      <c r="AF185" s="152" t="n"/>
      <c r="AG185" s="153" t="n"/>
      <c r="AH185" s="154" t="n"/>
      <c r="AJ185" s="391" t="n"/>
    </row>
    <row r="186" customFormat="1" s="141">
      <c r="A186" s="42" t="n"/>
      <c r="B186" s="791" t="n"/>
      <c r="C186" s="789" t="n"/>
      <c r="D186" s="277" t="n"/>
      <c r="E186" s="789" t="n"/>
      <c r="F186" s="789" t="n"/>
      <c r="G186" s="790" t="n"/>
      <c r="H186" s="791" t="n"/>
      <c r="I186" s="791" t="n"/>
      <c r="J186" s="792" t="n"/>
      <c r="K186" s="792" t="n"/>
      <c r="L186" s="792" t="n"/>
      <c r="M186" s="793" t="n"/>
      <c r="O186" s="142" t="n"/>
      <c r="P186" s="142" t="n"/>
      <c r="Q186" s="791" t="n"/>
      <c r="R186" s="791" t="n"/>
      <c r="S186" s="791" t="n"/>
      <c r="T186" s="148" t="n"/>
      <c r="U186" s="148" t="n"/>
      <c r="V186" s="148" t="n"/>
      <c r="W186" s="148" t="n"/>
      <c r="X186" s="149" t="n"/>
      <c r="Y186" s="148" t="n"/>
      <c r="Z186" s="148" t="n"/>
      <c r="AA186" s="148" t="n"/>
      <c r="AB186" s="148" t="n"/>
      <c r="AC186" s="148" t="n"/>
      <c r="AD186" s="150" t="n"/>
      <c r="AE186" s="151" t="n"/>
      <c r="AF186" s="152" t="n"/>
      <c r="AG186" s="153" t="n"/>
      <c r="AH186" s="154" t="n"/>
      <c r="AJ186" s="391" t="n"/>
    </row>
    <row r="187" customFormat="1" s="141">
      <c r="A187" s="42" t="n"/>
      <c r="B187" s="791" t="n"/>
      <c r="C187" s="789" t="n"/>
      <c r="D187" s="277" t="n"/>
      <c r="E187" s="789" t="n"/>
      <c r="F187" s="789" t="n"/>
      <c r="G187" s="790" t="n"/>
      <c r="H187" s="791" t="n"/>
      <c r="I187" s="791" t="n"/>
      <c r="J187" s="792" t="n"/>
      <c r="K187" s="792" t="n"/>
      <c r="L187" s="792" t="n"/>
      <c r="M187" s="793" t="n"/>
      <c r="O187" s="142" t="n"/>
      <c r="P187" s="142" t="n"/>
      <c r="Q187" s="791" t="n"/>
      <c r="R187" s="791" t="n"/>
      <c r="S187" s="791" t="n"/>
      <c r="T187" s="148" t="n"/>
      <c r="U187" s="148" t="n"/>
      <c r="V187" s="148" t="n"/>
      <c r="W187" s="148" t="n"/>
      <c r="X187" s="149" t="n"/>
      <c r="Y187" s="148" t="n"/>
      <c r="Z187" s="148" t="n"/>
      <c r="AA187" s="148" t="n"/>
      <c r="AB187" s="148" t="n"/>
      <c r="AC187" s="148" t="n"/>
      <c r="AD187" s="150" t="n"/>
      <c r="AE187" s="151" t="n"/>
      <c r="AF187" s="152" t="n"/>
      <c r="AG187" s="153" t="n"/>
      <c r="AH187" s="154" t="n"/>
      <c r="AJ187" s="391" t="n"/>
    </row>
    <row r="188" customFormat="1" s="141">
      <c r="A188" s="42" t="n"/>
      <c r="B188" s="791" t="n"/>
      <c r="C188" s="789" t="n"/>
      <c r="D188" s="277" t="n"/>
      <c r="E188" s="789" t="n"/>
      <c r="F188" s="789" t="n"/>
      <c r="G188" s="790" t="n"/>
      <c r="H188" s="791" t="n"/>
      <c r="I188" s="791" t="n"/>
      <c r="J188" s="792" t="n"/>
      <c r="K188" s="792" t="n"/>
      <c r="L188" s="792" t="n"/>
      <c r="M188" s="793" t="n"/>
      <c r="O188" s="142" t="n"/>
      <c r="P188" s="142" t="n"/>
      <c r="Q188" s="791" t="n"/>
      <c r="R188" s="791" t="n"/>
      <c r="S188" s="791" t="n"/>
      <c r="T188" s="148" t="n"/>
      <c r="U188" s="148" t="n"/>
      <c r="V188" s="148" t="n"/>
      <c r="W188" s="148" t="n"/>
      <c r="X188" s="149" t="n"/>
      <c r="Y188" s="148" t="n"/>
      <c r="Z188" s="148" t="n"/>
      <c r="AA188" s="148" t="n"/>
      <c r="AB188" s="148" t="n"/>
      <c r="AC188" s="148" t="n"/>
      <c r="AD188" s="150" t="n"/>
      <c r="AE188" s="151" t="n"/>
      <c r="AF188" s="152" t="n"/>
      <c r="AG188" s="153" t="n"/>
      <c r="AH188" s="154" t="n"/>
      <c r="AJ188" s="391" t="n"/>
    </row>
    <row r="189" customFormat="1" s="141">
      <c r="A189" s="42" t="n"/>
      <c r="B189" s="791" t="n"/>
      <c r="C189" s="789" t="n"/>
      <c r="D189" s="277" t="n"/>
      <c r="E189" s="789" t="n"/>
      <c r="F189" s="789" t="n"/>
      <c r="G189" s="790" t="n"/>
      <c r="H189" s="791" t="n"/>
      <c r="I189" s="791" t="n"/>
      <c r="J189" s="792" t="n"/>
      <c r="K189" s="792" t="n"/>
      <c r="L189" s="792" t="n"/>
      <c r="M189" s="793" t="n"/>
      <c r="O189" s="142" t="n"/>
      <c r="P189" s="142" t="n"/>
      <c r="Q189" s="791" t="n"/>
      <c r="R189" s="791" t="n"/>
      <c r="S189" s="791" t="n"/>
      <c r="T189" s="148" t="n"/>
      <c r="U189" s="148" t="n"/>
      <c r="V189" s="148" t="n"/>
      <c r="W189" s="148" t="n"/>
      <c r="X189" s="149" t="n"/>
      <c r="Y189" s="148" t="n"/>
      <c r="Z189" s="148" t="n"/>
      <c r="AA189" s="148" t="n"/>
      <c r="AB189" s="148" t="n"/>
      <c r="AC189" s="148" t="n"/>
      <c r="AD189" s="150" t="n"/>
      <c r="AE189" s="151" t="n"/>
      <c r="AF189" s="152" t="n"/>
      <c r="AG189" s="153" t="n"/>
      <c r="AH189" s="154" t="n"/>
      <c r="AJ189" s="391" t="n"/>
    </row>
    <row r="190" customFormat="1" s="141">
      <c r="A190" s="42" t="n"/>
      <c r="B190" s="791" t="n"/>
      <c r="C190" s="789" t="n"/>
      <c r="D190" s="277" t="n"/>
      <c r="E190" s="789" t="n"/>
      <c r="F190" s="789" t="n"/>
      <c r="G190" s="790" t="n"/>
      <c r="H190" s="791" t="n"/>
      <c r="I190" s="791" t="n"/>
      <c r="J190" s="792" t="n"/>
      <c r="K190" s="792" t="n"/>
      <c r="L190" s="792" t="n"/>
      <c r="M190" s="793" t="n"/>
      <c r="O190" s="142" t="n"/>
      <c r="P190" s="142" t="n"/>
      <c r="Q190" s="791" t="n"/>
      <c r="R190" s="791" t="n"/>
      <c r="S190" s="791" t="n"/>
      <c r="T190" s="148" t="n"/>
      <c r="U190" s="148" t="n"/>
      <c r="V190" s="148" t="n"/>
      <c r="W190" s="148" t="n"/>
      <c r="X190" s="149" t="n"/>
      <c r="Y190" s="148" t="n"/>
      <c r="Z190" s="148" t="n"/>
      <c r="AA190" s="148" t="n"/>
      <c r="AB190" s="148" t="n"/>
      <c r="AC190" s="148" t="n"/>
      <c r="AD190" s="150" t="n"/>
      <c r="AE190" s="151" t="n"/>
      <c r="AF190" s="152" t="n"/>
      <c r="AG190" s="153" t="n"/>
      <c r="AH190" s="154" t="n"/>
      <c r="AJ190" s="391" t="n"/>
    </row>
    <row r="191" customFormat="1" s="141">
      <c r="A191" s="42" t="n"/>
      <c r="B191" s="791" t="n"/>
      <c r="C191" s="789" t="n"/>
      <c r="D191" s="277" t="n"/>
      <c r="E191" s="789" t="n"/>
      <c r="F191" s="789" t="n"/>
      <c r="G191" s="790" t="n"/>
      <c r="H191" s="791" t="n"/>
      <c r="I191" s="791" t="n"/>
      <c r="J191" s="792" t="n"/>
      <c r="K191" s="792" t="n"/>
      <c r="L191" s="792" t="n"/>
      <c r="M191" s="793" t="n"/>
      <c r="O191" s="142" t="n"/>
      <c r="P191" s="142" t="n"/>
      <c r="Q191" s="791" t="n"/>
      <c r="R191" s="791" t="n"/>
      <c r="S191" s="791" t="n"/>
      <c r="T191" s="148" t="n"/>
      <c r="U191" s="148" t="n"/>
      <c r="V191" s="148" t="n"/>
      <c r="W191" s="148" t="n"/>
      <c r="X191" s="149" t="n"/>
      <c r="Y191" s="148" t="n"/>
      <c r="Z191" s="148" t="n"/>
      <c r="AA191" s="148" t="n"/>
      <c r="AB191" s="148" t="n"/>
      <c r="AC191" s="148" t="n"/>
      <c r="AD191" s="150" t="n"/>
      <c r="AE191" s="151" t="n"/>
      <c r="AF191" s="152" t="n"/>
      <c r="AG191" s="153" t="n"/>
      <c r="AH191" s="154" t="n"/>
      <c r="AJ191" s="391" t="n"/>
    </row>
    <row r="192" customFormat="1" s="141">
      <c r="A192" s="42" t="n"/>
      <c r="B192" s="791" t="n"/>
      <c r="C192" s="789" t="n"/>
      <c r="D192" s="277" t="n"/>
      <c r="E192" s="789" t="n"/>
      <c r="F192" s="789" t="n"/>
      <c r="G192" s="790" t="n"/>
      <c r="H192" s="791" t="n"/>
      <c r="I192" s="791" t="n"/>
      <c r="J192" s="792" t="n"/>
      <c r="K192" s="792" t="n"/>
      <c r="L192" s="792" t="n"/>
      <c r="M192" s="793" t="n"/>
      <c r="O192" s="142" t="n"/>
      <c r="P192" s="142" t="n"/>
      <c r="Q192" s="791" t="n"/>
      <c r="R192" s="791" t="n"/>
      <c r="S192" s="791" t="n"/>
      <c r="T192" s="148" t="n"/>
      <c r="U192" s="148" t="n"/>
      <c r="V192" s="148" t="n"/>
      <c r="W192" s="148" t="n"/>
      <c r="X192" s="149" t="n"/>
      <c r="Y192" s="148" t="n"/>
      <c r="Z192" s="148" t="n"/>
      <c r="AA192" s="148" t="n"/>
      <c r="AB192" s="148" t="n"/>
      <c r="AC192" s="148" t="n"/>
      <c r="AD192" s="150" t="n"/>
      <c r="AE192" s="151" t="n"/>
      <c r="AF192" s="152" t="n"/>
      <c r="AG192" s="153" t="n"/>
      <c r="AH192" s="154" t="n"/>
      <c r="AJ192" s="391" t="n"/>
    </row>
    <row r="193" customFormat="1" s="141">
      <c r="A193" s="42" t="n"/>
      <c r="B193" s="791" t="n"/>
      <c r="C193" s="789" t="n"/>
      <c r="D193" s="277" t="n"/>
      <c r="E193" s="789" t="n"/>
      <c r="F193" s="789" t="n"/>
      <c r="G193" s="790" t="n"/>
      <c r="H193" s="791" t="n"/>
      <c r="I193" s="791" t="n"/>
      <c r="J193" s="792" t="n"/>
      <c r="K193" s="792" t="n"/>
      <c r="L193" s="792" t="n"/>
      <c r="M193" s="793" t="n"/>
      <c r="O193" s="142" t="n"/>
      <c r="P193" s="142" t="n"/>
      <c r="Q193" s="791" t="n"/>
      <c r="R193" s="791" t="n"/>
      <c r="S193" s="791" t="n"/>
      <c r="T193" s="148" t="n"/>
      <c r="U193" s="148" t="n"/>
      <c r="V193" s="148" t="n"/>
      <c r="W193" s="148" t="n"/>
      <c r="X193" s="149" t="n"/>
      <c r="Y193" s="148" t="n"/>
      <c r="Z193" s="148" t="n"/>
      <c r="AA193" s="148" t="n"/>
      <c r="AB193" s="148" t="n"/>
      <c r="AC193" s="148" t="n"/>
      <c r="AD193" s="150" t="n"/>
      <c r="AE193" s="151" t="n"/>
      <c r="AF193" s="152" t="n"/>
      <c r="AG193" s="153" t="n"/>
      <c r="AH193" s="154" t="n"/>
      <c r="AJ193" s="391" t="n"/>
    </row>
    <row r="194" customFormat="1" s="141">
      <c r="A194" s="42" t="n"/>
      <c r="B194" s="791" t="n"/>
      <c r="C194" s="789" t="n"/>
      <c r="D194" s="277" t="n"/>
      <c r="E194" s="789" t="n"/>
      <c r="F194" s="789" t="n"/>
      <c r="G194" s="790" t="n"/>
      <c r="H194" s="791" t="n"/>
      <c r="I194" s="791" t="n"/>
      <c r="J194" s="792" t="n"/>
      <c r="K194" s="792" t="n"/>
      <c r="L194" s="792" t="n"/>
      <c r="M194" s="793" t="n"/>
      <c r="O194" s="142" t="n"/>
      <c r="P194" s="142" t="n"/>
      <c r="Q194" s="791" t="n"/>
      <c r="R194" s="791" t="n"/>
      <c r="S194" s="791" t="n"/>
      <c r="T194" s="148" t="n"/>
      <c r="U194" s="148" t="n"/>
      <c r="V194" s="148" t="n"/>
      <c r="W194" s="148" t="n"/>
      <c r="X194" s="149" t="n"/>
      <c r="Y194" s="148" t="n"/>
      <c r="Z194" s="148" t="n"/>
      <c r="AA194" s="148" t="n"/>
      <c r="AB194" s="148" t="n"/>
      <c r="AC194" s="148" t="n"/>
      <c r="AD194" s="150" t="n"/>
      <c r="AE194" s="151" t="n"/>
      <c r="AF194" s="152" t="n"/>
      <c r="AG194" s="153" t="n"/>
      <c r="AH194" s="154" t="n"/>
      <c r="AJ194" s="391" t="n"/>
    </row>
    <row r="195" customFormat="1" s="141">
      <c r="A195" s="42" t="n"/>
      <c r="B195" s="791" t="n"/>
      <c r="C195" s="789" t="n"/>
      <c r="D195" s="277" t="n"/>
      <c r="E195" s="789" t="n"/>
      <c r="F195" s="789" t="n"/>
      <c r="G195" s="790" t="n"/>
      <c r="H195" s="791" t="n"/>
      <c r="I195" s="791" t="n"/>
      <c r="J195" s="792" t="n"/>
      <c r="K195" s="792" t="n"/>
      <c r="L195" s="792" t="n"/>
      <c r="M195" s="793" t="n"/>
      <c r="O195" s="142" t="n"/>
      <c r="P195" s="142" t="n"/>
      <c r="Q195" s="791" t="n"/>
      <c r="R195" s="791" t="n"/>
      <c r="S195" s="791" t="n"/>
      <c r="T195" s="148" t="n"/>
      <c r="U195" s="148" t="n"/>
      <c r="V195" s="148" t="n"/>
      <c r="W195" s="148" t="n"/>
      <c r="X195" s="149" t="n"/>
      <c r="Y195" s="148" t="n"/>
      <c r="Z195" s="148" t="n"/>
      <c r="AA195" s="148" t="n"/>
      <c r="AB195" s="148" t="n"/>
      <c r="AC195" s="148" t="n"/>
      <c r="AD195" s="150" t="n"/>
      <c r="AE195" s="151" t="n"/>
      <c r="AF195" s="152" t="n"/>
      <c r="AG195" s="153" t="n"/>
      <c r="AH195" s="154" t="n"/>
      <c r="AJ195" s="391" t="n"/>
    </row>
    <row r="196" customFormat="1" s="141">
      <c r="A196" s="42" t="n"/>
      <c r="B196" s="791" t="n"/>
      <c r="C196" s="789" t="n"/>
      <c r="D196" s="277" t="n"/>
      <c r="E196" s="789" t="n"/>
      <c r="F196" s="789" t="n"/>
      <c r="G196" s="790" t="n"/>
      <c r="H196" s="791" t="n"/>
      <c r="I196" s="791" t="n"/>
      <c r="J196" s="792" t="n"/>
      <c r="K196" s="792" t="n"/>
      <c r="L196" s="792" t="n"/>
      <c r="M196" s="793" t="n"/>
      <c r="O196" s="142" t="n"/>
      <c r="P196" s="142" t="n"/>
      <c r="Q196" s="791" t="n"/>
      <c r="R196" s="791" t="n"/>
      <c r="S196" s="791" t="n"/>
      <c r="T196" s="148" t="n"/>
      <c r="U196" s="148" t="n"/>
      <c r="V196" s="148" t="n"/>
      <c r="W196" s="148" t="n"/>
      <c r="X196" s="149" t="n"/>
      <c r="Y196" s="148" t="n"/>
      <c r="Z196" s="148" t="n"/>
      <c r="AA196" s="148" t="n"/>
      <c r="AB196" s="148" t="n"/>
      <c r="AC196" s="148" t="n"/>
      <c r="AD196" s="150" t="n"/>
      <c r="AE196" s="151" t="n"/>
      <c r="AF196" s="152" t="n"/>
      <c r="AG196" s="153" t="n"/>
      <c r="AH196" s="154" t="n"/>
      <c r="AJ196" s="391" t="n"/>
    </row>
    <row r="197" customFormat="1" s="141">
      <c r="A197" s="42" t="n"/>
      <c r="B197" s="791" t="n"/>
      <c r="C197" s="789" t="n"/>
      <c r="D197" s="277" t="n"/>
      <c r="E197" s="789" t="n"/>
      <c r="F197" s="789" t="n"/>
      <c r="G197" s="790" t="n"/>
      <c r="H197" s="791" t="n"/>
      <c r="I197" s="791" t="n"/>
      <c r="J197" s="792" t="n"/>
      <c r="K197" s="792" t="n"/>
      <c r="L197" s="792" t="n"/>
      <c r="M197" s="793" t="n"/>
      <c r="O197" s="142" t="n"/>
      <c r="P197" s="142" t="n"/>
      <c r="Q197" s="791" t="n"/>
      <c r="R197" s="791" t="n"/>
      <c r="S197" s="791" t="n"/>
      <c r="T197" s="148" t="n"/>
      <c r="U197" s="148" t="n"/>
      <c r="V197" s="148" t="n"/>
      <c r="W197" s="148" t="n"/>
      <c r="X197" s="149" t="n"/>
      <c r="Y197" s="148" t="n"/>
      <c r="Z197" s="148" t="n"/>
      <c r="AA197" s="148" t="n"/>
      <c r="AB197" s="148" t="n"/>
      <c r="AC197" s="148" t="n"/>
      <c r="AD197" s="150" t="n"/>
      <c r="AE197" s="151" t="n"/>
      <c r="AF197" s="152" t="n"/>
      <c r="AG197" s="153" t="n"/>
      <c r="AH197" s="154" t="n"/>
      <c r="AJ197" s="391" t="n"/>
    </row>
    <row r="198" customFormat="1" s="141">
      <c r="A198" s="42" t="n"/>
      <c r="B198" s="791" t="n"/>
      <c r="C198" s="789" t="n"/>
      <c r="D198" s="277" t="n"/>
      <c r="E198" s="789" t="n"/>
      <c r="F198" s="789" t="n"/>
      <c r="G198" s="790" t="n"/>
      <c r="H198" s="791" t="n"/>
      <c r="I198" s="791" t="n"/>
      <c r="J198" s="792" t="n"/>
      <c r="K198" s="792" t="n"/>
      <c r="L198" s="792" t="n"/>
      <c r="M198" s="793" t="n"/>
      <c r="O198" s="142" t="n"/>
      <c r="P198" s="142" t="n"/>
      <c r="Q198" s="791" t="n"/>
      <c r="R198" s="791" t="n"/>
      <c r="S198" s="791" t="n"/>
      <c r="T198" s="148" t="n"/>
      <c r="U198" s="148" t="n"/>
      <c r="V198" s="148" t="n"/>
      <c r="W198" s="148" t="n"/>
      <c r="X198" s="149" t="n"/>
      <c r="Y198" s="148" t="n"/>
      <c r="Z198" s="148" t="n"/>
      <c r="AA198" s="148" t="n"/>
      <c r="AB198" s="148" t="n"/>
      <c r="AC198" s="148" t="n"/>
      <c r="AD198" s="150" t="n"/>
      <c r="AE198" s="151" t="n"/>
      <c r="AF198" s="152" t="n"/>
      <c r="AG198" s="153" t="n"/>
      <c r="AH198" s="154" t="n"/>
      <c r="AJ198" s="391" t="n"/>
    </row>
    <row r="199" customFormat="1" s="141">
      <c r="A199" s="42" t="n"/>
      <c r="B199" s="791" t="n"/>
      <c r="C199" s="789" t="n"/>
      <c r="D199" s="277" t="n"/>
      <c r="E199" s="789" t="n"/>
      <c r="F199" s="789" t="n"/>
      <c r="G199" s="790" t="n"/>
      <c r="H199" s="791" t="n"/>
      <c r="I199" s="791" t="n"/>
      <c r="J199" s="792" t="n"/>
      <c r="K199" s="792" t="n"/>
      <c r="L199" s="792" t="n"/>
      <c r="M199" s="793" t="n"/>
      <c r="O199" s="142" t="n"/>
      <c r="P199" s="142" t="n"/>
      <c r="Q199" s="791" t="n"/>
      <c r="R199" s="791" t="n"/>
      <c r="S199" s="791" t="n"/>
      <c r="T199" s="148" t="n"/>
      <c r="U199" s="148" t="n"/>
      <c r="V199" s="148" t="n"/>
      <c r="W199" s="148" t="n"/>
      <c r="X199" s="149" t="n"/>
      <c r="Y199" s="148" t="n"/>
      <c r="Z199" s="148" t="n"/>
      <c r="AA199" s="148" t="n"/>
      <c r="AB199" s="148" t="n"/>
      <c r="AC199" s="148" t="n"/>
      <c r="AD199" s="150" t="n"/>
      <c r="AE199" s="151" t="n"/>
      <c r="AF199" s="152" t="n"/>
      <c r="AG199" s="153" t="n"/>
      <c r="AH199" s="154" t="n"/>
      <c r="AJ199" s="391" t="n"/>
    </row>
    <row r="200" customFormat="1" s="141">
      <c r="A200" s="42" t="n"/>
      <c r="B200" s="791" t="n"/>
      <c r="C200" s="789" t="n"/>
      <c r="D200" s="277" t="n"/>
      <c r="E200" s="789" t="n"/>
      <c r="F200" s="789" t="n"/>
      <c r="G200" s="790" t="n"/>
      <c r="H200" s="791" t="n"/>
      <c r="I200" s="791" t="n"/>
      <c r="J200" s="792" t="n"/>
      <c r="K200" s="792" t="n"/>
      <c r="L200" s="792" t="n"/>
      <c r="M200" s="793" t="n"/>
      <c r="O200" s="142" t="n"/>
      <c r="P200" s="142" t="n"/>
      <c r="Q200" s="791" t="n"/>
      <c r="R200" s="791" t="n"/>
      <c r="S200" s="791" t="n"/>
      <c r="T200" s="148" t="n"/>
      <c r="U200" s="148" t="n"/>
      <c r="V200" s="148" t="n"/>
      <c r="W200" s="148" t="n"/>
      <c r="X200" s="149" t="n"/>
      <c r="Y200" s="148" t="n"/>
      <c r="Z200" s="148" t="n"/>
      <c r="AA200" s="148" t="n"/>
      <c r="AB200" s="148" t="n"/>
      <c r="AC200" s="148" t="n"/>
      <c r="AD200" s="150" t="n"/>
      <c r="AE200" s="151" t="n"/>
      <c r="AF200" s="152" t="n"/>
      <c r="AG200" s="153" t="n"/>
      <c r="AH200" s="154" t="n"/>
      <c r="AJ200" s="391" t="n"/>
    </row>
    <row r="201" customFormat="1" s="141">
      <c r="A201" s="42" t="n"/>
      <c r="B201" s="791" t="n"/>
      <c r="C201" s="789" t="n"/>
      <c r="D201" s="277" t="n"/>
      <c r="E201" s="789" t="n"/>
      <c r="F201" s="789" t="n"/>
      <c r="G201" s="790" t="n"/>
      <c r="H201" s="791" t="n"/>
      <c r="I201" s="791" t="n"/>
      <c r="J201" s="792" t="n"/>
      <c r="K201" s="792" t="n"/>
      <c r="L201" s="792" t="n"/>
      <c r="M201" s="793" t="n"/>
      <c r="O201" s="142" t="n"/>
      <c r="P201" s="142" t="n"/>
      <c r="Q201" s="791" t="n"/>
      <c r="R201" s="791" t="n"/>
      <c r="S201" s="791" t="n"/>
      <c r="T201" s="148" t="n"/>
      <c r="U201" s="148" t="n"/>
      <c r="V201" s="148" t="n"/>
      <c r="W201" s="148" t="n"/>
      <c r="X201" s="149" t="n"/>
      <c r="Y201" s="148" t="n"/>
      <c r="Z201" s="148" t="n"/>
      <c r="AA201" s="148" t="n"/>
      <c r="AB201" s="148" t="n"/>
      <c r="AC201" s="148" t="n"/>
      <c r="AD201" s="150" t="n"/>
      <c r="AE201" s="151" t="n"/>
      <c r="AF201" s="152" t="n"/>
      <c r="AG201" s="153" t="n"/>
      <c r="AH201" s="154" t="n"/>
      <c r="AJ201" s="391" t="n"/>
    </row>
    <row r="202" customFormat="1" s="141">
      <c r="A202" s="42" t="n"/>
      <c r="B202" s="791" t="n"/>
      <c r="C202" s="789" t="n"/>
      <c r="D202" s="277" t="n"/>
      <c r="E202" s="789" t="n"/>
      <c r="F202" s="789" t="n"/>
      <c r="G202" s="790" t="n"/>
      <c r="H202" s="791" t="n"/>
      <c r="I202" s="791" t="n"/>
      <c r="J202" s="792" t="n"/>
      <c r="K202" s="792" t="n"/>
      <c r="L202" s="792" t="n"/>
      <c r="M202" s="793" t="n"/>
      <c r="O202" s="142" t="n"/>
      <c r="P202" s="142" t="n"/>
      <c r="Q202" s="791" t="n"/>
      <c r="R202" s="791" t="n"/>
      <c r="S202" s="791" t="n"/>
      <c r="T202" s="148" t="n"/>
      <c r="U202" s="148" t="n"/>
      <c r="V202" s="148" t="n"/>
      <c r="W202" s="148" t="n"/>
      <c r="X202" s="149" t="n"/>
      <c r="Y202" s="148" t="n"/>
      <c r="Z202" s="148" t="n"/>
      <c r="AA202" s="148" t="n"/>
      <c r="AB202" s="148" t="n"/>
      <c r="AC202" s="148" t="n"/>
      <c r="AD202" s="150" t="n"/>
      <c r="AE202" s="151" t="n"/>
      <c r="AF202" s="152" t="n"/>
      <c r="AG202" s="153" t="n"/>
      <c r="AH202" s="154" t="n"/>
      <c r="AJ202" s="391" t="n"/>
    </row>
    <row r="203" customFormat="1" s="141">
      <c r="A203" s="42" t="n"/>
      <c r="B203" s="791" t="n"/>
      <c r="C203" s="789" t="n"/>
      <c r="D203" s="277" t="n"/>
      <c r="E203" s="789" t="n"/>
      <c r="F203" s="789" t="n"/>
      <c r="G203" s="790" t="n"/>
      <c r="H203" s="791" t="n"/>
      <c r="I203" s="791" t="n"/>
      <c r="J203" s="792" t="n"/>
      <c r="K203" s="792" t="n"/>
      <c r="L203" s="792" t="n"/>
      <c r="M203" s="793" t="n"/>
      <c r="O203" s="142" t="n"/>
      <c r="P203" s="142" t="n"/>
      <c r="Q203" s="791" t="n"/>
      <c r="R203" s="791" t="n"/>
      <c r="S203" s="791" t="n"/>
      <c r="T203" s="148" t="n"/>
      <c r="U203" s="148" t="n"/>
      <c r="V203" s="148" t="n"/>
      <c r="W203" s="148" t="n"/>
      <c r="X203" s="149" t="n"/>
      <c r="Y203" s="148" t="n"/>
      <c r="Z203" s="148" t="n"/>
      <c r="AA203" s="148" t="n"/>
      <c r="AB203" s="148" t="n"/>
      <c r="AC203" s="148" t="n"/>
      <c r="AD203" s="150" t="n"/>
      <c r="AE203" s="151" t="n"/>
      <c r="AF203" s="152" t="n"/>
      <c r="AG203" s="153" t="n"/>
      <c r="AH203" s="154" t="n"/>
      <c r="AJ203" s="391" t="n"/>
    </row>
    <row r="204" customFormat="1" s="141">
      <c r="A204" s="42" t="n"/>
      <c r="B204" s="791" t="n"/>
      <c r="C204" s="789" t="n"/>
      <c r="D204" s="277" t="n"/>
      <c r="E204" s="789" t="n"/>
      <c r="F204" s="789" t="n"/>
      <c r="G204" s="790" t="n"/>
      <c r="H204" s="791" t="n"/>
      <c r="I204" s="791" t="n"/>
      <c r="J204" s="792" t="n"/>
      <c r="K204" s="792" t="n"/>
      <c r="L204" s="792" t="n"/>
      <c r="M204" s="793" t="n"/>
      <c r="O204" s="142" t="n"/>
      <c r="P204" s="142" t="n"/>
      <c r="Q204" s="791" t="n"/>
      <c r="R204" s="791" t="n"/>
      <c r="S204" s="791" t="n"/>
      <c r="T204" s="148" t="n"/>
      <c r="U204" s="148" t="n"/>
      <c r="V204" s="148" t="n"/>
      <c r="W204" s="148" t="n"/>
      <c r="X204" s="149" t="n"/>
      <c r="Y204" s="148" t="n"/>
      <c r="Z204" s="148" t="n"/>
      <c r="AA204" s="148" t="n"/>
      <c r="AB204" s="148" t="n"/>
      <c r="AC204" s="148" t="n"/>
      <c r="AD204" s="150" t="n"/>
      <c r="AE204" s="151" t="n"/>
      <c r="AF204" s="152" t="n"/>
      <c r="AG204" s="153" t="n"/>
      <c r="AH204" s="154" t="n"/>
      <c r="AJ204" s="391" t="n"/>
    </row>
    <row r="205" customFormat="1" s="141">
      <c r="A205" s="42" t="n"/>
      <c r="B205" s="791" t="n"/>
      <c r="C205" s="789" t="n"/>
      <c r="D205" s="277" t="n"/>
      <c r="E205" s="789" t="n"/>
      <c r="F205" s="789" t="n"/>
      <c r="G205" s="790" t="n"/>
      <c r="H205" s="791" t="n"/>
      <c r="I205" s="791" t="n"/>
      <c r="J205" s="792" t="n"/>
      <c r="K205" s="792" t="n"/>
      <c r="L205" s="792" t="n"/>
      <c r="M205" s="793" t="n"/>
      <c r="O205" s="142" t="n"/>
      <c r="P205" s="142" t="n"/>
      <c r="Q205" s="791" t="n"/>
      <c r="R205" s="791" t="n"/>
      <c r="S205" s="791" t="n"/>
      <c r="T205" s="148" t="n"/>
      <c r="U205" s="148" t="n"/>
      <c r="V205" s="148" t="n"/>
      <c r="W205" s="148" t="n"/>
      <c r="X205" s="149" t="n"/>
      <c r="Y205" s="148" t="n"/>
      <c r="Z205" s="148" t="n"/>
      <c r="AA205" s="148" t="n"/>
      <c r="AB205" s="148" t="n"/>
      <c r="AC205" s="148" t="n"/>
      <c r="AD205" s="150" t="n"/>
      <c r="AE205" s="151" t="n"/>
      <c r="AF205" s="152" t="n"/>
      <c r="AG205" s="153" t="n"/>
      <c r="AH205" s="154" t="n"/>
      <c r="AJ205" s="391" t="n"/>
    </row>
    <row r="206" customFormat="1" s="141">
      <c r="A206" s="42" t="n"/>
      <c r="B206" s="791" t="n"/>
      <c r="C206" s="789" t="n"/>
      <c r="D206" s="277" t="n"/>
      <c r="E206" s="789" t="n"/>
      <c r="F206" s="789" t="n"/>
      <c r="G206" s="790" t="n"/>
      <c r="H206" s="791" t="n"/>
      <c r="I206" s="791" t="n"/>
      <c r="J206" s="792" t="n"/>
      <c r="K206" s="792" t="n"/>
      <c r="L206" s="792" t="n"/>
      <c r="M206" s="793" t="n"/>
      <c r="O206" s="142" t="n"/>
      <c r="P206" s="142" t="n"/>
      <c r="Q206" s="791" t="n"/>
      <c r="R206" s="791" t="n"/>
      <c r="S206" s="791" t="n"/>
      <c r="T206" s="148" t="n"/>
      <c r="U206" s="148" t="n"/>
      <c r="V206" s="148" t="n"/>
      <c r="W206" s="148" t="n"/>
      <c r="X206" s="149" t="n"/>
      <c r="Y206" s="148" t="n"/>
      <c r="Z206" s="148" t="n"/>
      <c r="AA206" s="148" t="n"/>
      <c r="AB206" s="148" t="n"/>
      <c r="AC206" s="148" t="n"/>
      <c r="AD206" s="150" t="n"/>
      <c r="AE206" s="151" t="n"/>
      <c r="AF206" s="152" t="n"/>
      <c r="AG206" s="153" t="n"/>
      <c r="AH206" s="154" t="n"/>
      <c r="AJ206" s="391" t="n"/>
    </row>
    <row r="207" customFormat="1" s="141">
      <c r="A207" s="42" t="n"/>
      <c r="B207" s="791" t="n"/>
      <c r="C207" s="789" t="n"/>
      <c r="D207" s="277" t="n"/>
      <c r="E207" s="789" t="n"/>
      <c r="F207" s="789" t="n"/>
      <c r="G207" s="790" t="n"/>
      <c r="H207" s="791" t="n"/>
      <c r="I207" s="791" t="n"/>
      <c r="J207" s="792" t="n"/>
      <c r="K207" s="792" t="n"/>
      <c r="L207" s="792" t="n"/>
      <c r="M207" s="793" t="n"/>
      <c r="O207" s="142" t="n"/>
      <c r="P207" s="142" t="n"/>
      <c r="Q207" s="791" t="n"/>
      <c r="R207" s="791" t="n"/>
      <c r="S207" s="791" t="n"/>
      <c r="T207" s="148" t="n"/>
      <c r="U207" s="148" t="n"/>
      <c r="V207" s="148" t="n"/>
      <c r="W207" s="148" t="n"/>
      <c r="X207" s="149" t="n"/>
      <c r="Y207" s="148" t="n"/>
      <c r="Z207" s="148" t="n"/>
      <c r="AA207" s="148" t="n"/>
      <c r="AB207" s="148" t="n"/>
      <c r="AC207" s="148" t="n"/>
      <c r="AD207" s="150" t="n"/>
      <c r="AE207" s="151" t="n"/>
      <c r="AF207" s="152" t="n"/>
      <c r="AG207" s="153" t="n"/>
      <c r="AH207" s="154" t="n"/>
      <c r="AJ207" s="391" t="n"/>
    </row>
    <row r="208" customFormat="1" s="141">
      <c r="A208" s="42" t="n"/>
      <c r="B208" s="791" t="n"/>
      <c r="C208" s="789" t="n"/>
      <c r="D208" s="277" t="n"/>
      <c r="E208" s="789" t="n"/>
      <c r="F208" s="789" t="n"/>
      <c r="G208" s="790" t="n"/>
      <c r="H208" s="791" t="n"/>
      <c r="I208" s="791" t="n"/>
      <c r="J208" s="792" t="n"/>
      <c r="K208" s="792" t="n"/>
      <c r="L208" s="792" t="n"/>
      <c r="M208" s="793" t="n"/>
      <c r="O208" s="142" t="n"/>
      <c r="P208" s="142" t="n"/>
      <c r="Q208" s="791" t="n"/>
      <c r="R208" s="791" t="n"/>
      <c r="S208" s="791" t="n"/>
      <c r="T208" s="148" t="n"/>
      <c r="U208" s="148" t="n"/>
      <c r="V208" s="148" t="n"/>
      <c r="W208" s="148" t="n"/>
      <c r="X208" s="149" t="n"/>
      <c r="Y208" s="148" t="n"/>
      <c r="Z208" s="148" t="n"/>
      <c r="AA208" s="148" t="n"/>
      <c r="AB208" s="148" t="n"/>
      <c r="AC208" s="148" t="n"/>
      <c r="AD208" s="150" t="n"/>
      <c r="AE208" s="151" t="n"/>
      <c r="AF208" s="152" t="n"/>
      <c r="AG208" s="153" t="n"/>
      <c r="AH208" s="154" t="n"/>
      <c r="AJ208" s="391" t="n"/>
    </row>
    <row r="209" customFormat="1" s="141">
      <c r="A209" s="42" t="n"/>
      <c r="B209" s="791" t="n"/>
      <c r="C209" s="789" t="n"/>
      <c r="D209" s="277" t="n"/>
      <c r="E209" s="789" t="n"/>
      <c r="F209" s="789" t="n"/>
      <c r="G209" s="790" t="n"/>
      <c r="H209" s="791" t="n"/>
      <c r="I209" s="791" t="n"/>
      <c r="J209" s="792" t="n"/>
      <c r="K209" s="792" t="n"/>
      <c r="L209" s="792" t="n"/>
      <c r="M209" s="793" t="n"/>
      <c r="O209" s="142" t="n"/>
      <c r="P209" s="142" t="n"/>
      <c r="Q209" s="791" t="n"/>
      <c r="R209" s="791" t="n"/>
      <c r="S209" s="791" t="n"/>
      <c r="T209" s="148" t="n"/>
      <c r="U209" s="148" t="n"/>
      <c r="V209" s="148" t="n"/>
      <c r="W209" s="148" t="n"/>
      <c r="X209" s="149" t="n"/>
      <c r="Y209" s="148" t="n"/>
      <c r="Z209" s="148" t="n"/>
      <c r="AA209" s="148" t="n"/>
      <c r="AB209" s="148" t="n"/>
      <c r="AC209" s="148" t="n"/>
      <c r="AD209" s="150" t="n"/>
      <c r="AE209" s="151" t="n"/>
      <c r="AF209" s="152" t="n"/>
      <c r="AG209" s="153" t="n"/>
      <c r="AH209" s="154" t="n"/>
      <c r="AJ209" s="391" t="n"/>
    </row>
    <row r="210" customFormat="1" s="141">
      <c r="A210" s="42" t="n"/>
      <c r="B210" s="791" t="n"/>
      <c r="C210" s="789" t="n"/>
      <c r="D210" s="277" t="n"/>
      <c r="E210" s="789" t="n"/>
      <c r="F210" s="789" t="n"/>
      <c r="G210" s="790" t="n"/>
      <c r="H210" s="791" t="n"/>
      <c r="I210" s="791" t="n"/>
      <c r="J210" s="792" t="n"/>
      <c r="K210" s="792" t="n"/>
      <c r="L210" s="792" t="n"/>
      <c r="M210" s="793" t="n"/>
      <c r="O210" s="142" t="n"/>
      <c r="P210" s="142" t="n"/>
      <c r="Q210" s="791" t="n"/>
      <c r="R210" s="791" t="n"/>
      <c r="S210" s="791" t="n"/>
      <c r="T210" s="148" t="n"/>
      <c r="U210" s="148" t="n"/>
      <c r="V210" s="148" t="n"/>
      <c r="W210" s="148" t="n"/>
      <c r="X210" s="149" t="n"/>
      <c r="Y210" s="148" t="n"/>
      <c r="Z210" s="148" t="n"/>
      <c r="AA210" s="148" t="n"/>
      <c r="AB210" s="148" t="n"/>
      <c r="AC210" s="148" t="n"/>
      <c r="AD210" s="150" t="n"/>
      <c r="AE210" s="151" t="n"/>
      <c r="AF210" s="152" t="n"/>
      <c r="AG210" s="153" t="n"/>
      <c r="AH210" s="154" t="n"/>
      <c r="AJ210" s="391" t="n"/>
    </row>
    <row r="211" customFormat="1" s="141">
      <c r="A211" s="42" t="n"/>
      <c r="B211" s="791" t="n"/>
      <c r="C211" s="789" t="n"/>
      <c r="D211" s="277" t="n"/>
      <c r="E211" s="789" t="n"/>
      <c r="F211" s="789" t="n"/>
      <c r="G211" s="790" t="n"/>
      <c r="H211" s="791" t="n"/>
      <c r="I211" s="791" t="n"/>
      <c r="J211" s="792" t="n"/>
      <c r="K211" s="792" t="n"/>
      <c r="L211" s="792" t="n"/>
      <c r="M211" s="793" t="n"/>
      <c r="O211" s="142" t="n"/>
      <c r="P211" s="142" t="n"/>
      <c r="Q211" s="791" t="n"/>
      <c r="R211" s="791" t="n"/>
      <c r="S211" s="791" t="n"/>
      <c r="T211" s="148" t="n"/>
      <c r="U211" s="148" t="n"/>
      <c r="V211" s="148" t="n"/>
      <c r="W211" s="148" t="n"/>
      <c r="X211" s="149" t="n"/>
      <c r="Y211" s="148" t="n"/>
      <c r="Z211" s="148" t="n"/>
      <c r="AA211" s="148" t="n"/>
      <c r="AB211" s="148" t="n"/>
      <c r="AC211" s="148" t="n"/>
      <c r="AD211" s="150" t="n"/>
      <c r="AE211" s="151" t="n"/>
      <c r="AF211" s="152" t="n"/>
      <c r="AG211" s="153" t="n"/>
      <c r="AH211" s="154" t="n"/>
      <c r="AJ211" s="391" t="n"/>
    </row>
    <row r="212" customFormat="1" s="141">
      <c r="A212" s="42" t="n"/>
      <c r="B212" s="791" t="n"/>
      <c r="C212" s="789" t="n"/>
      <c r="D212" s="277" t="n"/>
      <c r="E212" s="789" t="n"/>
      <c r="F212" s="789" t="n"/>
      <c r="G212" s="790" t="n"/>
      <c r="H212" s="791" t="n"/>
      <c r="I212" s="791" t="n"/>
      <c r="J212" s="792" t="n"/>
      <c r="K212" s="792" t="n"/>
      <c r="L212" s="792" t="n"/>
      <c r="M212" s="793" t="n"/>
      <c r="O212" s="142" t="n"/>
      <c r="P212" s="142" t="n"/>
      <c r="Q212" s="791" t="n"/>
      <c r="R212" s="791" t="n"/>
      <c r="S212" s="791" t="n"/>
      <c r="T212" s="148" t="n"/>
      <c r="U212" s="148" t="n"/>
      <c r="V212" s="148" t="n"/>
      <c r="W212" s="148" t="n"/>
      <c r="X212" s="149" t="n"/>
      <c r="Y212" s="148" t="n"/>
      <c r="Z212" s="148" t="n"/>
      <c r="AA212" s="148" t="n"/>
      <c r="AB212" s="148" t="n"/>
      <c r="AC212" s="148" t="n"/>
      <c r="AD212" s="150" t="n"/>
      <c r="AE212" s="151" t="n"/>
      <c r="AF212" s="152" t="n"/>
      <c r="AG212" s="153" t="n"/>
      <c r="AH212" s="154" t="n"/>
      <c r="AJ212" s="391" t="n"/>
    </row>
    <row r="213" customFormat="1" s="141">
      <c r="A213" s="42" t="n"/>
      <c r="B213" s="791" t="n"/>
      <c r="C213" s="789" t="n"/>
      <c r="D213" s="277" t="n"/>
      <c r="E213" s="789" t="n"/>
      <c r="F213" s="789" t="n"/>
      <c r="G213" s="790" t="n"/>
      <c r="H213" s="791" t="n"/>
      <c r="I213" s="791" t="n"/>
      <c r="J213" s="792" t="n"/>
      <c r="K213" s="792" t="n"/>
      <c r="L213" s="792" t="n"/>
      <c r="M213" s="793" t="n"/>
      <c r="O213" s="142" t="n"/>
      <c r="P213" s="142" t="n"/>
      <c r="Q213" s="791" t="n"/>
      <c r="R213" s="791" t="n"/>
      <c r="S213" s="791" t="n"/>
      <c r="T213" s="148" t="n"/>
      <c r="U213" s="148" t="n"/>
      <c r="V213" s="148" t="n"/>
      <c r="W213" s="148" t="n"/>
      <c r="X213" s="149" t="n"/>
      <c r="Y213" s="148" t="n"/>
      <c r="Z213" s="148" t="n"/>
      <c r="AA213" s="148" t="n"/>
      <c r="AB213" s="148" t="n"/>
      <c r="AC213" s="148" t="n"/>
      <c r="AD213" s="150" t="n"/>
      <c r="AE213" s="151" t="n"/>
      <c r="AF213" s="152" t="n"/>
      <c r="AG213" s="153" t="n"/>
      <c r="AH213" s="154" t="n"/>
      <c r="AJ213" s="391" t="n"/>
    </row>
    <row r="214" customFormat="1" s="141">
      <c r="A214" s="42" t="n"/>
      <c r="B214" s="791" t="n"/>
      <c r="C214" s="789" t="n"/>
      <c r="D214" s="277" t="n"/>
      <c r="E214" s="789" t="n"/>
      <c r="F214" s="789" t="n"/>
      <c r="G214" s="790" t="n"/>
      <c r="H214" s="791" t="n"/>
      <c r="I214" s="791" t="n"/>
      <c r="J214" s="792" t="n"/>
      <c r="K214" s="792" t="n"/>
      <c r="L214" s="792" t="n"/>
      <c r="M214" s="793" t="n"/>
      <c r="O214" s="142" t="n"/>
      <c r="P214" s="142" t="n"/>
      <c r="Q214" s="791" t="n"/>
      <c r="R214" s="791" t="n"/>
      <c r="S214" s="791" t="n"/>
      <c r="T214" s="148" t="n"/>
      <c r="U214" s="148" t="n"/>
      <c r="V214" s="148" t="n"/>
      <c r="W214" s="148" t="n"/>
      <c r="X214" s="149" t="n"/>
      <c r="Y214" s="148" t="n"/>
      <c r="Z214" s="148" t="n"/>
      <c r="AA214" s="148" t="n"/>
      <c r="AB214" s="148" t="n"/>
      <c r="AC214" s="148" t="n"/>
      <c r="AD214" s="150" t="n"/>
      <c r="AE214" s="151" t="n"/>
      <c r="AF214" s="152" t="n"/>
      <c r="AG214" s="153" t="n"/>
      <c r="AH214" s="154" t="n"/>
      <c r="AJ214" s="391" t="n"/>
    </row>
    <row r="215" customFormat="1" s="141">
      <c r="A215" s="42" t="n"/>
      <c r="B215" s="791" t="n"/>
      <c r="C215" s="789" t="n"/>
      <c r="D215" s="277" t="n"/>
      <c r="E215" s="789" t="n"/>
      <c r="F215" s="789" t="n"/>
      <c r="G215" s="790" t="n"/>
      <c r="H215" s="791" t="n"/>
      <c r="I215" s="791" t="n"/>
      <c r="J215" s="792" t="n"/>
      <c r="K215" s="792" t="n"/>
      <c r="L215" s="792" t="n"/>
      <c r="M215" s="793" t="n"/>
      <c r="O215" s="142" t="n"/>
      <c r="P215" s="142" t="n"/>
      <c r="Q215" s="791" t="n"/>
      <c r="R215" s="791" t="n"/>
      <c r="S215" s="791" t="n"/>
      <c r="T215" s="148" t="n"/>
      <c r="U215" s="148" t="n"/>
      <c r="V215" s="148" t="n"/>
      <c r="W215" s="148" t="n"/>
      <c r="X215" s="149" t="n"/>
      <c r="Y215" s="148" t="n"/>
      <c r="Z215" s="148" t="n"/>
      <c r="AA215" s="148" t="n"/>
      <c r="AB215" s="148" t="n"/>
      <c r="AC215" s="148" t="n"/>
      <c r="AD215" s="150" t="n"/>
      <c r="AE215" s="151" t="n"/>
      <c r="AF215" s="152" t="n"/>
      <c r="AG215" s="153" t="n"/>
      <c r="AH215" s="154" t="n"/>
      <c r="AJ215" s="391" t="n"/>
    </row>
    <row r="216" customFormat="1" s="141">
      <c r="A216" s="42" t="n"/>
      <c r="B216" s="791" t="n"/>
      <c r="C216" s="789" t="n"/>
      <c r="D216" s="277" t="n"/>
      <c r="E216" s="789" t="n"/>
      <c r="F216" s="789" t="n"/>
      <c r="G216" s="790" t="n"/>
      <c r="H216" s="791" t="n"/>
      <c r="I216" s="791" t="n"/>
      <c r="J216" s="792" t="n"/>
      <c r="K216" s="792" t="n"/>
      <c r="L216" s="792" t="n"/>
      <c r="M216" s="793" t="n"/>
      <c r="O216" s="142" t="n"/>
      <c r="P216" s="142" t="n"/>
      <c r="Q216" s="791" t="n"/>
      <c r="R216" s="791" t="n"/>
      <c r="S216" s="791" t="n"/>
      <c r="T216" s="148" t="n"/>
      <c r="U216" s="148" t="n"/>
      <c r="V216" s="148" t="n"/>
      <c r="W216" s="148" t="n"/>
      <c r="X216" s="149" t="n"/>
      <c r="Y216" s="148" t="n"/>
      <c r="Z216" s="148" t="n"/>
      <c r="AA216" s="148" t="n"/>
      <c r="AB216" s="148" t="n"/>
      <c r="AC216" s="148" t="n"/>
      <c r="AD216" s="150" t="n"/>
      <c r="AE216" s="151" t="n"/>
      <c r="AF216" s="152" t="n"/>
      <c r="AG216" s="153" t="n"/>
      <c r="AH216" s="154" t="n"/>
      <c r="AJ216" s="391" t="n"/>
    </row>
    <row r="217" customFormat="1" s="141">
      <c r="A217" s="42" t="n"/>
      <c r="B217" s="791" t="n"/>
      <c r="C217" s="789" t="n"/>
      <c r="D217" s="277" t="n"/>
      <c r="E217" s="789" t="n"/>
      <c r="F217" s="789" t="n"/>
      <c r="G217" s="790" t="n"/>
      <c r="H217" s="791" t="n"/>
      <c r="I217" s="791" t="n"/>
      <c r="J217" s="792" t="n"/>
      <c r="K217" s="792" t="n"/>
      <c r="L217" s="792" t="n"/>
      <c r="M217" s="793" t="n"/>
      <c r="O217" s="142" t="n"/>
      <c r="P217" s="142" t="n"/>
      <c r="Q217" s="791" t="n"/>
      <c r="R217" s="791" t="n"/>
      <c r="S217" s="791" t="n"/>
      <c r="T217" s="148" t="n"/>
      <c r="U217" s="148" t="n"/>
      <c r="V217" s="148" t="n"/>
      <c r="W217" s="148" t="n"/>
      <c r="X217" s="149" t="n"/>
      <c r="Y217" s="148" t="n"/>
      <c r="Z217" s="148" t="n"/>
      <c r="AA217" s="148" t="n"/>
      <c r="AB217" s="148" t="n"/>
      <c r="AC217" s="148" t="n"/>
      <c r="AD217" s="150" t="n"/>
      <c r="AE217" s="151" t="n"/>
      <c r="AF217" s="152" t="n"/>
      <c r="AG217" s="153" t="n"/>
      <c r="AH217" s="154" t="n"/>
      <c r="AJ217" s="391" t="n"/>
    </row>
    <row r="218" customFormat="1" s="141">
      <c r="A218" s="42" t="n"/>
      <c r="B218" s="791" t="n"/>
      <c r="C218" s="789" t="n"/>
      <c r="D218" s="277" t="n"/>
      <c r="E218" s="789" t="n"/>
      <c r="F218" s="789" t="n"/>
      <c r="G218" s="790" t="n"/>
      <c r="H218" s="791" t="n"/>
      <c r="I218" s="791" t="n"/>
      <c r="J218" s="792" t="n"/>
      <c r="K218" s="792" t="n"/>
      <c r="L218" s="792" t="n"/>
      <c r="M218" s="793" t="n"/>
      <c r="O218" s="142" t="n"/>
      <c r="P218" s="142" t="n"/>
      <c r="Q218" s="791" t="n"/>
      <c r="R218" s="791" t="n"/>
      <c r="S218" s="791" t="n"/>
      <c r="T218" s="148" t="n"/>
      <c r="U218" s="148" t="n"/>
      <c r="V218" s="148" t="n"/>
      <c r="W218" s="148" t="n"/>
      <c r="X218" s="149" t="n"/>
      <c r="Y218" s="148" t="n"/>
      <c r="Z218" s="148" t="n"/>
      <c r="AA218" s="148" t="n"/>
      <c r="AB218" s="148" t="n"/>
      <c r="AC218" s="148" t="n"/>
      <c r="AD218" s="150" t="n"/>
      <c r="AE218" s="151" t="n"/>
      <c r="AF218" s="152" t="n"/>
      <c r="AG218" s="153" t="n"/>
      <c r="AH218" s="154" t="n"/>
      <c r="AJ218" s="391" t="n"/>
    </row>
    <row r="219" customFormat="1" s="141">
      <c r="A219" s="42" t="n"/>
      <c r="B219" s="791" t="n"/>
      <c r="C219" s="789" t="n"/>
      <c r="D219" s="277" t="n"/>
      <c r="E219" s="789" t="n"/>
      <c r="F219" s="789" t="n"/>
      <c r="G219" s="790" t="n"/>
      <c r="H219" s="791" t="n"/>
      <c r="I219" s="791" t="n"/>
      <c r="J219" s="792" t="n"/>
      <c r="K219" s="792" t="n"/>
      <c r="L219" s="792" t="n"/>
      <c r="M219" s="793" t="n"/>
      <c r="O219" s="142" t="n"/>
      <c r="P219" s="142" t="n"/>
      <c r="Q219" s="791" t="n"/>
      <c r="R219" s="791" t="n"/>
      <c r="S219" s="791" t="n"/>
      <c r="T219" s="148" t="n"/>
      <c r="U219" s="148" t="n"/>
      <c r="V219" s="148" t="n"/>
      <c r="W219" s="148" t="n"/>
      <c r="X219" s="149" t="n"/>
      <c r="Y219" s="148" t="n"/>
      <c r="Z219" s="148" t="n"/>
      <c r="AA219" s="148" t="n"/>
      <c r="AB219" s="148" t="n"/>
      <c r="AC219" s="148" t="n"/>
      <c r="AD219" s="150" t="n"/>
      <c r="AE219" s="151" t="n"/>
      <c r="AF219" s="152" t="n"/>
      <c r="AG219" s="153" t="n"/>
      <c r="AH219" s="154" t="n"/>
      <c r="AJ219" s="391" t="n"/>
    </row>
    <row r="220" customFormat="1" s="141">
      <c r="A220" s="42" t="n"/>
      <c r="B220" s="791" t="n"/>
      <c r="C220" s="789" t="n"/>
      <c r="D220" s="277" t="n"/>
      <c r="E220" s="789" t="n"/>
      <c r="F220" s="789" t="n"/>
      <c r="G220" s="790" t="n"/>
      <c r="H220" s="791" t="n"/>
      <c r="I220" s="791" t="n"/>
      <c r="J220" s="792" t="n"/>
      <c r="K220" s="792" t="n"/>
      <c r="L220" s="792" t="n"/>
      <c r="M220" s="793" t="n"/>
      <c r="O220" s="142" t="n"/>
      <c r="P220" s="142" t="n"/>
      <c r="Q220" s="791" t="n"/>
      <c r="R220" s="791" t="n"/>
      <c r="S220" s="791" t="n"/>
      <c r="T220" s="148" t="n"/>
      <c r="U220" s="148" t="n"/>
      <c r="V220" s="148" t="n"/>
      <c r="W220" s="148" t="n"/>
      <c r="X220" s="149" t="n"/>
      <c r="Y220" s="148" t="n"/>
      <c r="Z220" s="148" t="n"/>
      <c r="AA220" s="148" t="n"/>
      <c r="AB220" s="148" t="n"/>
      <c r="AC220" s="148" t="n"/>
      <c r="AD220" s="150" t="n"/>
      <c r="AE220" s="151" t="n"/>
      <c r="AF220" s="152" t="n"/>
      <c r="AG220" s="153" t="n"/>
      <c r="AH220" s="154" t="n"/>
      <c r="AJ220" s="391" t="n"/>
    </row>
    <row r="221" customFormat="1" s="141">
      <c r="A221" s="42" t="n"/>
      <c r="B221" s="791" t="n"/>
      <c r="C221" s="789" t="n"/>
      <c r="D221" s="277" t="n"/>
      <c r="E221" s="789" t="n"/>
      <c r="F221" s="789" t="n"/>
      <c r="G221" s="790" t="n"/>
      <c r="H221" s="791" t="n"/>
      <c r="I221" s="791" t="n"/>
      <c r="J221" s="792" t="n"/>
      <c r="K221" s="792" t="n"/>
      <c r="L221" s="792" t="n"/>
      <c r="M221" s="793" t="n"/>
      <c r="O221" s="142" t="n"/>
      <c r="P221" s="142" t="n"/>
      <c r="Q221" s="791" t="n"/>
      <c r="R221" s="791" t="n"/>
      <c r="S221" s="791" t="n"/>
      <c r="T221" s="148" t="n"/>
      <c r="U221" s="148" t="n"/>
      <c r="V221" s="148" t="n"/>
      <c r="W221" s="148" t="n"/>
      <c r="X221" s="149" t="n"/>
      <c r="Y221" s="148" t="n"/>
      <c r="Z221" s="148" t="n"/>
      <c r="AA221" s="148" t="n"/>
      <c r="AB221" s="148" t="n"/>
      <c r="AC221" s="148" t="n"/>
      <c r="AD221" s="150" t="n"/>
      <c r="AE221" s="151" t="n"/>
      <c r="AF221" s="152" t="n"/>
      <c r="AG221" s="153" t="n"/>
      <c r="AH221" s="154" t="n"/>
      <c r="AJ221" s="391" t="n"/>
    </row>
    <row r="222" customFormat="1" s="141">
      <c r="A222" s="42" t="n"/>
      <c r="B222" s="791" t="n"/>
      <c r="C222" s="789" t="n"/>
      <c r="D222" s="277" t="n"/>
      <c r="E222" s="789" t="n"/>
      <c r="F222" s="789" t="n"/>
      <c r="G222" s="790" t="n"/>
      <c r="H222" s="791" t="n"/>
      <c r="I222" s="791" t="n"/>
      <c r="J222" s="792" t="n"/>
      <c r="K222" s="792" t="n"/>
      <c r="L222" s="792" t="n"/>
      <c r="M222" s="793" t="n"/>
      <c r="O222" s="142" t="n"/>
      <c r="P222" s="142" t="n"/>
      <c r="Q222" s="791" t="n"/>
      <c r="R222" s="791" t="n"/>
      <c r="S222" s="791" t="n"/>
      <c r="T222" s="148" t="n"/>
      <c r="U222" s="148" t="n"/>
      <c r="V222" s="148" t="n"/>
      <c r="W222" s="148" t="n"/>
      <c r="X222" s="149" t="n"/>
      <c r="Y222" s="148" t="n"/>
      <c r="Z222" s="148" t="n"/>
      <c r="AA222" s="148" t="n"/>
      <c r="AB222" s="148" t="n"/>
      <c r="AC222" s="148" t="n"/>
      <c r="AD222" s="150" t="n"/>
      <c r="AE222" s="151" t="n"/>
      <c r="AF222" s="152" t="n"/>
      <c r="AG222" s="153" t="n"/>
      <c r="AH222" s="154" t="n"/>
      <c r="AJ222" s="391" t="n"/>
    </row>
    <row r="223" customFormat="1" s="141">
      <c r="A223" s="42" t="n"/>
      <c r="B223" s="791" t="n"/>
      <c r="C223" s="789" t="n"/>
      <c r="D223" s="277" t="n"/>
      <c r="E223" s="789" t="n"/>
      <c r="F223" s="789" t="n"/>
      <c r="G223" s="790" t="n"/>
      <c r="H223" s="791" t="n"/>
      <c r="I223" s="791" t="n"/>
      <c r="J223" s="792" t="n"/>
      <c r="K223" s="792" t="n"/>
      <c r="L223" s="792" t="n"/>
      <c r="M223" s="793" t="n"/>
      <c r="O223" s="142" t="n"/>
      <c r="P223" s="142" t="n"/>
      <c r="Q223" s="791" t="n"/>
      <c r="R223" s="791" t="n"/>
      <c r="S223" s="791" t="n"/>
      <c r="T223" s="148" t="n"/>
      <c r="U223" s="148" t="n"/>
      <c r="V223" s="148" t="n"/>
      <c r="W223" s="148" t="n"/>
      <c r="X223" s="149" t="n"/>
      <c r="Y223" s="148" t="n"/>
      <c r="Z223" s="148" t="n"/>
      <c r="AA223" s="148" t="n"/>
      <c r="AB223" s="148" t="n"/>
      <c r="AC223" s="148" t="n"/>
      <c r="AD223" s="150" t="n"/>
      <c r="AE223" s="151" t="n"/>
      <c r="AF223" s="152" t="n"/>
      <c r="AG223" s="153" t="n"/>
      <c r="AH223" s="154" t="n"/>
      <c r="AJ223" s="391" t="n"/>
    </row>
    <row r="224" customFormat="1" s="141">
      <c r="A224" s="42" t="n"/>
      <c r="B224" s="791" t="n"/>
      <c r="C224" s="789" t="n"/>
      <c r="D224" s="277" t="n"/>
      <c r="E224" s="789" t="n"/>
      <c r="F224" s="789" t="n"/>
      <c r="G224" s="790" t="n"/>
      <c r="H224" s="791" t="n"/>
      <c r="I224" s="791" t="n"/>
      <c r="J224" s="792" t="n"/>
      <c r="K224" s="792" t="n"/>
      <c r="L224" s="792" t="n"/>
      <c r="M224" s="793" t="n"/>
      <c r="O224" s="142" t="n"/>
      <c r="P224" s="142" t="n"/>
      <c r="Q224" s="791" t="n"/>
      <c r="R224" s="791" t="n"/>
      <c r="S224" s="791" t="n"/>
      <c r="T224" s="148" t="n"/>
      <c r="U224" s="148" t="n"/>
      <c r="V224" s="148" t="n"/>
      <c r="W224" s="148" t="n"/>
      <c r="X224" s="149" t="n"/>
      <c r="Y224" s="148" t="n"/>
      <c r="Z224" s="148" t="n"/>
      <c r="AA224" s="148" t="n"/>
      <c r="AB224" s="148" t="n"/>
      <c r="AC224" s="148" t="n"/>
      <c r="AD224" s="150" t="n"/>
      <c r="AE224" s="151" t="n"/>
      <c r="AF224" s="152" t="n"/>
      <c r="AG224" s="153" t="n"/>
      <c r="AH224" s="154" t="n"/>
      <c r="AJ224" s="391" t="n"/>
    </row>
    <row r="225" customFormat="1" s="141">
      <c r="A225" s="42" t="n"/>
      <c r="B225" s="791" t="n"/>
      <c r="C225" s="789" t="n"/>
      <c r="D225" s="277" t="n"/>
      <c r="E225" s="789" t="n"/>
      <c r="F225" s="789" t="n"/>
      <c r="G225" s="790" t="n"/>
      <c r="H225" s="791" t="n"/>
      <c r="I225" s="791" t="n"/>
      <c r="J225" s="792" t="n"/>
      <c r="K225" s="792" t="n"/>
      <c r="L225" s="792" t="n"/>
      <c r="M225" s="793" t="n"/>
      <c r="O225" s="142" t="n"/>
      <c r="P225" s="142" t="n"/>
      <c r="Q225" s="791" t="n"/>
      <c r="R225" s="791" t="n"/>
      <c r="S225" s="791" t="n"/>
      <c r="T225" s="148" t="n"/>
      <c r="U225" s="148" t="n"/>
      <c r="V225" s="148" t="n"/>
      <c r="W225" s="148" t="n"/>
      <c r="X225" s="149" t="n"/>
      <c r="Y225" s="148" t="n"/>
      <c r="Z225" s="148" t="n"/>
      <c r="AA225" s="148" t="n"/>
      <c r="AB225" s="148" t="n"/>
      <c r="AC225" s="148" t="n"/>
      <c r="AD225" s="150" t="n"/>
      <c r="AE225" s="151" t="n"/>
      <c r="AF225" s="152" t="n"/>
      <c r="AG225" s="153" t="n"/>
      <c r="AH225" s="154" t="n"/>
      <c r="AJ225" s="391" t="n"/>
    </row>
    <row r="226" customFormat="1" s="141">
      <c r="A226" s="42" t="n"/>
      <c r="B226" s="791" t="n"/>
      <c r="C226" s="789" t="n"/>
      <c r="D226" s="277" t="n"/>
      <c r="E226" s="789" t="n"/>
      <c r="F226" s="789" t="n"/>
      <c r="G226" s="790" t="n"/>
      <c r="H226" s="791" t="n"/>
      <c r="I226" s="791" t="n"/>
      <c r="J226" s="792" t="n"/>
      <c r="K226" s="792" t="n"/>
      <c r="L226" s="792" t="n"/>
      <c r="M226" s="793" t="n"/>
      <c r="O226" s="142" t="n"/>
      <c r="P226" s="142" t="n"/>
      <c r="Q226" s="791" t="n"/>
      <c r="R226" s="791" t="n"/>
      <c r="S226" s="791" t="n"/>
      <c r="T226" s="148" t="n"/>
      <c r="U226" s="148" t="n"/>
      <c r="V226" s="148" t="n"/>
      <c r="W226" s="148" t="n"/>
      <c r="X226" s="149" t="n"/>
      <c r="Y226" s="148" t="n"/>
      <c r="Z226" s="148" t="n"/>
      <c r="AA226" s="148" t="n"/>
      <c r="AB226" s="148" t="n"/>
      <c r="AC226" s="148" t="n"/>
      <c r="AD226" s="150" t="n"/>
      <c r="AE226" s="151" t="n"/>
      <c r="AF226" s="152" t="n"/>
      <c r="AG226" s="153" t="n"/>
      <c r="AH226" s="154" t="n"/>
      <c r="AJ226" s="391" t="n"/>
    </row>
    <row r="227" customFormat="1" s="141">
      <c r="A227" s="42" t="n"/>
      <c r="B227" s="791" t="n"/>
      <c r="C227" s="789" t="n"/>
      <c r="D227" s="277" t="n"/>
      <c r="E227" s="789" t="n"/>
      <c r="F227" s="789" t="n"/>
      <c r="G227" s="790" t="n"/>
      <c r="H227" s="791" t="n"/>
      <c r="I227" s="791" t="n"/>
      <c r="J227" s="792" t="n"/>
      <c r="K227" s="792" t="n"/>
      <c r="L227" s="792" t="n"/>
      <c r="M227" s="793" t="n"/>
      <c r="O227" s="142" t="n"/>
      <c r="P227" s="142" t="n"/>
      <c r="Q227" s="791" t="n"/>
      <c r="R227" s="791" t="n"/>
      <c r="S227" s="791" t="n"/>
      <c r="T227" s="148" t="n"/>
      <c r="U227" s="148" t="n"/>
      <c r="V227" s="148" t="n"/>
      <c r="W227" s="148" t="n"/>
      <c r="X227" s="149" t="n"/>
      <c r="Y227" s="148" t="n"/>
      <c r="Z227" s="148" t="n"/>
      <c r="AA227" s="148" t="n"/>
      <c r="AB227" s="148" t="n"/>
      <c r="AC227" s="148" t="n"/>
      <c r="AD227" s="150" t="n"/>
      <c r="AE227" s="151" t="n"/>
      <c r="AF227" s="152" t="n"/>
      <c r="AG227" s="153" t="n"/>
      <c r="AH227" s="154" t="n"/>
      <c r="AJ227" s="391" t="n"/>
    </row>
    <row r="228" customFormat="1" s="141">
      <c r="A228" s="42" t="n"/>
      <c r="B228" s="791" t="n"/>
      <c r="C228" s="789" t="n"/>
      <c r="D228" s="277" t="n"/>
      <c r="E228" s="789" t="n"/>
      <c r="F228" s="789" t="n"/>
      <c r="G228" s="790" t="n"/>
      <c r="H228" s="791" t="n"/>
      <c r="I228" s="791" t="n"/>
      <c r="J228" s="792" t="n"/>
      <c r="K228" s="792" t="n"/>
      <c r="L228" s="792" t="n"/>
      <c r="M228" s="793" t="n"/>
      <c r="O228" s="142" t="n"/>
      <c r="P228" s="142" t="n"/>
      <c r="Q228" s="791" t="n"/>
      <c r="R228" s="791" t="n"/>
      <c r="S228" s="791" t="n"/>
      <c r="T228" s="148" t="n"/>
      <c r="U228" s="148" t="n"/>
      <c r="V228" s="148" t="n"/>
      <c r="W228" s="148" t="n"/>
      <c r="X228" s="149" t="n"/>
      <c r="Y228" s="148" t="n"/>
      <c r="Z228" s="148" t="n"/>
      <c r="AA228" s="148" t="n"/>
      <c r="AB228" s="148" t="n"/>
      <c r="AC228" s="148" t="n"/>
      <c r="AD228" s="150" t="n"/>
      <c r="AE228" s="151" t="n"/>
      <c r="AF228" s="152" t="n"/>
      <c r="AG228" s="153" t="n"/>
      <c r="AH228" s="154" t="n"/>
      <c r="AJ228" s="391" t="n"/>
    </row>
    <row r="229" customFormat="1" s="141">
      <c r="A229" s="42" t="n"/>
      <c r="B229" s="791" t="n"/>
      <c r="C229" s="789" t="n"/>
      <c r="D229" s="277" t="n"/>
      <c r="E229" s="789" t="n"/>
      <c r="F229" s="789" t="n"/>
      <c r="G229" s="790" t="n"/>
      <c r="H229" s="791" t="n"/>
      <c r="I229" s="791" t="n"/>
      <c r="J229" s="792" t="n"/>
      <c r="K229" s="792" t="n"/>
      <c r="L229" s="792" t="n"/>
      <c r="M229" s="793" t="n"/>
      <c r="O229" s="142" t="n"/>
      <c r="P229" s="142" t="n"/>
      <c r="Q229" s="791" t="n"/>
      <c r="R229" s="791" t="n"/>
      <c r="S229" s="791" t="n"/>
      <c r="T229" s="148" t="n"/>
      <c r="U229" s="148" t="n"/>
      <c r="V229" s="148" t="n"/>
      <c r="W229" s="148" t="n"/>
      <c r="X229" s="149" t="n"/>
      <c r="Y229" s="148" t="n"/>
      <c r="Z229" s="148" t="n"/>
      <c r="AA229" s="148" t="n"/>
      <c r="AB229" s="148" t="n"/>
      <c r="AC229" s="148" t="n"/>
      <c r="AD229" s="150" t="n"/>
      <c r="AE229" s="151" t="n"/>
      <c r="AF229" s="152" t="n"/>
      <c r="AG229" s="153" t="n"/>
      <c r="AH229" s="154" t="n"/>
      <c r="AJ229" s="391" t="n"/>
    </row>
    <row r="230" customFormat="1" s="141">
      <c r="A230" s="42" t="n"/>
      <c r="B230" s="791" t="n"/>
      <c r="C230" s="789" t="n"/>
      <c r="D230" s="277" t="n"/>
      <c r="E230" s="789" t="n"/>
      <c r="F230" s="789" t="n"/>
      <c r="G230" s="790" t="n"/>
      <c r="H230" s="791" t="n"/>
      <c r="I230" s="791" t="n"/>
      <c r="J230" s="792" t="n"/>
      <c r="K230" s="792" t="n"/>
      <c r="L230" s="792" t="n"/>
      <c r="M230" s="793" t="n"/>
      <c r="O230" s="142" t="n"/>
      <c r="P230" s="142" t="n"/>
      <c r="Q230" s="791" t="n"/>
      <c r="R230" s="791" t="n"/>
      <c r="S230" s="791" t="n"/>
      <c r="T230" s="148" t="n"/>
      <c r="U230" s="148" t="n"/>
      <c r="V230" s="148" t="n"/>
      <c r="W230" s="148" t="n"/>
      <c r="X230" s="149" t="n"/>
      <c r="Y230" s="148" t="n"/>
      <c r="Z230" s="148" t="n"/>
      <c r="AA230" s="148" t="n"/>
      <c r="AB230" s="148" t="n"/>
      <c r="AC230" s="148" t="n"/>
      <c r="AD230" s="150" t="n"/>
      <c r="AE230" s="151" t="n"/>
      <c r="AF230" s="152" t="n"/>
      <c r="AG230" s="153" t="n"/>
      <c r="AH230" s="154" t="n"/>
      <c r="AJ230" s="391" t="n"/>
    </row>
    <row r="231" customFormat="1" s="141">
      <c r="A231" s="42" t="n"/>
      <c r="B231" s="791" t="n"/>
      <c r="C231" s="789" t="n"/>
      <c r="D231" s="277" t="n"/>
      <c r="E231" s="789" t="n"/>
      <c r="F231" s="789" t="n"/>
      <c r="G231" s="790" t="n"/>
      <c r="H231" s="791" t="n"/>
      <c r="I231" s="791" t="n"/>
      <c r="J231" s="792" t="n"/>
      <c r="K231" s="792" t="n"/>
      <c r="L231" s="792" t="n"/>
      <c r="M231" s="793" t="n"/>
      <c r="O231" s="142" t="n"/>
      <c r="P231" s="142" t="n"/>
      <c r="Q231" s="791" t="n"/>
      <c r="R231" s="791" t="n"/>
      <c r="S231" s="791" t="n"/>
      <c r="T231" s="148" t="n"/>
      <c r="U231" s="148" t="n"/>
      <c r="V231" s="148" t="n"/>
      <c r="W231" s="148" t="n"/>
      <c r="X231" s="149" t="n"/>
      <c r="Y231" s="148" t="n"/>
      <c r="Z231" s="148" t="n"/>
      <c r="AA231" s="148" t="n"/>
      <c r="AB231" s="148" t="n"/>
      <c r="AC231" s="148" t="n"/>
      <c r="AD231" s="150" t="n"/>
      <c r="AE231" s="151" t="n"/>
      <c r="AF231" s="152" t="n"/>
      <c r="AG231" s="153" t="n"/>
      <c r="AH231" s="154" t="n"/>
      <c r="AJ231" s="391" t="n"/>
    </row>
    <row r="232" customFormat="1" s="141">
      <c r="A232" s="42" t="n"/>
      <c r="B232" s="791" t="n"/>
      <c r="C232" s="789" t="n"/>
      <c r="D232" s="277" t="n"/>
      <c r="E232" s="789" t="n"/>
      <c r="F232" s="789" t="n"/>
      <c r="G232" s="790" t="n"/>
      <c r="H232" s="791" t="n"/>
      <c r="I232" s="791" t="n"/>
      <c r="J232" s="792" t="n"/>
      <c r="K232" s="792" t="n"/>
      <c r="L232" s="792" t="n"/>
      <c r="M232" s="793" t="n"/>
      <c r="O232" s="142" t="n"/>
      <c r="P232" s="142" t="n"/>
      <c r="Q232" s="791" t="n"/>
      <c r="R232" s="791" t="n"/>
      <c r="S232" s="791" t="n"/>
      <c r="T232" s="148" t="n"/>
      <c r="U232" s="148" t="n"/>
      <c r="V232" s="148" t="n"/>
      <c r="W232" s="148" t="n"/>
      <c r="X232" s="149" t="n"/>
      <c r="Y232" s="148" t="n"/>
      <c r="Z232" s="148" t="n"/>
      <c r="AA232" s="148" t="n"/>
      <c r="AB232" s="148" t="n"/>
      <c r="AC232" s="148" t="n"/>
      <c r="AD232" s="150" t="n"/>
      <c r="AE232" s="151" t="n"/>
      <c r="AF232" s="152" t="n"/>
      <c r="AG232" s="153" t="n"/>
      <c r="AH232" s="154" t="n"/>
      <c r="AJ232" s="391" t="n"/>
    </row>
    <row r="233" customFormat="1" s="141">
      <c r="A233" s="42" t="n"/>
      <c r="B233" s="791" t="n"/>
      <c r="C233" s="789" t="n"/>
      <c r="D233" s="277" t="n"/>
      <c r="E233" s="789" t="n"/>
      <c r="F233" s="789" t="n"/>
      <c r="G233" s="790" t="n"/>
      <c r="H233" s="791" t="n"/>
      <c r="I233" s="791" t="n"/>
      <c r="J233" s="792" t="n"/>
      <c r="K233" s="792" t="n"/>
      <c r="L233" s="792" t="n"/>
      <c r="M233" s="793" t="n"/>
      <c r="O233" s="142" t="n"/>
      <c r="P233" s="142" t="n"/>
      <c r="Q233" s="791" t="n"/>
      <c r="R233" s="791" t="n"/>
      <c r="S233" s="791" t="n"/>
      <c r="T233" s="148" t="n"/>
      <c r="U233" s="148" t="n"/>
      <c r="V233" s="148" t="n"/>
      <c r="W233" s="148" t="n"/>
      <c r="X233" s="149" t="n"/>
      <c r="Y233" s="148" t="n"/>
      <c r="Z233" s="148" t="n"/>
      <c r="AA233" s="148" t="n"/>
      <c r="AB233" s="148" t="n"/>
      <c r="AC233" s="148" t="n"/>
      <c r="AD233" s="150" t="n"/>
      <c r="AE233" s="151" t="n"/>
      <c r="AF233" s="152" t="n"/>
      <c r="AG233" s="153" t="n"/>
      <c r="AH233" s="154" t="n"/>
      <c r="AJ233" s="391" t="n"/>
    </row>
    <row r="234" customFormat="1" s="141">
      <c r="A234" s="42" t="n"/>
      <c r="B234" s="791" t="n"/>
      <c r="C234" s="789" t="n"/>
      <c r="D234" s="277" t="n"/>
      <c r="E234" s="789" t="n"/>
      <c r="F234" s="789" t="n"/>
      <c r="G234" s="790" t="n"/>
      <c r="H234" s="791" t="n"/>
      <c r="I234" s="791" t="n"/>
      <c r="J234" s="792" t="n"/>
      <c r="K234" s="792" t="n"/>
      <c r="L234" s="792" t="n"/>
      <c r="M234" s="793" t="n"/>
      <c r="O234" s="142" t="n"/>
      <c r="P234" s="142" t="n"/>
      <c r="Q234" s="791" t="n"/>
      <c r="R234" s="791" t="n"/>
      <c r="S234" s="791" t="n"/>
      <c r="T234" s="148" t="n"/>
      <c r="U234" s="148" t="n"/>
      <c r="V234" s="148" t="n"/>
      <c r="W234" s="148" t="n"/>
      <c r="X234" s="149" t="n"/>
      <c r="Y234" s="148" t="n"/>
      <c r="Z234" s="148" t="n"/>
      <c r="AA234" s="148" t="n"/>
      <c r="AB234" s="148" t="n"/>
      <c r="AC234" s="148" t="n"/>
      <c r="AD234" s="150" t="n"/>
      <c r="AE234" s="151" t="n"/>
      <c r="AF234" s="152" t="n"/>
      <c r="AG234" s="153" t="n"/>
      <c r="AH234" s="154" t="n"/>
      <c r="AJ234" s="391" t="n"/>
    </row>
    <row r="235" customFormat="1" s="141">
      <c r="A235" s="42" t="n"/>
      <c r="B235" s="791" t="n"/>
      <c r="C235" s="789" t="n"/>
      <c r="D235" s="277" t="n"/>
      <c r="E235" s="789" t="n"/>
      <c r="F235" s="789" t="n"/>
      <c r="G235" s="790" t="n"/>
      <c r="H235" s="791" t="n"/>
      <c r="I235" s="791" t="n"/>
      <c r="J235" s="792" t="n"/>
      <c r="K235" s="792" t="n"/>
      <c r="L235" s="792" t="n"/>
      <c r="M235" s="793" t="n"/>
      <c r="O235" s="142" t="n"/>
      <c r="P235" s="142" t="n"/>
      <c r="Q235" s="791" t="n"/>
      <c r="R235" s="791" t="n"/>
      <c r="S235" s="791" t="n"/>
      <c r="T235" s="148" t="n"/>
      <c r="U235" s="148" t="n"/>
      <c r="V235" s="148" t="n"/>
      <c r="W235" s="148" t="n"/>
      <c r="X235" s="149" t="n"/>
      <c r="Y235" s="148" t="n"/>
      <c r="Z235" s="148" t="n"/>
      <c r="AA235" s="148" t="n"/>
      <c r="AB235" s="148" t="n"/>
      <c r="AC235" s="148" t="n"/>
      <c r="AD235" s="150" t="n"/>
      <c r="AE235" s="151" t="n"/>
      <c r="AF235" s="152" t="n"/>
      <c r="AG235" s="153" t="n"/>
      <c r="AH235" s="154" t="n"/>
      <c r="AJ235" s="391" t="n"/>
    </row>
    <row r="236" customFormat="1" s="141">
      <c r="A236" s="42" t="n"/>
      <c r="B236" s="791" t="n"/>
      <c r="C236" s="789" t="n"/>
      <c r="D236" s="277" t="n"/>
      <c r="E236" s="789" t="n"/>
      <c r="F236" s="789" t="n"/>
      <c r="G236" s="790" t="n"/>
      <c r="H236" s="791" t="n"/>
      <c r="I236" s="791" t="n"/>
      <c r="J236" s="792" t="n"/>
      <c r="K236" s="792" t="n"/>
      <c r="L236" s="792" t="n"/>
      <c r="M236" s="793" t="n"/>
      <c r="O236" s="142" t="n"/>
      <c r="P236" s="142" t="n"/>
      <c r="Q236" s="791" t="n"/>
      <c r="R236" s="791" t="n"/>
      <c r="S236" s="791" t="n"/>
      <c r="T236" s="148" t="n"/>
      <c r="U236" s="148" t="n"/>
      <c r="V236" s="148" t="n"/>
      <c r="W236" s="148" t="n"/>
      <c r="X236" s="149" t="n"/>
      <c r="Y236" s="148" t="n"/>
      <c r="Z236" s="148" t="n"/>
      <c r="AA236" s="148" t="n"/>
      <c r="AB236" s="148" t="n"/>
      <c r="AC236" s="148" t="n"/>
      <c r="AD236" s="150" t="n"/>
      <c r="AE236" s="151" t="n"/>
      <c r="AF236" s="152" t="n"/>
      <c r="AG236" s="153" t="n"/>
      <c r="AH236" s="154" t="n"/>
      <c r="AJ236" s="391" t="n"/>
    </row>
    <row r="237" customFormat="1" s="141">
      <c r="A237" s="42" t="n"/>
      <c r="B237" s="791" t="n"/>
      <c r="C237" s="789" t="n"/>
      <c r="D237" s="277" t="n"/>
      <c r="E237" s="789" t="n"/>
      <c r="F237" s="789" t="n"/>
      <c r="G237" s="790" t="n"/>
      <c r="H237" s="791" t="n"/>
      <c r="I237" s="791" t="n"/>
      <c r="J237" s="792" t="n"/>
      <c r="K237" s="792" t="n"/>
      <c r="L237" s="792" t="n"/>
      <c r="M237" s="793" t="n"/>
      <c r="O237" s="142" t="n"/>
      <c r="P237" s="142" t="n"/>
      <c r="Q237" s="791" t="n"/>
      <c r="R237" s="791" t="n"/>
      <c r="S237" s="791" t="n"/>
      <c r="T237" s="148" t="n"/>
      <c r="U237" s="148" t="n"/>
      <c r="V237" s="148" t="n"/>
      <c r="W237" s="148" t="n"/>
      <c r="X237" s="149" t="n"/>
      <c r="Y237" s="148" t="n"/>
      <c r="Z237" s="148" t="n"/>
      <c r="AA237" s="148" t="n"/>
      <c r="AB237" s="148" t="n"/>
      <c r="AC237" s="148" t="n"/>
      <c r="AD237" s="150" t="n"/>
      <c r="AE237" s="151" t="n"/>
      <c r="AF237" s="152" t="n"/>
      <c r="AG237" s="153" t="n"/>
      <c r="AH237" s="154" t="n"/>
      <c r="AJ237" s="391" t="n"/>
    </row>
    <row r="238" customFormat="1" s="141">
      <c r="A238" s="42" t="n"/>
      <c r="B238" s="791" t="n"/>
      <c r="C238" s="789" t="n"/>
      <c r="D238" s="277" t="n"/>
      <c r="E238" s="789" t="n"/>
      <c r="F238" s="789" t="n"/>
      <c r="G238" s="790" t="n"/>
      <c r="H238" s="791" t="n"/>
      <c r="I238" s="791" t="n"/>
      <c r="J238" s="792" t="n"/>
      <c r="K238" s="792" t="n"/>
      <c r="L238" s="792" t="n"/>
      <c r="M238" s="793" t="n"/>
      <c r="O238" s="142" t="n"/>
      <c r="P238" s="142" t="n"/>
      <c r="Q238" s="791" t="n"/>
      <c r="R238" s="791" t="n"/>
      <c r="S238" s="791" t="n"/>
      <c r="T238" s="148" t="n"/>
      <c r="U238" s="148" t="n"/>
      <c r="V238" s="148" t="n"/>
      <c r="W238" s="148" t="n"/>
      <c r="X238" s="149" t="n"/>
      <c r="Y238" s="148" t="n"/>
      <c r="Z238" s="148" t="n"/>
      <c r="AA238" s="148" t="n"/>
      <c r="AB238" s="148" t="n"/>
      <c r="AC238" s="148" t="n"/>
      <c r="AD238" s="150" t="n"/>
      <c r="AE238" s="151" t="n"/>
      <c r="AF238" s="152" t="n"/>
      <c r="AG238" s="153" t="n"/>
      <c r="AH238" s="154" t="n"/>
      <c r="AJ238" s="391" t="n"/>
    </row>
    <row r="239" customFormat="1" s="141">
      <c r="A239" s="42" t="n"/>
      <c r="B239" s="791" t="n"/>
      <c r="C239" s="789" t="n"/>
      <c r="D239" s="277" t="n"/>
      <c r="E239" s="789" t="n"/>
      <c r="F239" s="789" t="n"/>
      <c r="G239" s="790" t="n"/>
      <c r="H239" s="791" t="n"/>
      <c r="I239" s="791" t="n"/>
      <c r="J239" s="792" t="n"/>
      <c r="K239" s="792" t="n"/>
      <c r="L239" s="792" t="n"/>
      <c r="M239" s="793" t="n"/>
      <c r="O239" s="142" t="n"/>
      <c r="P239" s="142" t="n"/>
      <c r="Q239" s="791" t="n"/>
      <c r="R239" s="791" t="n"/>
      <c r="S239" s="791" t="n"/>
      <c r="T239" s="148" t="n"/>
      <c r="U239" s="148" t="n"/>
      <c r="V239" s="148" t="n"/>
      <c r="W239" s="148" t="n"/>
      <c r="X239" s="149" t="n"/>
      <c r="Y239" s="148" t="n"/>
      <c r="Z239" s="148" t="n"/>
      <c r="AA239" s="148" t="n"/>
      <c r="AB239" s="148" t="n"/>
      <c r="AC239" s="148" t="n"/>
      <c r="AD239" s="150" t="n"/>
      <c r="AE239" s="151" t="n"/>
      <c r="AF239" s="152" t="n"/>
      <c r="AG239" s="153" t="n"/>
      <c r="AH239" s="154" t="n"/>
      <c r="AJ239" s="391" t="n"/>
    </row>
    <row r="240" customFormat="1" s="141">
      <c r="A240" s="42" t="n"/>
      <c r="B240" s="791" t="n"/>
      <c r="C240" s="789" t="n"/>
      <c r="D240" s="277" t="n"/>
      <c r="E240" s="789" t="n"/>
      <c r="F240" s="789" t="n"/>
      <c r="G240" s="790" t="n"/>
      <c r="H240" s="791" t="n"/>
      <c r="I240" s="791" t="n"/>
      <c r="J240" s="792" t="n"/>
      <c r="K240" s="792" t="n"/>
      <c r="L240" s="792" t="n"/>
      <c r="M240" s="793" t="n"/>
      <c r="O240" s="142" t="n"/>
      <c r="P240" s="142" t="n"/>
      <c r="Q240" s="791" t="n"/>
      <c r="R240" s="791" t="n"/>
      <c r="S240" s="791" t="n"/>
      <c r="T240" s="148" t="n"/>
      <c r="U240" s="148" t="n"/>
      <c r="V240" s="148" t="n"/>
      <c r="W240" s="148" t="n"/>
      <c r="X240" s="149" t="n"/>
      <c r="Y240" s="148" t="n"/>
      <c r="Z240" s="148" t="n"/>
      <c r="AA240" s="148" t="n"/>
      <c r="AB240" s="148" t="n"/>
      <c r="AC240" s="148" t="n"/>
      <c r="AD240" s="150" t="n"/>
      <c r="AE240" s="151" t="n"/>
      <c r="AF240" s="152" t="n"/>
      <c r="AG240" s="153" t="n"/>
      <c r="AH240" s="154" t="n"/>
      <c r="AJ240" s="391" t="n"/>
    </row>
    <row r="241" customFormat="1" s="141">
      <c r="A241" s="42" t="n"/>
      <c r="B241" s="791" t="n"/>
      <c r="C241" s="789" t="n"/>
      <c r="D241" s="277" t="n"/>
      <c r="E241" s="789" t="n"/>
      <c r="F241" s="789" t="n"/>
      <c r="G241" s="790" t="n"/>
      <c r="H241" s="791" t="n"/>
      <c r="I241" s="791" t="n"/>
      <c r="J241" s="792" t="n"/>
      <c r="K241" s="792" t="n"/>
      <c r="L241" s="792" t="n"/>
      <c r="M241" s="793" t="n"/>
      <c r="O241" s="142" t="n"/>
      <c r="P241" s="142" t="n"/>
      <c r="Q241" s="791" t="n"/>
      <c r="R241" s="791" t="n"/>
      <c r="S241" s="791" t="n"/>
      <c r="T241" s="148" t="n"/>
      <c r="U241" s="148" t="n"/>
      <c r="V241" s="148" t="n"/>
      <c r="W241" s="148" t="n"/>
      <c r="X241" s="149" t="n"/>
      <c r="Y241" s="148" t="n"/>
      <c r="Z241" s="148" t="n"/>
      <c r="AA241" s="148" t="n"/>
      <c r="AB241" s="148" t="n"/>
      <c r="AC241" s="148" t="n"/>
      <c r="AD241" s="150" t="n"/>
      <c r="AE241" s="151" t="n"/>
      <c r="AF241" s="152" t="n"/>
      <c r="AG241" s="153" t="n"/>
      <c r="AH241" s="154" t="n"/>
      <c r="AJ241" s="391" t="n"/>
    </row>
    <row r="242" customFormat="1" s="141">
      <c r="A242" s="42" t="n"/>
      <c r="B242" s="791" t="n"/>
      <c r="C242" s="789" t="n"/>
      <c r="D242" s="277" t="n"/>
      <c r="E242" s="789" t="n"/>
      <c r="F242" s="789" t="n"/>
      <c r="G242" s="790" t="n"/>
      <c r="H242" s="791" t="n"/>
      <c r="I242" s="791" t="n"/>
      <c r="J242" s="792" t="n"/>
      <c r="K242" s="792" t="n"/>
      <c r="L242" s="792" t="n"/>
      <c r="M242" s="793" t="n"/>
      <c r="O242" s="142" t="n"/>
      <c r="P242" s="142" t="n"/>
      <c r="Q242" s="791" t="n"/>
      <c r="R242" s="791" t="n"/>
      <c r="S242" s="791" t="n"/>
      <c r="T242" s="148" t="n"/>
      <c r="U242" s="148" t="n"/>
      <c r="V242" s="148" t="n"/>
      <c r="W242" s="148" t="n"/>
      <c r="X242" s="149" t="n"/>
      <c r="Y242" s="148" t="n"/>
      <c r="Z242" s="148" t="n"/>
      <c r="AA242" s="148" t="n"/>
      <c r="AB242" s="148" t="n"/>
      <c r="AC242" s="148" t="n"/>
      <c r="AD242" s="150" t="n"/>
      <c r="AE242" s="151" t="n"/>
      <c r="AF242" s="152" t="n"/>
      <c r="AG242" s="153" t="n"/>
      <c r="AH242" s="154" t="n"/>
      <c r="AJ242" s="391" t="n"/>
    </row>
    <row r="243" customFormat="1" s="141">
      <c r="A243" s="42" t="n"/>
      <c r="B243" s="791" t="n"/>
      <c r="C243" s="789" t="n"/>
      <c r="D243" s="277" t="n"/>
      <c r="E243" s="789" t="n"/>
      <c r="F243" s="789" t="n"/>
      <c r="G243" s="790" t="n"/>
      <c r="H243" s="791" t="n"/>
      <c r="I243" s="791" t="n"/>
      <c r="J243" s="792" t="n"/>
      <c r="K243" s="792" t="n"/>
      <c r="L243" s="792" t="n"/>
      <c r="M243" s="793" t="n"/>
      <c r="O243" s="142" t="n"/>
      <c r="P243" s="142" t="n"/>
      <c r="Q243" s="791" t="n"/>
      <c r="R243" s="791" t="n"/>
      <c r="S243" s="791" t="n"/>
      <c r="T243" s="148" t="n"/>
      <c r="U243" s="148" t="n"/>
      <c r="V243" s="148" t="n"/>
      <c r="W243" s="148" t="n"/>
      <c r="X243" s="149" t="n"/>
      <c r="Y243" s="148" t="n"/>
      <c r="Z243" s="148" t="n"/>
      <c r="AA243" s="148" t="n"/>
      <c r="AB243" s="148" t="n"/>
      <c r="AC243" s="148" t="n"/>
      <c r="AD243" s="150" t="n"/>
      <c r="AE243" s="151" t="n"/>
      <c r="AF243" s="152" t="n"/>
      <c r="AG243" s="153" t="n"/>
      <c r="AH243" s="154" t="n"/>
      <c r="AJ243" s="391" t="n"/>
    </row>
    <row r="244" customFormat="1" s="141">
      <c r="A244" s="42" t="n"/>
      <c r="B244" s="791" t="n"/>
      <c r="C244" s="789" t="n"/>
      <c r="D244" s="277" t="n"/>
      <c r="E244" s="789" t="n"/>
      <c r="F244" s="789" t="n"/>
      <c r="G244" s="790" t="n"/>
      <c r="H244" s="791" t="n"/>
      <c r="I244" s="791" t="n"/>
      <c r="J244" s="792" t="n"/>
      <c r="K244" s="792" t="n"/>
      <c r="L244" s="792" t="n"/>
      <c r="M244" s="793" t="n"/>
      <c r="O244" s="142" t="n"/>
      <c r="P244" s="142" t="n"/>
      <c r="Q244" s="791" t="n"/>
      <c r="R244" s="791" t="n"/>
      <c r="S244" s="791" t="n"/>
      <c r="T244" s="148" t="n"/>
      <c r="U244" s="148" t="n"/>
      <c r="V244" s="148" t="n"/>
      <c r="W244" s="148" t="n"/>
      <c r="X244" s="149" t="n"/>
      <c r="Y244" s="148" t="n"/>
      <c r="Z244" s="148" t="n"/>
      <c r="AA244" s="148" t="n"/>
      <c r="AB244" s="148" t="n"/>
      <c r="AC244" s="148" t="n"/>
      <c r="AD244" s="150" t="n"/>
      <c r="AE244" s="151" t="n"/>
      <c r="AF244" s="152" t="n"/>
      <c r="AG244" s="153" t="n"/>
      <c r="AH244" s="154" t="n"/>
      <c r="AJ244" s="391" t="n"/>
    </row>
    <row r="245" customFormat="1" s="141">
      <c r="A245" s="42" t="n"/>
      <c r="B245" s="791" t="n"/>
      <c r="C245" s="789" t="n"/>
      <c r="D245" s="277" t="n"/>
      <c r="E245" s="789" t="n"/>
      <c r="F245" s="789" t="n"/>
      <c r="G245" s="790" t="n"/>
      <c r="H245" s="791" t="n"/>
      <c r="I245" s="791" t="n"/>
      <c r="J245" s="792" t="n"/>
      <c r="K245" s="792" t="n"/>
      <c r="L245" s="792" t="n"/>
      <c r="M245" s="793" t="n"/>
      <c r="O245" s="142" t="n"/>
      <c r="P245" s="142" t="n"/>
      <c r="Q245" s="791" t="n"/>
      <c r="R245" s="791" t="n"/>
      <c r="S245" s="791" t="n"/>
      <c r="T245" s="148" t="n"/>
      <c r="U245" s="148" t="n"/>
      <c r="V245" s="148" t="n"/>
      <c r="W245" s="148" t="n"/>
      <c r="X245" s="149" t="n"/>
      <c r="Y245" s="148" t="n"/>
      <c r="Z245" s="148" t="n"/>
      <c r="AA245" s="148" t="n"/>
      <c r="AB245" s="148" t="n"/>
      <c r="AC245" s="148" t="n"/>
      <c r="AD245" s="150" t="n"/>
      <c r="AE245" s="151" t="n"/>
      <c r="AF245" s="152" t="n"/>
      <c r="AG245" s="153" t="n"/>
      <c r="AH245" s="154" t="n"/>
      <c r="AJ245" s="391" t="n"/>
    </row>
    <row r="246" customFormat="1" s="141">
      <c r="A246" s="42" t="n"/>
      <c r="B246" s="791" t="n"/>
      <c r="C246" s="789" t="n"/>
      <c r="D246" s="277" t="n"/>
      <c r="E246" s="789" t="n"/>
      <c r="F246" s="789" t="n"/>
      <c r="G246" s="790" t="n"/>
      <c r="H246" s="791" t="n"/>
      <c r="I246" s="791" t="n"/>
      <c r="J246" s="792" t="n"/>
      <c r="K246" s="792" t="n"/>
      <c r="L246" s="792" t="n"/>
      <c r="M246" s="793" t="n"/>
      <c r="O246" s="142" t="n"/>
      <c r="P246" s="142" t="n"/>
      <c r="Q246" s="791" t="n"/>
      <c r="R246" s="791" t="n"/>
      <c r="S246" s="791" t="n"/>
      <c r="T246" s="148" t="n"/>
      <c r="U246" s="148" t="n"/>
      <c r="V246" s="148" t="n"/>
      <c r="W246" s="148" t="n"/>
      <c r="X246" s="149" t="n"/>
      <c r="Y246" s="148" t="n"/>
      <c r="Z246" s="148" t="n"/>
      <c r="AA246" s="148" t="n"/>
      <c r="AB246" s="148" t="n"/>
      <c r="AC246" s="148" t="n"/>
      <c r="AD246" s="150" t="n"/>
      <c r="AE246" s="151" t="n"/>
      <c r="AF246" s="152" t="n"/>
      <c r="AG246" s="153" t="n"/>
      <c r="AH246" s="154" t="n"/>
      <c r="AJ246" s="391" t="n"/>
    </row>
    <row r="247" customFormat="1" s="141">
      <c r="A247" s="42" t="n"/>
      <c r="B247" s="791" t="n"/>
      <c r="C247" s="789" t="n"/>
      <c r="D247" s="277" t="n"/>
      <c r="E247" s="789" t="n"/>
      <c r="F247" s="789" t="n"/>
      <c r="G247" s="790" t="n"/>
      <c r="H247" s="791" t="n"/>
      <c r="I247" s="791" t="n"/>
      <c r="J247" s="792" t="n"/>
      <c r="K247" s="792" t="n"/>
      <c r="L247" s="792" t="n"/>
      <c r="M247" s="793" t="n"/>
      <c r="O247" s="142" t="n"/>
      <c r="P247" s="142" t="n"/>
      <c r="Q247" s="791" t="n"/>
      <c r="R247" s="791" t="n"/>
      <c r="S247" s="791" t="n"/>
      <c r="T247" s="148" t="n"/>
      <c r="U247" s="148" t="n"/>
      <c r="V247" s="148" t="n"/>
      <c r="W247" s="148" t="n"/>
      <c r="X247" s="149" t="n"/>
      <c r="Y247" s="148" t="n"/>
      <c r="Z247" s="148" t="n"/>
      <c r="AA247" s="148" t="n"/>
      <c r="AB247" s="148" t="n"/>
      <c r="AC247" s="148" t="n"/>
      <c r="AD247" s="150" t="n"/>
      <c r="AE247" s="151" t="n"/>
      <c r="AF247" s="152" t="n"/>
      <c r="AG247" s="153" t="n"/>
      <c r="AH247" s="154" t="n"/>
      <c r="AJ247" s="391" t="n"/>
    </row>
    <row r="248" customFormat="1" s="141">
      <c r="A248" s="42" t="n"/>
      <c r="B248" s="791" t="n"/>
      <c r="C248" s="789" t="n"/>
      <c r="D248" s="277" t="n"/>
      <c r="E248" s="789" t="n"/>
      <c r="F248" s="789" t="n"/>
      <c r="G248" s="790" t="n"/>
      <c r="H248" s="791" t="n"/>
      <c r="I248" s="791" t="n"/>
      <c r="J248" s="792" t="n"/>
      <c r="K248" s="792" t="n"/>
      <c r="L248" s="792" t="n"/>
      <c r="M248" s="793" t="n"/>
      <c r="O248" s="142" t="n"/>
      <c r="P248" s="142" t="n"/>
      <c r="Q248" s="791" t="n"/>
      <c r="R248" s="791" t="n"/>
      <c r="S248" s="791" t="n"/>
      <c r="T248" s="148" t="n"/>
      <c r="U248" s="148" t="n"/>
      <c r="V248" s="148" t="n"/>
      <c r="W248" s="148" t="n"/>
      <c r="X248" s="149" t="n"/>
      <c r="Y248" s="148" t="n"/>
      <c r="Z248" s="148" t="n"/>
      <c r="AA248" s="148" t="n"/>
      <c r="AB248" s="148" t="n"/>
      <c r="AC248" s="148" t="n"/>
      <c r="AD248" s="150" t="n"/>
      <c r="AE248" s="151" t="n"/>
      <c r="AF248" s="152" t="n"/>
      <c r="AG248" s="153" t="n"/>
      <c r="AH248" s="154" t="n"/>
      <c r="AJ248" s="391" t="n"/>
    </row>
    <row r="249" customFormat="1" s="141">
      <c r="A249" s="42" t="n"/>
      <c r="B249" s="791" t="n"/>
      <c r="C249" s="789" t="n"/>
      <c r="D249" s="277" t="n"/>
      <c r="E249" s="789" t="n"/>
      <c r="F249" s="789" t="n"/>
      <c r="G249" s="790" t="n"/>
      <c r="H249" s="791" t="n"/>
      <c r="I249" s="791" t="n"/>
      <c r="J249" s="792" t="n"/>
      <c r="K249" s="792" t="n"/>
      <c r="L249" s="792" t="n"/>
      <c r="M249" s="793" t="n"/>
      <c r="O249" s="142" t="n"/>
      <c r="P249" s="142" t="n"/>
      <c r="Q249" s="791" t="n"/>
      <c r="R249" s="791" t="n"/>
      <c r="S249" s="791" t="n"/>
      <c r="T249" s="148" t="n"/>
      <c r="U249" s="148" t="n"/>
      <c r="V249" s="148" t="n"/>
      <c r="W249" s="148" t="n"/>
      <c r="X249" s="149" t="n"/>
      <c r="Y249" s="148" t="n"/>
      <c r="Z249" s="148" t="n"/>
      <c r="AA249" s="148" t="n"/>
      <c r="AB249" s="148" t="n"/>
      <c r="AC249" s="148" t="n"/>
      <c r="AD249" s="150" t="n"/>
      <c r="AE249" s="151" t="n"/>
      <c r="AF249" s="152" t="n"/>
      <c r="AG249" s="153" t="n"/>
      <c r="AH249" s="154" t="n"/>
      <c r="AJ249" s="391" t="n"/>
    </row>
    <row r="250" customFormat="1" s="141">
      <c r="A250" s="42" t="n"/>
      <c r="B250" s="791" t="n"/>
      <c r="C250" s="789" t="n"/>
      <c r="D250" s="277" t="n"/>
      <c r="E250" s="789" t="n"/>
      <c r="F250" s="789" t="n"/>
      <c r="G250" s="790" t="n"/>
      <c r="H250" s="791" t="n"/>
      <c r="I250" s="791" t="n"/>
      <c r="J250" s="792" t="n"/>
      <c r="K250" s="792" t="n"/>
      <c r="L250" s="792" t="n"/>
      <c r="M250" s="793" t="n"/>
      <c r="O250" s="142" t="n"/>
      <c r="P250" s="142" t="n"/>
      <c r="Q250" s="791" t="n"/>
      <c r="R250" s="791" t="n"/>
      <c r="S250" s="791" t="n"/>
      <c r="T250" s="148" t="n"/>
      <c r="U250" s="148" t="n"/>
      <c r="V250" s="148" t="n"/>
      <c r="W250" s="148" t="n"/>
      <c r="X250" s="149" t="n"/>
      <c r="Y250" s="148" t="n"/>
      <c r="Z250" s="148" t="n"/>
      <c r="AA250" s="148" t="n"/>
      <c r="AB250" s="148" t="n"/>
      <c r="AC250" s="148" t="n"/>
      <c r="AD250" s="150" t="n"/>
      <c r="AE250" s="151" t="n"/>
      <c r="AF250" s="152" t="n"/>
      <c r="AG250" s="153" t="n"/>
      <c r="AH250" s="154" t="n"/>
      <c r="AJ250" s="391" t="n"/>
    </row>
    <row r="251" customFormat="1" s="141">
      <c r="A251" s="42" t="n"/>
      <c r="B251" s="791" t="n"/>
      <c r="C251" s="789" t="n"/>
      <c r="D251" s="277" t="n"/>
      <c r="E251" s="789" t="n"/>
      <c r="F251" s="789" t="n"/>
      <c r="G251" s="790" t="n"/>
      <c r="H251" s="791" t="n"/>
      <c r="I251" s="791" t="n"/>
      <c r="J251" s="792" t="n"/>
      <c r="K251" s="792" t="n"/>
      <c r="L251" s="792" t="n"/>
      <c r="M251" s="793" t="n"/>
      <c r="O251" s="142" t="n"/>
      <c r="P251" s="142" t="n"/>
      <c r="Q251" s="791" t="n"/>
      <c r="R251" s="791" t="n"/>
      <c r="S251" s="791" t="n"/>
      <c r="T251" s="148" t="n"/>
      <c r="U251" s="148" t="n"/>
      <c r="V251" s="148" t="n"/>
      <c r="W251" s="148" t="n"/>
      <c r="X251" s="149" t="n"/>
      <c r="Y251" s="148" t="n"/>
      <c r="Z251" s="148" t="n"/>
      <c r="AA251" s="148" t="n"/>
      <c r="AB251" s="148" t="n"/>
      <c r="AC251" s="148" t="n"/>
      <c r="AD251" s="150" t="n"/>
      <c r="AE251" s="151" t="n"/>
      <c r="AF251" s="152" t="n"/>
      <c r="AG251" s="153" t="n"/>
      <c r="AH251" s="154" t="n"/>
      <c r="AJ251" s="391" t="n"/>
    </row>
    <row r="252" customFormat="1" s="141">
      <c r="A252" s="42" t="n"/>
      <c r="B252" s="791" t="n"/>
      <c r="C252" s="789" t="n"/>
      <c r="D252" s="277" t="n"/>
      <c r="E252" s="789" t="n"/>
      <c r="F252" s="789" t="n"/>
      <c r="G252" s="790" t="n"/>
      <c r="H252" s="791" t="n"/>
      <c r="I252" s="791" t="n"/>
      <c r="J252" s="792" t="n"/>
      <c r="K252" s="792" t="n"/>
      <c r="L252" s="792" t="n"/>
      <c r="M252" s="793" t="n"/>
      <c r="O252" s="142" t="n"/>
      <c r="P252" s="142" t="n"/>
      <c r="Q252" s="791" t="n"/>
      <c r="R252" s="791" t="n"/>
      <c r="S252" s="791" t="n"/>
      <c r="T252" s="148" t="n"/>
      <c r="U252" s="148" t="n"/>
      <c r="V252" s="148" t="n"/>
      <c r="W252" s="148" t="n"/>
      <c r="X252" s="149" t="n"/>
      <c r="Y252" s="148" t="n"/>
      <c r="Z252" s="148" t="n"/>
      <c r="AA252" s="148" t="n"/>
      <c r="AB252" s="148" t="n"/>
      <c r="AC252" s="148" t="n"/>
      <c r="AD252" s="150" t="n"/>
      <c r="AE252" s="151" t="n"/>
      <c r="AF252" s="152" t="n"/>
      <c r="AG252" s="153" t="n"/>
      <c r="AH252" s="154" t="n"/>
      <c r="AJ252" s="391" t="n"/>
    </row>
    <row r="253" customFormat="1" s="141">
      <c r="A253" s="42" t="n"/>
      <c r="B253" s="791" t="n"/>
      <c r="C253" s="789" t="n"/>
      <c r="D253" s="277" t="n"/>
      <c r="E253" s="789" t="n"/>
      <c r="F253" s="789" t="n"/>
      <c r="G253" s="790" t="n"/>
      <c r="H253" s="791" t="n"/>
      <c r="I253" s="791" t="n"/>
      <c r="J253" s="792" t="n"/>
      <c r="K253" s="792" t="n"/>
      <c r="L253" s="792" t="n"/>
      <c r="M253" s="793" t="n"/>
      <c r="O253" s="142" t="n"/>
      <c r="P253" s="142" t="n"/>
      <c r="Q253" s="791" t="n"/>
      <c r="R253" s="791" t="n"/>
      <c r="S253" s="791" t="n"/>
      <c r="T253" s="148" t="n"/>
      <c r="U253" s="148" t="n"/>
      <c r="V253" s="148" t="n"/>
      <c r="W253" s="148" t="n"/>
      <c r="X253" s="149" t="n"/>
      <c r="Y253" s="148" t="n"/>
      <c r="Z253" s="148" t="n"/>
      <c r="AA253" s="148" t="n"/>
      <c r="AB253" s="148" t="n"/>
      <c r="AC253" s="148" t="n"/>
      <c r="AD253" s="150" t="n"/>
      <c r="AE253" s="151" t="n"/>
      <c r="AF253" s="152" t="n"/>
      <c r="AG253" s="153" t="n"/>
      <c r="AH253" s="154" t="n"/>
      <c r="AJ253" s="391" t="n"/>
    </row>
    <row r="254" customFormat="1" s="141">
      <c r="A254" s="42" t="n"/>
      <c r="B254" s="791" t="n"/>
      <c r="C254" s="789" t="n"/>
      <c r="D254" s="277" t="n"/>
      <c r="E254" s="789" t="n"/>
      <c r="F254" s="789" t="n"/>
      <c r="G254" s="790" t="n"/>
      <c r="H254" s="791" t="n"/>
      <c r="I254" s="791" t="n"/>
      <c r="J254" s="792" t="n"/>
      <c r="K254" s="792" t="n"/>
      <c r="L254" s="792" t="n"/>
      <c r="M254" s="793" t="n"/>
      <c r="O254" s="142" t="n"/>
      <c r="P254" s="142" t="n"/>
      <c r="Q254" s="791" t="n"/>
      <c r="R254" s="791" t="n"/>
      <c r="S254" s="791" t="n"/>
      <c r="T254" s="148" t="n"/>
      <c r="U254" s="148" t="n"/>
      <c r="V254" s="148" t="n"/>
      <c r="W254" s="148" t="n"/>
      <c r="X254" s="149" t="n"/>
      <c r="Y254" s="148" t="n"/>
      <c r="Z254" s="148" t="n"/>
      <c r="AA254" s="148" t="n"/>
      <c r="AB254" s="148" t="n"/>
      <c r="AC254" s="148" t="n"/>
      <c r="AD254" s="150" t="n"/>
      <c r="AE254" s="151" t="n"/>
      <c r="AF254" s="152" t="n"/>
      <c r="AG254" s="153" t="n"/>
      <c r="AH254" s="154" t="n"/>
      <c r="AJ254" s="391" t="n"/>
    </row>
    <row r="255" customFormat="1" s="141">
      <c r="A255" s="42" t="n"/>
      <c r="B255" s="791" t="n"/>
      <c r="C255" s="789" t="n"/>
      <c r="D255" s="277" t="n"/>
      <c r="E255" s="789" t="n"/>
      <c r="F255" s="789" t="n"/>
      <c r="G255" s="790" t="n"/>
      <c r="H255" s="791" t="n"/>
      <c r="I255" s="791" t="n"/>
      <c r="J255" s="792" t="n"/>
      <c r="K255" s="792" t="n"/>
      <c r="L255" s="792" t="n"/>
      <c r="M255" s="793" t="n"/>
      <c r="O255" s="142" t="n"/>
      <c r="P255" s="142" t="n"/>
      <c r="Q255" s="791" t="n"/>
      <c r="R255" s="791" t="n"/>
      <c r="S255" s="791" t="n"/>
      <c r="T255" s="148" t="n"/>
      <c r="U255" s="148" t="n"/>
      <c r="V255" s="148" t="n"/>
      <c r="W255" s="148" t="n"/>
      <c r="X255" s="149" t="n"/>
      <c r="Y255" s="148" t="n"/>
      <c r="Z255" s="148" t="n"/>
      <c r="AA255" s="148" t="n"/>
      <c r="AB255" s="148" t="n"/>
      <c r="AC255" s="148" t="n"/>
      <c r="AD255" s="150" t="n"/>
      <c r="AE255" s="151" t="n"/>
      <c r="AF255" s="152" t="n"/>
      <c r="AG255" s="153" t="n"/>
      <c r="AH255" s="154" t="n"/>
      <c r="AJ255" s="391" t="n"/>
    </row>
    <row r="256" customFormat="1" s="141">
      <c r="A256" s="42" t="n"/>
      <c r="B256" s="791" t="n"/>
      <c r="C256" s="789" t="n"/>
      <c r="D256" s="277" t="n"/>
      <c r="E256" s="789" t="n"/>
      <c r="F256" s="789" t="n"/>
      <c r="G256" s="790" t="n"/>
      <c r="H256" s="791" t="n"/>
      <c r="I256" s="791" t="n"/>
      <c r="J256" s="792" t="n"/>
      <c r="K256" s="792" t="n"/>
      <c r="L256" s="792" t="n"/>
      <c r="M256" s="793" t="n"/>
      <c r="O256" s="142" t="n"/>
      <c r="P256" s="142" t="n"/>
      <c r="Q256" s="791" t="n"/>
      <c r="R256" s="791" t="n"/>
      <c r="S256" s="791" t="n"/>
      <c r="T256" s="148" t="n"/>
      <c r="U256" s="148" t="n"/>
      <c r="V256" s="148" t="n"/>
      <c r="W256" s="148" t="n"/>
      <c r="X256" s="149" t="n"/>
      <c r="Y256" s="148" t="n"/>
      <c r="Z256" s="148" t="n"/>
      <c r="AA256" s="148" t="n"/>
      <c r="AB256" s="148" t="n"/>
      <c r="AC256" s="148" t="n"/>
      <c r="AD256" s="150" t="n"/>
      <c r="AE256" s="151" t="n"/>
      <c r="AF256" s="152" t="n"/>
      <c r="AG256" s="153" t="n"/>
      <c r="AH256" s="154" t="n"/>
      <c r="AJ256" s="391" t="n"/>
    </row>
    <row r="257" customFormat="1" s="141">
      <c r="A257" s="42" t="n"/>
      <c r="B257" s="791" t="n"/>
      <c r="C257" s="789" t="n"/>
      <c r="D257" s="277" t="n"/>
      <c r="E257" s="789" t="n"/>
      <c r="F257" s="789" t="n"/>
      <c r="G257" s="790" t="n"/>
      <c r="H257" s="791" t="n"/>
      <c r="I257" s="791" t="n"/>
      <c r="J257" s="792" t="n"/>
      <c r="K257" s="792" t="n"/>
      <c r="L257" s="792" t="n"/>
      <c r="M257" s="793" t="n"/>
      <c r="O257" s="142" t="n"/>
      <c r="P257" s="142" t="n"/>
      <c r="Q257" s="791" t="n"/>
      <c r="R257" s="791" t="n"/>
      <c r="S257" s="791" t="n"/>
      <c r="T257" s="148" t="n"/>
      <c r="U257" s="148" t="n"/>
      <c r="V257" s="148" t="n"/>
      <c r="W257" s="148" t="n"/>
      <c r="X257" s="149" t="n"/>
      <c r="Y257" s="148" t="n"/>
      <c r="Z257" s="148" t="n"/>
      <c r="AA257" s="148" t="n"/>
      <c r="AB257" s="148" t="n"/>
      <c r="AC257" s="148" t="n"/>
      <c r="AD257" s="150" t="n"/>
      <c r="AE257" s="151" t="n"/>
      <c r="AF257" s="152" t="n"/>
      <c r="AG257" s="153" t="n"/>
      <c r="AH257" s="154" t="n"/>
      <c r="AJ257" s="391" t="n"/>
    </row>
    <row r="258" customFormat="1" s="141">
      <c r="A258" s="42" t="n"/>
      <c r="B258" s="791" t="n"/>
      <c r="C258" s="789" t="n"/>
      <c r="D258" s="277" t="n"/>
      <c r="E258" s="789" t="n"/>
      <c r="F258" s="789" t="n"/>
      <c r="G258" s="790" t="n"/>
      <c r="H258" s="791" t="n"/>
      <c r="I258" s="791" t="n"/>
      <c r="J258" s="792" t="n"/>
      <c r="K258" s="792" t="n"/>
      <c r="L258" s="792" t="n"/>
      <c r="M258" s="793" t="n"/>
      <c r="O258" s="142" t="n"/>
      <c r="P258" s="142" t="n"/>
      <c r="Q258" s="791" t="n"/>
      <c r="R258" s="791" t="n"/>
      <c r="S258" s="791" t="n"/>
      <c r="T258" s="148" t="n"/>
      <c r="U258" s="148" t="n"/>
      <c r="V258" s="148" t="n"/>
      <c r="W258" s="148" t="n"/>
      <c r="X258" s="149" t="n"/>
      <c r="Y258" s="148" t="n"/>
      <c r="Z258" s="148" t="n"/>
      <c r="AA258" s="148" t="n"/>
      <c r="AB258" s="148" t="n"/>
      <c r="AC258" s="148" t="n"/>
      <c r="AD258" s="150" t="n"/>
      <c r="AE258" s="151" t="n"/>
      <c r="AF258" s="152" t="n"/>
      <c r="AG258" s="153" t="n"/>
      <c r="AH258" s="154" t="n"/>
      <c r="AJ258" s="391" t="n"/>
    </row>
    <row r="259" customFormat="1" s="141">
      <c r="A259" s="42" t="n"/>
      <c r="B259" s="791" t="n"/>
      <c r="C259" s="789" t="n"/>
      <c r="D259" s="277" t="n"/>
      <c r="E259" s="789" t="n"/>
      <c r="F259" s="789" t="n"/>
      <c r="G259" s="790" t="n"/>
      <c r="H259" s="791" t="n"/>
      <c r="I259" s="791" t="n"/>
      <c r="J259" s="792" t="n"/>
      <c r="K259" s="792" t="n"/>
      <c r="L259" s="792" t="n"/>
      <c r="M259" s="793" t="n"/>
      <c r="O259" s="142" t="n"/>
      <c r="P259" s="142" t="n"/>
      <c r="Q259" s="791" t="n"/>
      <c r="R259" s="791" t="n"/>
      <c r="S259" s="791" t="n"/>
      <c r="T259" s="148" t="n"/>
      <c r="U259" s="148" t="n"/>
      <c r="V259" s="148" t="n"/>
      <c r="W259" s="148" t="n"/>
      <c r="X259" s="149" t="n"/>
      <c r="Y259" s="148" t="n"/>
      <c r="Z259" s="148" t="n"/>
      <c r="AA259" s="148" t="n"/>
      <c r="AB259" s="148" t="n"/>
      <c r="AC259" s="148" t="n"/>
      <c r="AD259" s="150" t="n"/>
      <c r="AE259" s="151" t="n"/>
      <c r="AF259" s="152" t="n"/>
      <c r="AG259" s="153" t="n"/>
      <c r="AH259" s="154" t="n"/>
      <c r="AJ259" s="391" t="n"/>
    </row>
    <row r="260" customFormat="1" s="141">
      <c r="A260" s="42" t="n"/>
      <c r="B260" s="791" t="n"/>
      <c r="C260" s="789" t="n"/>
      <c r="D260" s="277" t="n"/>
      <c r="E260" s="789" t="n"/>
      <c r="F260" s="789" t="n"/>
      <c r="G260" s="790" t="n"/>
      <c r="H260" s="791" t="n"/>
      <c r="I260" s="791" t="n"/>
      <c r="J260" s="792" t="n"/>
      <c r="K260" s="792" t="n"/>
      <c r="L260" s="792" t="n"/>
      <c r="M260" s="793" t="n"/>
      <c r="O260" s="142" t="n"/>
      <c r="P260" s="142" t="n"/>
      <c r="Q260" s="791" t="n"/>
      <c r="R260" s="791" t="n"/>
      <c r="S260" s="791" t="n"/>
      <c r="T260" s="148" t="n"/>
      <c r="U260" s="148" t="n"/>
      <c r="V260" s="148" t="n"/>
      <c r="W260" s="148" t="n"/>
      <c r="X260" s="149" t="n"/>
      <c r="Y260" s="148" t="n"/>
      <c r="Z260" s="148" t="n"/>
      <c r="AA260" s="148" t="n"/>
      <c r="AB260" s="148" t="n"/>
      <c r="AC260" s="148" t="n"/>
      <c r="AD260" s="150" t="n"/>
      <c r="AE260" s="151" t="n"/>
      <c r="AF260" s="152" t="n"/>
      <c r="AG260" s="153" t="n"/>
      <c r="AH260" s="154" t="n"/>
      <c r="AJ260" s="391" t="n"/>
    </row>
    <row r="261" customFormat="1" s="141">
      <c r="A261" s="42" t="n"/>
      <c r="B261" s="791" t="n"/>
      <c r="C261" s="789" t="n"/>
      <c r="D261" s="277" t="n"/>
      <c r="E261" s="789" t="n"/>
      <c r="F261" s="789" t="n"/>
      <c r="G261" s="790" t="n"/>
      <c r="H261" s="791" t="n"/>
      <c r="I261" s="791" t="n"/>
      <c r="J261" s="792" t="n"/>
      <c r="K261" s="792" t="n"/>
      <c r="L261" s="792" t="n"/>
      <c r="M261" s="793" t="n"/>
      <c r="O261" s="142" t="n"/>
      <c r="P261" s="142" t="n"/>
      <c r="Q261" s="791" t="n"/>
      <c r="R261" s="791" t="n"/>
      <c r="S261" s="791" t="n"/>
      <c r="T261" s="148" t="n"/>
      <c r="U261" s="148" t="n"/>
      <c r="V261" s="148" t="n"/>
      <c r="W261" s="148" t="n"/>
      <c r="X261" s="149" t="n"/>
      <c r="Y261" s="148" t="n"/>
      <c r="Z261" s="148" t="n"/>
      <c r="AA261" s="148" t="n"/>
      <c r="AB261" s="148" t="n"/>
      <c r="AC261" s="148" t="n"/>
      <c r="AD261" s="150" t="n"/>
      <c r="AE261" s="151" t="n"/>
      <c r="AF261" s="152" t="n"/>
      <c r="AG261" s="153" t="n"/>
      <c r="AH261" s="154" t="n"/>
      <c r="AJ261" s="391" t="n"/>
    </row>
    <row r="262" customFormat="1" s="141">
      <c r="A262" s="42" t="n"/>
      <c r="B262" s="791" t="n"/>
      <c r="C262" s="789" t="n"/>
      <c r="D262" s="277" t="n"/>
      <c r="E262" s="789" t="n"/>
      <c r="F262" s="789" t="n"/>
      <c r="G262" s="790" t="n"/>
      <c r="H262" s="791" t="n"/>
      <c r="I262" s="791" t="n"/>
      <c r="J262" s="792" t="n"/>
      <c r="K262" s="792" t="n"/>
      <c r="L262" s="792" t="n"/>
      <c r="M262" s="793" t="n"/>
      <c r="O262" s="142" t="n"/>
      <c r="P262" s="142" t="n"/>
      <c r="Q262" s="791" t="n"/>
      <c r="R262" s="791" t="n"/>
      <c r="S262" s="791" t="n"/>
      <c r="T262" s="148" t="n"/>
      <c r="U262" s="148" t="n"/>
      <c r="V262" s="148" t="n"/>
      <c r="W262" s="148" t="n"/>
      <c r="X262" s="149" t="n"/>
      <c r="Y262" s="148" t="n"/>
      <c r="Z262" s="148" t="n"/>
      <c r="AA262" s="148" t="n"/>
      <c r="AB262" s="148" t="n"/>
      <c r="AC262" s="148" t="n"/>
      <c r="AD262" s="150" t="n"/>
      <c r="AE262" s="151" t="n"/>
      <c r="AF262" s="152" t="n"/>
      <c r="AG262" s="153" t="n"/>
      <c r="AH262" s="154" t="n"/>
      <c r="AJ262" s="391" t="n"/>
    </row>
    <row r="263" customFormat="1" s="141">
      <c r="A263" s="42" t="n"/>
      <c r="B263" s="791" t="n"/>
      <c r="C263" s="789" t="n"/>
      <c r="D263" s="277" t="n"/>
      <c r="E263" s="789" t="n"/>
      <c r="F263" s="789" t="n"/>
      <c r="G263" s="790" t="n"/>
      <c r="H263" s="791" t="n"/>
      <c r="I263" s="791" t="n"/>
      <c r="J263" s="792" t="n"/>
      <c r="K263" s="792" t="n"/>
      <c r="L263" s="792" t="n"/>
      <c r="M263" s="793" t="n"/>
      <c r="O263" s="142" t="n"/>
      <c r="P263" s="142" t="n"/>
      <c r="Q263" s="791" t="n"/>
      <c r="R263" s="791" t="n"/>
      <c r="S263" s="791" t="n"/>
      <c r="T263" s="148" t="n"/>
      <c r="U263" s="148" t="n"/>
      <c r="V263" s="148" t="n"/>
      <c r="W263" s="148" t="n"/>
      <c r="X263" s="149" t="n"/>
      <c r="Y263" s="148" t="n"/>
      <c r="Z263" s="148" t="n"/>
      <c r="AA263" s="148" t="n"/>
      <c r="AB263" s="148" t="n"/>
      <c r="AC263" s="148" t="n"/>
      <c r="AD263" s="150" t="n"/>
      <c r="AE263" s="151" t="n"/>
      <c r="AF263" s="152" t="n"/>
      <c r="AG263" s="153" t="n"/>
      <c r="AH263" s="154" t="n"/>
      <c r="AJ263" s="391" t="n"/>
    </row>
    <row r="264" customFormat="1" s="141">
      <c r="A264" s="42" t="n"/>
      <c r="B264" s="791" t="n"/>
      <c r="C264" s="789" t="n"/>
      <c r="D264" s="277" t="n"/>
      <c r="E264" s="789" t="n"/>
      <c r="F264" s="789" t="n"/>
      <c r="G264" s="790" t="n"/>
      <c r="H264" s="791" t="n"/>
      <c r="I264" s="791" t="n"/>
      <c r="J264" s="792" t="n"/>
      <c r="K264" s="792" t="n"/>
      <c r="L264" s="792" t="n"/>
      <c r="M264" s="793" t="n"/>
      <c r="O264" s="142" t="n"/>
      <c r="P264" s="142" t="n"/>
      <c r="Q264" s="791" t="n"/>
      <c r="R264" s="791" t="n"/>
      <c r="S264" s="791" t="n"/>
      <c r="T264" s="148" t="n"/>
      <c r="U264" s="148" t="n"/>
      <c r="V264" s="148" t="n"/>
      <c r="W264" s="148" t="n"/>
      <c r="X264" s="149" t="n"/>
      <c r="Y264" s="148" t="n"/>
      <c r="Z264" s="148" t="n"/>
      <c r="AA264" s="148" t="n"/>
      <c r="AB264" s="148" t="n"/>
      <c r="AC264" s="148" t="n"/>
      <c r="AD264" s="150" t="n"/>
      <c r="AE264" s="151" t="n"/>
      <c r="AF264" s="152" t="n"/>
      <c r="AG264" s="153" t="n"/>
      <c r="AH264" s="154" t="n"/>
      <c r="AJ264" s="391" t="n"/>
    </row>
    <row r="265" customFormat="1" s="141">
      <c r="A265" s="42" t="n"/>
      <c r="B265" s="791" t="n"/>
      <c r="C265" s="789" t="n"/>
      <c r="D265" s="277" t="n"/>
      <c r="E265" s="789" t="n"/>
      <c r="F265" s="789" t="n"/>
      <c r="G265" s="790" t="n"/>
      <c r="H265" s="791" t="n"/>
      <c r="I265" s="791" t="n"/>
      <c r="J265" s="792" t="n"/>
      <c r="K265" s="792" t="n"/>
      <c r="L265" s="792" t="n"/>
      <c r="M265" s="793" t="n"/>
      <c r="O265" s="142" t="n"/>
      <c r="P265" s="142" t="n"/>
      <c r="Q265" s="791" t="n"/>
      <c r="R265" s="791" t="n"/>
      <c r="S265" s="791" t="n"/>
      <c r="T265" s="148" t="n"/>
      <c r="U265" s="148" t="n"/>
      <c r="V265" s="148" t="n"/>
      <c r="W265" s="148" t="n"/>
      <c r="X265" s="149" t="n"/>
      <c r="Y265" s="148" t="n"/>
      <c r="Z265" s="148" t="n"/>
      <c r="AA265" s="148" t="n"/>
      <c r="AB265" s="148" t="n"/>
      <c r="AC265" s="148" t="n"/>
      <c r="AD265" s="150" t="n"/>
      <c r="AE265" s="151" t="n"/>
      <c r="AF265" s="152" t="n"/>
      <c r="AG265" s="153" t="n"/>
      <c r="AH265" s="154" t="n"/>
      <c r="AJ265" s="391" t="n"/>
    </row>
    <row r="266" customFormat="1" s="141">
      <c r="A266" s="42" t="n"/>
      <c r="B266" s="791" t="n"/>
      <c r="C266" s="789" t="n"/>
      <c r="D266" s="277" t="n"/>
      <c r="E266" s="789" t="n"/>
      <c r="F266" s="789" t="n"/>
      <c r="G266" s="790" t="n"/>
      <c r="H266" s="791" t="n"/>
      <c r="I266" s="791" t="n"/>
      <c r="J266" s="792" t="n"/>
      <c r="K266" s="792" t="n"/>
      <c r="L266" s="792" t="n"/>
      <c r="M266" s="793" t="n"/>
      <c r="O266" s="142" t="n"/>
      <c r="P266" s="142" t="n"/>
      <c r="Q266" s="791" t="n"/>
      <c r="R266" s="791" t="n"/>
      <c r="S266" s="791" t="n"/>
      <c r="T266" s="148" t="n"/>
      <c r="U266" s="148" t="n"/>
      <c r="V266" s="148" t="n"/>
      <c r="W266" s="148" t="n"/>
      <c r="X266" s="149" t="n"/>
      <c r="Y266" s="148" t="n"/>
      <c r="Z266" s="148" t="n"/>
      <c r="AA266" s="148" t="n"/>
      <c r="AB266" s="148" t="n"/>
      <c r="AC266" s="148" t="n"/>
      <c r="AD266" s="150" t="n"/>
      <c r="AE266" s="151" t="n"/>
      <c r="AF266" s="152" t="n"/>
      <c r="AG266" s="153" t="n"/>
      <c r="AH266" s="154" t="n"/>
      <c r="AJ266" s="391" t="n"/>
    </row>
    <row r="267" customFormat="1" s="141">
      <c r="A267" s="42" t="n"/>
      <c r="B267" s="791" t="n"/>
      <c r="C267" s="789" t="n"/>
      <c r="D267" s="277" t="n"/>
      <c r="E267" s="789" t="n"/>
      <c r="F267" s="789" t="n"/>
      <c r="G267" s="790" t="n"/>
      <c r="H267" s="791" t="n"/>
      <c r="I267" s="791" t="n"/>
      <c r="J267" s="792" t="n"/>
      <c r="K267" s="792" t="n"/>
      <c r="L267" s="792" t="n"/>
      <c r="M267" s="793" t="n"/>
      <c r="O267" s="142" t="n"/>
      <c r="P267" s="142" t="n"/>
      <c r="Q267" s="791" t="n"/>
      <c r="R267" s="791" t="n"/>
      <c r="S267" s="791" t="n"/>
      <c r="T267" s="148" t="n"/>
      <c r="U267" s="148" t="n"/>
      <c r="V267" s="148" t="n"/>
      <c r="W267" s="148" t="n"/>
      <c r="X267" s="149" t="n"/>
      <c r="Y267" s="148" t="n"/>
      <c r="Z267" s="148" t="n"/>
      <c r="AA267" s="148" t="n"/>
      <c r="AB267" s="148" t="n"/>
      <c r="AC267" s="148" t="n"/>
      <c r="AD267" s="150" t="n"/>
      <c r="AE267" s="151" t="n"/>
      <c r="AF267" s="152" t="n"/>
      <c r="AG267" s="153" t="n"/>
      <c r="AH267" s="154" t="n"/>
      <c r="AJ267" s="391" t="n"/>
    </row>
    <row r="268" customFormat="1" s="141">
      <c r="A268" s="42" t="n"/>
      <c r="B268" s="791" t="n"/>
      <c r="C268" s="789" t="n"/>
      <c r="D268" s="277" t="n"/>
      <c r="E268" s="789" t="n"/>
      <c r="F268" s="789" t="n"/>
      <c r="G268" s="790" t="n"/>
      <c r="H268" s="791" t="n"/>
      <c r="I268" s="791" t="n"/>
      <c r="J268" s="792" t="n"/>
      <c r="K268" s="792" t="n"/>
      <c r="L268" s="792" t="n"/>
      <c r="M268" s="793" t="n"/>
      <c r="O268" s="142" t="n"/>
      <c r="P268" s="142" t="n"/>
      <c r="Q268" s="791" t="n"/>
      <c r="R268" s="791" t="n"/>
      <c r="S268" s="791" t="n"/>
      <c r="T268" s="148" t="n"/>
      <c r="U268" s="148" t="n"/>
      <c r="V268" s="148" t="n"/>
      <c r="W268" s="148" t="n"/>
      <c r="X268" s="149" t="n"/>
      <c r="Y268" s="148" t="n"/>
      <c r="Z268" s="148" t="n"/>
      <c r="AA268" s="148" t="n"/>
      <c r="AB268" s="148" t="n"/>
      <c r="AC268" s="148" t="n"/>
      <c r="AD268" s="150" t="n"/>
      <c r="AE268" s="151" t="n"/>
      <c r="AF268" s="152" t="n"/>
      <c r="AG268" s="153" t="n"/>
      <c r="AH268" s="154" t="n"/>
      <c r="AJ268" s="391" t="n"/>
    </row>
    <row r="269" customFormat="1" s="141">
      <c r="A269" s="42" t="n"/>
      <c r="B269" s="791" t="n"/>
      <c r="C269" s="789" t="n"/>
      <c r="D269" s="277" t="n"/>
      <c r="E269" s="789" t="n"/>
      <c r="F269" s="789" t="n"/>
      <c r="G269" s="790" t="n"/>
      <c r="H269" s="791" t="n"/>
      <c r="I269" s="791" t="n"/>
      <c r="J269" s="792" t="n"/>
      <c r="K269" s="792" t="n"/>
      <c r="L269" s="792" t="n"/>
      <c r="M269" s="793" t="n"/>
      <c r="O269" s="142" t="n"/>
      <c r="P269" s="142" t="n"/>
      <c r="Q269" s="791" t="n"/>
      <c r="R269" s="791" t="n"/>
      <c r="S269" s="791" t="n"/>
      <c r="T269" s="148" t="n"/>
      <c r="U269" s="148" t="n"/>
      <c r="V269" s="148" t="n"/>
      <c r="W269" s="148" t="n"/>
      <c r="X269" s="149" t="n"/>
      <c r="Y269" s="148" t="n"/>
      <c r="Z269" s="148" t="n"/>
      <c r="AA269" s="148" t="n"/>
      <c r="AB269" s="148" t="n"/>
      <c r="AC269" s="148" t="n"/>
      <c r="AD269" s="150" t="n"/>
      <c r="AE269" s="151" t="n"/>
      <c r="AF269" s="152" t="n"/>
      <c r="AG269" s="153" t="n"/>
      <c r="AH269" s="154" t="n"/>
      <c r="AJ269" s="391" t="n"/>
    </row>
    <row r="270" customFormat="1" s="141">
      <c r="A270" s="42" t="n"/>
      <c r="B270" s="791" t="n"/>
      <c r="C270" s="789" t="n"/>
      <c r="D270" s="277" t="n"/>
      <c r="E270" s="789" t="n"/>
      <c r="F270" s="789" t="n"/>
      <c r="G270" s="790" t="n"/>
      <c r="H270" s="791" t="n"/>
      <c r="I270" s="791" t="n"/>
      <c r="J270" s="792" t="n"/>
      <c r="K270" s="792" t="n"/>
      <c r="L270" s="792" t="n"/>
      <c r="M270" s="793" t="n"/>
      <c r="O270" s="142" t="n"/>
      <c r="P270" s="142" t="n"/>
      <c r="Q270" s="791" t="n"/>
      <c r="R270" s="791" t="n"/>
      <c r="S270" s="791" t="n"/>
      <c r="T270" s="148" t="n"/>
      <c r="U270" s="148" t="n"/>
      <c r="V270" s="148" t="n"/>
      <c r="W270" s="148" t="n"/>
      <c r="X270" s="149" t="n"/>
      <c r="Y270" s="148" t="n"/>
      <c r="Z270" s="148" t="n"/>
      <c r="AA270" s="148" t="n"/>
      <c r="AB270" s="148" t="n"/>
      <c r="AC270" s="148" t="n"/>
      <c r="AD270" s="150" t="n"/>
      <c r="AE270" s="151" t="n"/>
      <c r="AF270" s="152" t="n"/>
      <c r="AG270" s="153" t="n"/>
      <c r="AH270" s="154" t="n"/>
      <c r="AJ270" s="391" t="n"/>
    </row>
    <row r="271" customFormat="1" s="141">
      <c r="A271" s="42" t="n"/>
      <c r="B271" s="791" t="n"/>
      <c r="C271" s="789" t="n"/>
      <c r="D271" s="277" t="n"/>
      <c r="E271" s="789" t="n"/>
      <c r="F271" s="789" t="n"/>
      <c r="G271" s="790" t="n"/>
      <c r="H271" s="791" t="n"/>
      <c r="I271" s="791" t="n"/>
      <c r="J271" s="792" t="n"/>
      <c r="K271" s="792" t="n"/>
      <c r="L271" s="792" t="n"/>
      <c r="M271" s="793" t="n"/>
      <c r="O271" s="142" t="n"/>
      <c r="P271" s="142" t="n"/>
      <c r="Q271" s="791" t="n"/>
      <c r="R271" s="791" t="n"/>
      <c r="S271" s="791" t="n"/>
      <c r="T271" s="148" t="n"/>
      <c r="U271" s="148" t="n"/>
      <c r="V271" s="148" t="n"/>
      <c r="W271" s="148" t="n"/>
      <c r="X271" s="149" t="n"/>
      <c r="Y271" s="148" t="n"/>
      <c r="Z271" s="148" t="n"/>
      <c r="AA271" s="148" t="n"/>
      <c r="AB271" s="148" t="n"/>
      <c r="AC271" s="148" t="n"/>
      <c r="AD271" s="150" t="n"/>
      <c r="AE271" s="151" t="n"/>
      <c r="AF271" s="152" t="n"/>
      <c r="AG271" s="153" t="n"/>
      <c r="AH271" s="154" t="n"/>
      <c r="AJ271" s="391" t="n"/>
    </row>
    <row r="272" customFormat="1" s="141">
      <c r="A272" s="42" t="n"/>
      <c r="B272" s="791" t="n"/>
      <c r="C272" s="789" t="n"/>
      <c r="D272" s="277" t="n"/>
      <c r="E272" s="789" t="n"/>
      <c r="F272" s="789" t="n"/>
      <c r="G272" s="790" t="n"/>
      <c r="H272" s="791" t="n"/>
      <c r="I272" s="791" t="n"/>
      <c r="J272" s="792" t="n"/>
      <c r="K272" s="792" t="n"/>
      <c r="L272" s="792" t="n"/>
      <c r="M272" s="793" t="n"/>
      <c r="O272" s="142" t="n"/>
      <c r="P272" s="142" t="n"/>
      <c r="Q272" s="791" t="n"/>
      <c r="R272" s="791" t="n"/>
      <c r="S272" s="791" t="n"/>
      <c r="T272" s="148" t="n"/>
      <c r="U272" s="148" t="n"/>
      <c r="V272" s="148" t="n"/>
      <c r="W272" s="148" t="n"/>
      <c r="X272" s="149" t="n"/>
      <c r="Y272" s="148" t="n"/>
      <c r="Z272" s="148" t="n"/>
      <c r="AA272" s="148" t="n"/>
      <c r="AB272" s="148" t="n"/>
      <c r="AC272" s="148" t="n"/>
      <c r="AD272" s="150" t="n"/>
      <c r="AE272" s="151" t="n"/>
      <c r="AF272" s="152" t="n"/>
      <c r="AG272" s="153" t="n"/>
      <c r="AH272" s="154" t="n"/>
      <c r="AJ272" s="391" t="n"/>
    </row>
    <row r="273" customFormat="1" s="141">
      <c r="A273" s="42" t="n"/>
      <c r="B273" s="791" t="n"/>
      <c r="C273" s="789" t="n"/>
      <c r="D273" s="277" t="n"/>
      <c r="E273" s="789" t="n"/>
      <c r="F273" s="789" t="n"/>
      <c r="G273" s="790" t="n"/>
      <c r="H273" s="791" t="n"/>
      <c r="I273" s="791" t="n"/>
      <c r="J273" s="792" t="n"/>
      <c r="K273" s="792" t="n"/>
      <c r="L273" s="792" t="n"/>
      <c r="M273" s="793" t="n"/>
      <c r="O273" s="142" t="n"/>
      <c r="P273" s="142" t="n"/>
      <c r="Q273" s="791" t="n"/>
      <c r="R273" s="791" t="n"/>
      <c r="S273" s="791" t="n"/>
      <c r="T273" s="148" t="n"/>
      <c r="U273" s="148" t="n"/>
      <c r="V273" s="148" t="n"/>
      <c r="W273" s="148" t="n"/>
      <c r="X273" s="149" t="n"/>
      <c r="Y273" s="148" t="n"/>
      <c r="Z273" s="148" t="n"/>
      <c r="AA273" s="148" t="n"/>
      <c r="AB273" s="148" t="n"/>
      <c r="AC273" s="148" t="n"/>
      <c r="AD273" s="150" t="n"/>
      <c r="AE273" s="151" t="n"/>
      <c r="AF273" s="152" t="n"/>
      <c r="AG273" s="153" t="n"/>
      <c r="AH273" s="154" t="n"/>
      <c r="AJ273" s="391" t="n"/>
    </row>
    <row r="274" customFormat="1" s="141">
      <c r="A274" s="42" t="n"/>
      <c r="B274" s="791" t="n"/>
      <c r="C274" s="789" t="n"/>
      <c r="D274" s="277" t="n"/>
      <c r="E274" s="789" t="n"/>
      <c r="F274" s="789" t="n"/>
      <c r="G274" s="790" t="n"/>
      <c r="H274" s="791" t="n"/>
      <c r="I274" s="791" t="n"/>
      <c r="J274" s="792" t="n"/>
      <c r="K274" s="792" t="n"/>
      <c r="L274" s="792" t="n"/>
      <c r="M274" s="793" t="n"/>
      <c r="O274" s="142" t="n"/>
      <c r="P274" s="142" t="n"/>
      <c r="Q274" s="791" t="n"/>
      <c r="R274" s="791" t="n"/>
      <c r="S274" s="791" t="n"/>
      <c r="T274" s="148" t="n"/>
      <c r="U274" s="148" t="n"/>
      <c r="V274" s="148" t="n"/>
      <c r="W274" s="148" t="n"/>
      <c r="X274" s="149" t="n"/>
      <c r="Y274" s="148" t="n"/>
      <c r="Z274" s="148" t="n"/>
      <c r="AA274" s="148" t="n"/>
      <c r="AB274" s="148" t="n"/>
      <c r="AC274" s="148" t="n"/>
      <c r="AD274" s="150" t="n"/>
      <c r="AE274" s="151" t="n"/>
      <c r="AF274" s="152" t="n"/>
      <c r="AG274" s="153" t="n"/>
      <c r="AH274" s="154" t="n"/>
      <c r="AJ274" s="391" t="n"/>
    </row>
    <row r="275" customFormat="1" s="141">
      <c r="A275" s="42" t="n"/>
      <c r="B275" s="791" t="n"/>
      <c r="C275" s="789" t="n"/>
      <c r="D275" s="277" t="n"/>
      <c r="E275" s="789" t="n"/>
      <c r="F275" s="789" t="n"/>
      <c r="G275" s="790" t="n"/>
      <c r="H275" s="791" t="n"/>
      <c r="I275" s="791" t="n"/>
      <c r="J275" s="792" t="n"/>
      <c r="K275" s="792" t="n"/>
      <c r="L275" s="792" t="n"/>
      <c r="M275" s="793" t="n"/>
      <c r="O275" s="142" t="n"/>
      <c r="P275" s="142" t="n"/>
      <c r="Q275" s="791" t="n"/>
      <c r="R275" s="791" t="n"/>
      <c r="S275" s="791" t="n"/>
      <c r="T275" s="148" t="n"/>
      <c r="U275" s="148" t="n"/>
      <c r="V275" s="148" t="n"/>
      <c r="W275" s="148" t="n"/>
      <c r="X275" s="149" t="n"/>
      <c r="Y275" s="148" t="n"/>
      <c r="Z275" s="148" t="n"/>
      <c r="AA275" s="148" t="n"/>
      <c r="AB275" s="148" t="n"/>
      <c r="AC275" s="148" t="n"/>
      <c r="AD275" s="150" t="n"/>
      <c r="AE275" s="151" t="n"/>
      <c r="AF275" s="152" t="n"/>
      <c r="AG275" s="153" t="n"/>
      <c r="AH275" s="154" t="n"/>
      <c r="AJ275" s="391" t="n"/>
    </row>
    <row r="276" customFormat="1" s="141">
      <c r="A276" s="42" t="n"/>
      <c r="B276" s="791" t="n"/>
      <c r="C276" s="789" t="n"/>
      <c r="D276" s="277" t="n"/>
      <c r="E276" s="789" t="n"/>
      <c r="F276" s="789" t="n"/>
      <c r="G276" s="790" t="n"/>
      <c r="H276" s="791" t="n"/>
      <c r="I276" s="791" t="n"/>
      <c r="J276" s="792" t="n"/>
      <c r="K276" s="792" t="n"/>
      <c r="L276" s="792" t="n"/>
      <c r="M276" s="793" t="n"/>
      <c r="O276" s="142" t="n"/>
      <c r="P276" s="142" t="n"/>
      <c r="Q276" s="791" t="n"/>
      <c r="R276" s="791" t="n"/>
      <c r="S276" s="791" t="n"/>
      <c r="T276" s="148" t="n"/>
      <c r="U276" s="148" t="n"/>
      <c r="V276" s="148" t="n"/>
      <c r="W276" s="148" t="n"/>
      <c r="X276" s="149" t="n"/>
      <c r="Y276" s="148" t="n"/>
      <c r="Z276" s="148" t="n"/>
      <c r="AA276" s="148" t="n"/>
      <c r="AB276" s="148" t="n"/>
      <c r="AC276" s="148" t="n"/>
      <c r="AD276" s="150" t="n"/>
      <c r="AE276" s="151" t="n"/>
      <c r="AF276" s="152" t="n"/>
      <c r="AG276" s="153" t="n"/>
      <c r="AH276" s="154" t="n"/>
      <c r="AJ276" s="391" t="n"/>
    </row>
    <row r="277" customFormat="1" s="141">
      <c r="A277" s="42" t="n"/>
      <c r="B277" s="791" t="n"/>
      <c r="C277" s="789" t="n"/>
      <c r="D277" s="277" t="n"/>
      <c r="E277" s="789" t="n"/>
      <c r="F277" s="789" t="n"/>
      <c r="G277" s="790" t="n"/>
      <c r="H277" s="791" t="n"/>
      <c r="I277" s="791" t="n"/>
      <c r="J277" s="792" t="n"/>
      <c r="K277" s="792" t="n"/>
      <c r="L277" s="792" t="n"/>
      <c r="M277" s="793" t="n"/>
      <c r="O277" s="142" t="n"/>
      <c r="P277" s="142" t="n"/>
      <c r="Q277" s="791" t="n"/>
      <c r="R277" s="791" t="n"/>
      <c r="S277" s="791" t="n"/>
      <c r="T277" s="148" t="n"/>
      <c r="U277" s="148" t="n"/>
      <c r="V277" s="148" t="n"/>
      <c r="W277" s="148" t="n"/>
      <c r="X277" s="149" t="n"/>
      <c r="Y277" s="148" t="n"/>
      <c r="Z277" s="148" t="n"/>
      <c r="AA277" s="148" t="n"/>
      <c r="AB277" s="148" t="n"/>
      <c r="AC277" s="148" t="n"/>
      <c r="AD277" s="150" t="n"/>
      <c r="AE277" s="151" t="n"/>
      <c r="AF277" s="152" t="n"/>
      <c r="AG277" s="153" t="n"/>
      <c r="AH277" s="154" t="n"/>
      <c r="AJ277" s="391" t="n"/>
    </row>
    <row r="278" customFormat="1" s="141">
      <c r="A278" s="42" t="n"/>
      <c r="B278" s="791" t="n"/>
      <c r="C278" s="789" t="n"/>
      <c r="D278" s="277" t="n"/>
      <c r="E278" s="789" t="n"/>
      <c r="F278" s="789" t="n"/>
      <c r="G278" s="790" t="n"/>
      <c r="H278" s="791" t="n"/>
      <c r="I278" s="791" t="n"/>
      <c r="J278" s="792" t="n"/>
      <c r="K278" s="792" t="n"/>
      <c r="L278" s="792" t="n"/>
      <c r="M278" s="793" t="n"/>
      <c r="O278" s="142" t="n"/>
      <c r="P278" s="142" t="n"/>
      <c r="Q278" s="791" t="n"/>
      <c r="R278" s="791" t="n"/>
      <c r="S278" s="791" t="n"/>
      <c r="T278" s="148" t="n"/>
      <c r="U278" s="148" t="n"/>
      <c r="V278" s="148" t="n"/>
      <c r="W278" s="148" t="n"/>
      <c r="X278" s="149" t="n"/>
      <c r="Y278" s="148" t="n"/>
      <c r="Z278" s="148" t="n"/>
      <c r="AA278" s="148" t="n"/>
      <c r="AB278" s="148" t="n"/>
      <c r="AC278" s="148" t="n"/>
      <c r="AD278" s="150" t="n"/>
      <c r="AE278" s="151" t="n"/>
      <c r="AF278" s="152" t="n"/>
      <c r="AG278" s="153" t="n"/>
      <c r="AH278" s="154" t="n"/>
      <c r="AJ278" s="391" t="n"/>
    </row>
    <row r="279" customFormat="1" s="141">
      <c r="A279" s="42" t="n"/>
      <c r="B279" s="791" t="n"/>
      <c r="C279" s="789" t="n"/>
      <c r="D279" s="277" t="n"/>
      <c r="E279" s="789" t="n"/>
      <c r="F279" s="789" t="n"/>
      <c r="G279" s="790" t="n"/>
      <c r="H279" s="791" t="n"/>
      <c r="I279" s="791" t="n"/>
      <c r="J279" s="792" t="n"/>
      <c r="K279" s="792" t="n"/>
      <c r="L279" s="792" t="n"/>
      <c r="M279" s="793" t="n"/>
      <c r="O279" s="142" t="n"/>
      <c r="P279" s="142" t="n"/>
      <c r="Q279" s="791" t="n"/>
      <c r="R279" s="791" t="n"/>
      <c r="S279" s="791" t="n"/>
      <c r="T279" s="148" t="n"/>
      <c r="U279" s="148" t="n"/>
      <c r="V279" s="148" t="n"/>
      <c r="W279" s="148" t="n"/>
      <c r="X279" s="149" t="n"/>
      <c r="Y279" s="148" t="n"/>
      <c r="Z279" s="148" t="n"/>
      <c r="AA279" s="148" t="n"/>
      <c r="AB279" s="148" t="n"/>
      <c r="AC279" s="148" t="n"/>
      <c r="AD279" s="150" t="n"/>
      <c r="AE279" s="151" t="n"/>
      <c r="AF279" s="152" t="n"/>
      <c r="AG279" s="153" t="n"/>
      <c r="AH279" s="154" t="n"/>
      <c r="AJ279" s="391" t="n"/>
    </row>
    <row r="280" customFormat="1" s="141">
      <c r="A280" s="42" t="n"/>
      <c r="B280" s="791" t="n"/>
      <c r="C280" s="789" t="n"/>
      <c r="D280" s="277" t="n"/>
      <c r="E280" s="789" t="n"/>
      <c r="F280" s="789" t="n"/>
      <c r="G280" s="790" t="n"/>
      <c r="H280" s="791" t="n"/>
      <c r="I280" s="791" t="n"/>
      <c r="J280" s="792" t="n"/>
      <c r="K280" s="792" t="n"/>
      <c r="L280" s="792" t="n"/>
      <c r="M280" s="793" t="n"/>
      <c r="O280" s="142" t="n"/>
      <c r="P280" s="142" t="n"/>
      <c r="Q280" s="791" t="n"/>
      <c r="R280" s="791" t="n"/>
      <c r="S280" s="791" t="n"/>
      <c r="T280" s="148" t="n"/>
      <c r="U280" s="148" t="n"/>
      <c r="V280" s="148" t="n"/>
      <c r="W280" s="148" t="n"/>
      <c r="X280" s="149" t="n"/>
      <c r="Y280" s="148" t="n"/>
      <c r="Z280" s="148" t="n"/>
      <c r="AA280" s="148" t="n"/>
      <c r="AB280" s="148" t="n"/>
      <c r="AC280" s="148" t="n"/>
      <c r="AD280" s="150" t="n"/>
      <c r="AE280" s="151" t="n"/>
      <c r="AF280" s="152" t="n"/>
      <c r="AG280" s="153" t="n"/>
      <c r="AH280" s="154" t="n"/>
      <c r="AJ280" s="391" t="n"/>
    </row>
    <row r="281" customFormat="1" s="141">
      <c r="A281" s="42" t="n"/>
      <c r="B281" s="791" t="n"/>
      <c r="C281" s="789" t="n"/>
      <c r="D281" s="277" t="n"/>
      <c r="E281" s="789" t="n"/>
      <c r="F281" s="789" t="n"/>
      <c r="G281" s="790" t="n"/>
      <c r="H281" s="791" t="n"/>
      <c r="I281" s="791" t="n"/>
      <c r="J281" s="792" t="n"/>
      <c r="K281" s="792" t="n"/>
      <c r="L281" s="792" t="n"/>
      <c r="M281" s="793" t="n"/>
      <c r="O281" s="142" t="n"/>
      <c r="P281" s="142" t="n"/>
      <c r="Q281" s="791" t="n"/>
      <c r="R281" s="791" t="n"/>
      <c r="S281" s="791" t="n"/>
      <c r="T281" s="148" t="n"/>
      <c r="U281" s="148" t="n"/>
      <c r="V281" s="148" t="n"/>
      <c r="W281" s="148" t="n"/>
      <c r="X281" s="149" t="n"/>
      <c r="Y281" s="148" t="n"/>
      <c r="Z281" s="148" t="n"/>
      <c r="AA281" s="148" t="n"/>
      <c r="AB281" s="148" t="n"/>
      <c r="AC281" s="148" t="n"/>
      <c r="AD281" s="150" t="n"/>
      <c r="AE281" s="151" t="n"/>
      <c r="AF281" s="152" t="n"/>
      <c r="AG281" s="153" t="n"/>
      <c r="AH281" s="154" t="n"/>
      <c r="AJ281" s="391" t="n"/>
    </row>
    <row r="282" customFormat="1" s="141">
      <c r="A282" s="42" t="n"/>
      <c r="B282" s="791" t="n"/>
      <c r="C282" s="789" t="n"/>
      <c r="D282" s="277" t="n"/>
      <c r="E282" s="789" t="n"/>
      <c r="F282" s="789" t="n"/>
      <c r="G282" s="790" t="n"/>
      <c r="H282" s="791" t="n"/>
      <c r="I282" s="791" t="n"/>
      <c r="J282" s="792" t="n"/>
      <c r="K282" s="792" t="n"/>
      <c r="L282" s="792" t="n"/>
      <c r="M282" s="793" t="n"/>
      <c r="O282" s="142" t="n"/>
      <c r="P282" s="142" t="n"/>
      <c r="Q282" s="791" t="n"/>
      <c r="R282" s="791" t="n"/>
      <c r="S282" s="791" t="n"/>
      <c r="T282" s="148" t="n"/>
      <c r="U282" s="148" t="n"/>
      <c r="V282" s="148" t="n"/>
      <c r="W282" s="148" t="n"/>
      <c r="X282" s="149" t="n"/>
      <c r="Y282" s="148" t="n"/>
      <c r="Z282" s="148" t="n"/>
      <c r="AA282" s="148" t="n"/>
      <c r="AB282" s="148" t="n"/>
      <c r="AC282" s="148" t="n"/>
      <c r="AD282" s="150" t="n"/>
      <c r="AE282" s="151" t="n"/>
      <c r="AF282" s="152" t="n"/>
      <c r="AG282" s="153" t="n"/>
      <c r="AH282" s="154" t="n"/>
      <c r="AJ282" s="391" t="n"/>
    </row>
    <row r="283" customFormat="1" s="141">
      <c r="A283" s="42" t="n"/>
      <c r="B283" s="791" t="n"/>
      <c r="C283" s="789" t="n"/>
      <c r="D283" s="277" t="n"/>
      <c r="E283" s="789" t="n"/>
      <c r="F283" s="789" t="n"/>
      <c r="G283" s="790" t="n"/>
      <c r="H283" s="791" t="n"/>
      <c r="I283" s="791" t="n"/>
      <c r="J283" s="792" t="n"/>
      <c r="K283" s="792" t="n"/>
      <c r="L283" s="792" t="n"/>
      <c r="M283" s="793" t="n"/>
      <c r="O283" s="142" t="n"/>
      <c r="P283" s="142" t="n"/>
      <c r="Q283" s="791" t="n"/>
      <c r="R283" s="791" t="n"/>
      <c r="S283" s="791" t="n"/>
      <c r="T283" s="148" t="n"/>
      <c r="U283" s="148" t="n"/>
      <c r="V283" s="148" t="n"/>
      <c r="W283" s="148" t="n"/>
      <c r="X283" s="149" t="n"/>
      <c r="Y283" s="148" t="n"/>
      <c r="Z283" s="148" t="n"/>
      <c r="AA283" s="148" t="n"/>
      <c r="AB283" s="148" t="n"/>
      <c r="AC283" s="148" t="n"/>
      <c r="AD283" s="150" t="n"/>
      <c r="AE283" s="151" t="n"/>
      <c r="AF283" s="152" t="n"/>
      <c r="AG283" s="153" t="n"/>
      <c r="AH283" s="154" t="n"/>
      <c r="AJ283" s="391" t="n"/>
    </row>
    <row r="284" customFormat="1" s="141">
      <c r="A284" s="42" t="n"/>
      <c r="B284" s="791" t="n"/>
      <c r="C284" s="789" t="n"/>
      <c r="D284" s="277" t="n"/>
      <c r="E284" s="789" t="n"/>
      <c r="F284" s="789" t="n"/>
      <c r="G284" s="790" t="n"/>
      <c r="H284" s="791" t="n"/>
      <c r="I284" s="791" t="n"/>
      <c r="J284" s="792" t="n"/>
      <c r="K284" s="792" t="n"/>
      <c r="L284" s="792" t="n"/>
      <c r="M284" s="793" t="n"/>
      <c r="O284" s="142" t="n"/>
      <c r="P284" s="142" t="n"/>
      <c r="Q284" s="791" t="n"/>
      <c r="R284" s="791" t="n"/>
      <c r="S284" s="791" t="n"/>
      <c r="T284" s="148" t="n"/>
      <c r="U284" s="148" t="n"/>
      <c r="V284" s="148" t="n"/>
      <c r="W284" s="148" t="n"/>
      <c r="X284" s="149" t="n"/>
      <c r="Y284" s="148" t="n"/>
      <c r="Z284" s="148" t="n"/>
      <c r="AA284" s="148" t="n"/>
      <c r="AB284" s="148" t="n"/>
      <c r="AC284" s="148" t="n"/>
      <c r="AD284" s="150" t="n"/>
      <c r="AE284" s="151" t="n"/>
      <c r="AF284" s="152" t="n"/>
      <c r="AG284" s="153" t="n"/>
      <c r="AH284" s="154" t="n"/>
      <c r="AJ284" s="391" t="n"/>
    </row>
    <row r="285" customFormat="1" s="141">
      <c r="A285" s="42" t="n"/>
      <c r="B285" s="791" t="n"/>
      <c r="C285" s="789" t="n"/>
      <c r="D285" s="277" t="n"/>
      <c r="E285" s="789" t="n"/>
      <c r="F285" s="789" t="n"/>
      <c r="G285" s="790" t="n"/>
      <c r="H285" s="791" t="n"/>
      <c r="I285" s="791" t="n"/>
      <c r="J285" s="792" t="n"/>
      <c r="K285" s="792" t="n"/>
      <c r="L285" s="792" t="n"/>
      <c r="M285" s="793" t="n"/>
      <c r="O285" s="142" t="n"/>
      <c r="P285" s="142" t="n"/>
      <c r="Q285" s="791" t="n"/>
      <c r="R285" s="791" t="n"/>
      <c r="S285" s="791" t="n"/>
      <c r="T285" s="148" t="n"/>
      <c r="U285" s="148" t="n"/>
      <c r="V285" s="148" t="n"/>
      <c r="W285" s="148" t="n"/>
      <c r="X285" s="149" t="n"/>
      <c r="Y285" s="148" t="n"/>
      <c r="Z285" s="148" t="n"/>
      <c r="AA285" s="148" t="n"/>
      <c r="AB285" s="148" t="n"/>
      <c r="AC285" s="148" t="n"/>
      <c r="AD285" s="150" t="n"/>
      <c r="AE285" s="151" t="n"/>
      <c r="AF285" s="152" t="n"/>
      <c r="AG285" s="153" t="n"/>
      <c r="AH285" s="154" t="n"/>
      <c r="AJ285" s="391" t="n"/>
    </row>
    <row r="286" customFormat="1" s="141">
      <c r="A286" s="42" t="n"/>
      <c r="B286" s="791" t="n"/>
      <c r="C286" s="789" t="n"/>
      <c r="D286" s="277" t="n"/>
      <c r="E286" s="789" t="n"/>
      <c r="F286" s="789" t="n"/>
      <c r="G286" s="790" t="n"/>
      <c r="H286" s="791" t="n"/>
      <c r="I286" s="791" t="n"/>
      <c r="J286" s="792" t="n"/>
      <c r="K286" s="792" t="n"/>
      <c r="L286" s="792" t="n"/>
      <c r="M286" s="793" t="n"/>
      <c r="O286" s="142" t="n"/>
      <c r="P286" s="142" t="n"/>
      <c r="Q286" s="791" t="n"/>
      <c r="R286" s="791" t="n"/>
      <c r="S286" s="791" t="n"/>
      <c r="T286" s="148" t="n"/>
      <c r="U286" s="148" t="n"/>
      <c r="V286" s="148" t="n"/>
      <c r="W286" s="148" t="n"/>
      <c r="X286" s="149" t="n"/>
      <c r="Y286" s="148" t="n"/>
      <c r="Z286" s="148" t="n"/>
      <c r="AA286" s="148" t="n"/>
      <c r="AB286" s="148" t="n"/>
      <c r="AC286" s="148" t="n"/>
      <c r="AD286" s="150" t="n"/>
      <c r="AE286" s="151" t="n"/>
      <c r="AF286" s="152" t="n"/>
      <c r="AG286" s="153" t="n"/>
      <c r="AH286" s="154" t="n"/>
      <c r="AJ286" s="391" t="n"/>
    </row>
    <row r="287" customFormat="1" s="141">
      <c r="A287" s="42" t="n"/>
      <c r="B287" s="791" t="n"/>
      <c r="C287" s="789" t="n"/>
      <c r="D287" s="277" t="n"/>
      <c r="E287" s="789" t="n"/>
      <c r="F287" s="789" t="n"/>
      <c r="G287" s="790" t="n"/>
      <c r="H287" s="791" t="n"/>
      <c r="I287" s="791" t="n"/>
      <c r="J287" s="792" t="n"/>
      <c r="K287" s="792" t="n"/>
      <c r="L287" s="792" t="n"/>
      <c r="M287" s="793" t="n"/>
      <c r="O287" s="142" t="n"/>
      <c r="P287" s="142" t="n"/>
      <c r="Q287" s="791" t="n"/>
      <c r="R287" s="791" t="n"/>
      <c r="S287" s="791" t="n"/>
      <c r="T287" s="148" t="n"/>
      <c r="U287" s="148" t="n"/>
      <c r="V287" s="148" t="n"/>
      <c r="W287" s="148" t="n"/>
      <c r="X287" s="149" t="n"/>
      <c r="Y287" s="148" t="n"/>
      <c r="Z287" s="148" t="n"/>
      <c r="AA287" s="148" t="n"/>
      <c r="AB287" s="148" t="n"/>
      <c r="AC287" s="148" t="n"/>
      <c r="AD287" s="150" t="n"/>
      <c r="AE287" s="151" t="n"/>
      <c r="AF287" s="152" t="n"/>
      <c r="AG287" s="153" t="n"/>
      <c r="AH287" s="154" t="n"/>
      <c r="AJ287" s="391" t="n"/>
    </row>
    <row r="288" customFormat="1" s="141">
      <c r="A288" s="42" t="n"/>
      <c r="B288" s="791" t="n"/>
      <c r="C288" s="789" t="n"/>
      <c r="D288" s="277" t="n"/>
      <c r="E288" s="789" t="n"/>
      <c r="F288" s="789" t="n"/>
      <c r="G288" s="790" t="n"/>
      <c r="H288" s="791" t="n"/>
      <c r="I288" s="791" t="n"/>
      <c r="J288" s="792" t="n"/>
      <c r="K288" s="792" t="n"/>
      <c r="L288" s="792" t="n"/>
      <c r="M288" s="793" t="n"/>
      <c r="O288" s="142" t="n"/>
      <c r="P288" s="142" t="n"/>
      <c r="Q288" s="791" t="n"/>
      <c r="R288" s="791" t="n"/>
      <c r="S288" s="791" t="n"/>
      <c r="T288" s="148" t="n"/>
      <c r="U288" s="148" t="n"/>
      <c r="V288" s="148" t="n"/>
      <c r="W288" s="148" t="n"/>
      <c r="X288" s="149" t="n"/>
      <c r="Y288" s="148" t="n"/>
      <c r="Z288" s="148" t="n"/>
      <c r="AA288" s="148" t="n"/>
      <c r="AB288" s="148" t="n"/>
      <c r="AC288" s="148" t="n"/>
      <c r="AD288" s="150" t="n"/>
      <c r="AE288" s="151" t="n"/>
      <c r="AF288" s="152" t="n"/>
      <c r="AG288" s="153" t="n"/>
      <c r="AH288" s="154" t="n"/>
      <c r="AJ288" s="391" t="n"/>
    </row>
    <row r="289" customFormat="1" s="141">
      <c r="A289" s="42" t="n"/>
      <c r="B289" s="791" t="n"/>
      <c r="C289" s="789" t="n"/>
      <c r="D289" s="277" t="n"/>
      <c r="E289" s="789" t="n"/>
      <c r="F289" s="789" t="n"/>
      <c r="G289" s="790" t="n"/>
      <c r="H289" s="791" t="n"/>
      <c r="I289" s="791" t="n"/>
      <c r="J289" s="792" t="n"/>
      <c r="K289" s="792" t="n"/>
      <c r="L289" s="792" t="n"/>
      <c r="M289" s="793" t="n"/>
      <c r="O289" s="142" t="n"/>
      <c r="P289" s="142" t="n"/>
      <c r="Q289" s="791" t="n"/>
      <c r="R289" s="791" t="n"/>
      <c r="S289" s="791" t="n"/>
      <c r="T289" s="148" t="n"/>
      <c r="U289" s="148" t="n"/>
      <c r="V289" s="148" t="n"/>
      <c r="W289" s="148" t="n"/>
      <c r="X289" s="149" t="n"/>
      <c r="Y289" s="148" t="n"/>
      <c r="Z289" s="148" t="n"/>
      <c r="AA289" s="148" t="n"/>
      <c r="AB289" s="148" t="n"/>
      <c r="AC289" s="148" t="n"/>
      <c r="AD289" s="150" t="n"/>
      <c r="AE289" s="151" t="n"/>
      <c r="AF289" s="152" t="n"/>
      <c r="AG289" s="153" t="n"/>
      <c r="AH289" s="154" t="n"/>
      <c r="AJ289" s="391" t="n"/>
    </row>
    <row r="290" customFormat="1" s="141">
      <c r="A290" s="42" t="n"/>
      <c r="B290" s="791" t="n"/>
      <c r="C290" s="789" t="n"/>
      <c r="D290" s="277" t="n"/>
      <c r="E290" s="789" t="n"/>
      <c r="F290" s="789" t="n"/>
      <c r="G290" s="790" t="n"/>
      <c r="H290" s="791" t="n"/>
      <c r="I290" s="791" t="n"/>
      <c r="J290" s="792" t="n"/>
      <c r="K290" s="792" t="n"/>
      <c r="L290" s="792" t="n"/>
      <c r="M290" s="793" t="n"/>
      <c r="O290" s="142" t="n"/>
      <c r="P290" s="142" t="n"/>
      <c r="Q290" s="791" t="n"/>
      <c r="R290" s="791" t="n"/>
      <c r="S290" s="791" t="n"/>
      <c r="T290" s="148" t="n"/>
      <c r="U290" s="148" t="n"/>
      <c r="V290" s="148" t="n"/>
      <c r="W290" s="148" t="n"/>
      <c r="X290" s="149" t="n"/>
      <c r="Y290" s="148" t="n"/>
      <c r="Z290" s="148" t="n"/>
      <c r="AA290" s="148" t="n"/>
      <c r="AB290" s="148" t="n"/>
      <c r="AC290" s="148" t="n"/>
      <c r="AD290" s="150" t="n"/>
      <c r="AE290" s="151" t="n"/>
      <c r="AF290" s="152" t="n"/>
      <c r="AG290" s="153" t="n"/>
      <c r="AH290" s="154" t="n"/>
      <c r="AJ290" s="391" t="n"/>
    </row>
    <row r="291" customFormat="1" s="141">
      <c r="A291" s="42" t="n"/>
      <c r="B291" s="791" t="n"/>
      <c r="C291" s="789" t="n"/>
      <c r="D291" s="277" t="n"/>
      <c r="E291" s="789" t="n"/>
      <c r="F291" s="789" t="n"/>
      <c r="G291" s="790" t="n"/>
      <c r="H291" s="791" t="n"/>
      <c r="I291" s="791" t="n"/>
      <c r="J291" s="792" t="n"/>
      <c r="K291" s="792" t="n"/>
      <c r="L291" s="792" t="n"/>
      <c r="M291" s="793" t="n"/>
      <c r="O291" s="142" t="n"/>
      <c r="P291" s="142" t="n"/>
      <c r="Q291" s="791" t="n"/>
      <c r="R291" s="791" t="n"/>
      <c r="S291" s="791" t="n"/>
      <c r="T291" s="148" t="n"/>
      <c r="U291" s="148" t="n"/>
      <c r="V291" s="148" t="n"/>
      <c r="W291" s="148" t="n"/>
      <c r="X291" s="149" t="n"/>
      <c r="Y291" s="148" t="n"/>
      <c r="Z291" s="148" t="n"/>
      <c r="AA291" s="148" t="n"/>
      <c r="AB291" s="148" t="n"/>
      <c r="AC291" s="148" t="n"/>
      <c r="AD291" s="150" t="n"/>
      <c r="AE291" s="151" t="n"/>
      <c r="AF291" s="152" t="n"/>
      <c r="AG291" s="153" t="n"/>
      <c r="AH291" s="154" t="n"/>
      <c r="AJ291" s="391" t="n"/>
    </row>
    <row r="292" customFormat="1" s="141">
      <c r="A292" s="42" t="n"/>
      <c r="B292" s="791" t="n"/>
      <c r="C292" s="789" t="n"/>
      <c r="D292" s="277" t="n"/>
      <c r="E292" s="789" t="n"/>
      <c r="F292" s="789" t="n"/>
      <c r="G292" s="790" t="n"/>
      <c r="H292" s="791" t="n"/>
      <c r="I292" s="791" t="n"/>
      <c r="J292" s="792" t="n"/>
      <c r="K292" s="792" t="n"/>
      <c r="L292" s="792" t="n"/>
      <c r="M292" s="793" t="n"/>
      <c r="O292" s="142" t="n"/>
      <c r="P292" s="142" t="n"/>
      <c r="Q292" s="791" t="n"/>
      <c r="R292" s="791" t="n"/>
      <c r="S292" s="791" t="n"/>
      <c r="T292" s="148" t="n"/>
      <c r="U292" s="148" t="n"/>
      <c r="V292" s="148" t="n"/>
      <c r="W292" s="148" t="n"/>
      <c r="X292" s="149" t="n"/>
      <c r="Y292" s="148" t="n"/>
      <c r="Z292" s="148" t="n"/>
      <c r="AA292" s="148" t="n"/>
      <c r="AB292" s="148" t="n"/>
      <c r="AC292" s="148" t="n"/>
      <c r="AD292" s="150" t="n"/>
      <c r="AE292" s="151" t="n"/>
      <c r="AF292" s="152" t="n"/>
      <c r="AG292" s="153" t="n"/>
      <c r="AH292" s="154" t="n"/>
      <c r="AJ292" s="391" t="n"/>
    </row>
    <row r="293" customFormat="1" s="141">
      <c r="A293" s="42" t="n"/>
      <c r="B293" s="791" t="n"/>
      <c r="C293" s="789" t="n"/>
      <c r="D293" s="277" t="n"/>
      <c r="E293" s="789" t="n"/>
      <c r="F293" s="789" t="n"/>
      <c r="G293" s="790" t="n"/>
      <c r="H293" s="791" t="n"/>
      <c r="I293" s="791" t="n"/>
      <c r="J293" s="792" t="n"/>
      <c r="K293" s="792" t="n"/>
      <c r="L293" s="792" t="n"/>
      <c r="M293" s="793" t="n"/>
      <c r="O293" s="142" t="n"/>
      <c r="P293" s="142" t="n"/>
      <c r="Q293" s="791" t="n"/>
      <c r="R293" s="791" t="n"/>
      <c r="S293" s="791" t="n"/>
      <c r="T293" s="148" t="n"/>
      <c r="U293" s="148" t="n"/>
      <c r="V293" s="148" t="n"/>
      <c r="W293" s="148" t="n"/>
      <c r="X293" s="149" t="n"/>
      <c r="Y293" s="148" t="n"/>
      <c r="Z293" s="148" t="n"/>
      <c r="AA293" s="148" t="n"/>
      <c r="AB293" s="148" t="n"/>
      <c r="AC293" s="148" t="n"/>
      <c r="AD293" s="150" t="n"/>
      <c r="AE293" s="151" t="n"/>
      <c r="AF293" s="152" t="n"/>
      <c r="AG293" s="153" t="n"/>
      <c r="AH293" s="154" t="n"/>
      <c r="AJ293" s="391" t="n"/>
    </row>
    <row r="294" customFormat="1" s="141">
      <c r="A294" s="42" t="n"/>
      <c r="B294" s="791" t="n"/>
      <c r="C294" s="789" t="n"/>
      <c r="D294" s="277" t="n"/>
      <c r="E294" s="789" t="n"/>
      <c r="F294" s="789" t="n"/>
      <c r="G294" s="790" t="n"/>
      <c r="H294" s="791" t="n"/>
      <c r="I294" s="791" t="n"/>
      <c r="J294" s="792" t="n"/>
      <c r="K294" s="792" t="n"/>
      <c r="L294" s="792" t="n"/>
      <c r="M294" s="793" t="n"/>
      <c r="O294" s="142" t="n"/>
      <c r="P294" s="142" t="n"/>
      <c r="Q294" s="791" t="n"/>
      <c r="R294" s="791" t="n"/>
      <c r="S294" s="791" t="n"/>
      <c r="T294" s="148" t="n"/>
      <c r="U294" s="148" t="n"/>
      <c r="V294" s="148" t="n"/>
      <c r="W294" s="148" t="n"/>
      <c r="X294" s="149" t="n"/>
      <c r="Y294" s="148" t="n"/>
      <c r="Z294" s="148" t="n"/>
      <c r="AA294" s="148" t="n"/>
      <c r="AB294" s="148" t="n"/>
      <c r="AC294" s="148" t="n"/>
      <c r="AD294" s="150" t="n"/>
      <c r="AE294" s="151" t="n"/>
      <c r="AF294" s="152" t="n"/>
      <c r="AG294" s="153" t="n"/>
      <c r="AH294" s="154" t="n"/>
      <c r="AJ294" s="391" t="n"/>
    </row>
    <row r="295" customFormat="1" s="141">
      <c r="A295" s="42" t="n"/>
      <c r="B295" s="791" t="n"/>
      <c r="C295" s="789" t="n"/>
      <c r="D295" s="277" t="n"/>
      <c r="E295" s="789" t="n"/>
      <c r="F295" s="789" t="n"/>
      <c r="G295" s="790" t="n"/>
      <c r="H295" s="791" t="n"/>
      <c r="I295" s="791" t="n"/>
      <c r="J295" s="792" t="n"/>
      <c r="K295" s="792" t="n"/>
      <c r="L295" s="792" t="n"/>
      <c r="M295" s="793" t="n"/>
      <c r="O295" s="142" t="n"/>
      <c r="P295" s="142" t="n"/>
      <c r="Q295" s="791" t="n"/>
      <c r="R295" s="791" t="n"/>
      <c r="S295" s="791" t="n"/>
      <c r="T295" s="148" t="n"/>
      <c r="U295" s="148" t="n"/>
      <c r="V295" s="148" t="n"/>
      <c r="W295" s="148" t="n"/>
      <c r="X295" s="149" t="n"/>
      <c r="Y295" s="148" t="n"/>
      <c r="Z295" s="148" t="n"/>
      <c r="AA295" s="148" t="n"/>
      <c r="AB295" s="148" t="n"/>
      <c r="AC295" s="148" t="n"/>
      <c r="AD295" s="150" t="n"/>
      <c r="AE295" s="151" t="n"/>
      <c r="AF295" s="152" t="n"/>
      <c r="AG295" s="153" t="n"/>
      <c r="AH295" s="154" t="n"/>
      <c r="AJ295" s="391" t="n"/>
    </row>
  </sheetData>
  <mergeCells count="3">
    <mergeCell ref="A5:N5"/>
    <mergeCell ref="D3:M3"/>
    <mergeCell ref="A2:P2"/>
  </mergeCells>
  <conditionalFormatting sqref="N6:N14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Jade Tham</dc:creator>
  <dcterms:created xsi:type="dcterms:W3CDTF">2024-06-27T11:40:37Z</dcterms:created>
  <dcterms:modified xsi:type="dcterms:W3CDTF">2025-12-17T01:50:55Z</dcterms:modified>
  <cp:lastModifiedBy>Nguyễn Đức Trọng</cp:lastModifiedBy>
  <cp:lastPrinted>2024-12-17T04:37:27Z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0x010100DA0DF4CE5456A34D9E06DC7ED819F06F</vt:lpwstr>
  </property>
</Properties>
</file>
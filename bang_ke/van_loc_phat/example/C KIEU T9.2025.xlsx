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9\"/>
    </mc:Choice>
  </mc:AlternateContent>
  <xr:revisionPtr revIDLastSave="0" documentId="13_ncr:1_{8F740F41-B2A5-4CD3-87EA-4170642121C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IEU" sheetId="7" r:id="rId1"/>
    <sheet name="NAM" sheetId="4" r:id="rId2"/>
    <sheet name="TU 2T" sheetId="3" r:id="rId3"/>
    <sheet name="HOANG" sheetId="5" r:id="rId4"/>
    <sheet name="TUAN" sheetId="2" r:id="rId5"/>
    <sheet name="DANH" sheetId="9" r:id="rId6"/>
    <sheet name="TU 4T" sheetId="1" r:id="rId7"/>
    <sheet name="HUU" sheetId="6" r:id="rId8"/>
    <sheet name="TH" sheetId="8" r:id="rId9"/>
  </sheets>
  <externalReferences>
    <externalReference r:id="rId10"/>
  </externalReferences>
  <definedNames>
    <definedName name="_xlnm._FilterDatabase" localSheetId="7" hidden="1">HUU!$A$5:$R$50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8" i="6" l="1"/>
  <c r="Q62" i="6"/>
  <c r="R62" i="6" s="1"/>
  <c r="K62" i="6"/>
  <c r="P55" i="6"/>
  <c r="Q61" i="6" s="1"/>
  <c r="O55" i="6"/>
  <c r="Q60" i="6" s="1"/>
  <c r="N55" i="6"/>
  <c r="M55" i="6"/>
  <c r="L55" i="6"/>
  <c r="K55" i="6"/>
  <c r="J55" i="6"/>
  <c r="P61" i="6" s="1"/>
  <c r="Q54" i="6"/>
  <c r="Q53" i="6"/>
  <c r="Q52" i="6"/>
  <c r="Q51" i="6"/>
  <c r="Q50" i="6"/>
  <c r="I50" i="6"/>
  <c r="H50" i="6"/>
  <c r="Q49" i="6"/>
  <c r="Q48" i="6"/>
  <c r="Q47" i="6"/>
  <c r="Q46" i="6"/>
  <c r="Q45" i="6"/>
  <c r="Q44" i="6"/>
  <c r="Q43" i="6"/>
  <c r="I43" i="6"/>
  <c r="H43" i="6"/>
  <c r="Q42" i="6"/>
  <c r="Q41" i="6"/>
  <c r="H41" i="6"/>
  <c r="Q40" i="6"/>
  <c r="I40" i="6"/>
  <c r="H40" i="6"/>
  <c r="Q39" i="6"/>
  <c r="I39" i="6"/>
  <c r="H39" i="6"/>
  <c r="Q38" i="6"/>
  <c r="I38" i="6"/>
  <c r="H38" i="6"/>
  <c r="Q37" i="6"/>
  <c r="Q36" i="6"/>
  <c r="Q35" i="6"/>
  <c r="I35" i="6"/>
  <c r="H35" i="6"/>
  <c r="Q34" i="6"/>
  <c r="Q33" i="6"/>
  <c r="Q32" i="6"/>
  <c r="Q31" i="6"/>
  <c r="Q30" i="6"/>
  <c r="Q28" i="6"/>
  <c r="Q27" i="6"/>
  <c r="Q26" i="6"/>
  <c r="I26" i="6"/>
  <c r="H26" i="6"/>
  <c r="Q25" i="6"/>
  <c r="G25" i="6"/>
  <c r="G55" i="6" s="1"/>
  <c r="G59" i="6" s="1"/>
  <c r="Q24" i="6"/>
  <c r="Q23" i="6"/>
  <c r="Q22" i="6"/>
  <c r="Q21" i="6"/>
  <c r="Q20" i="6"/>
  <c r="I20" i="6"/>
  <c r="H20" i="6"/>
  <c r="Q19" i="6"/>
  <c r="I19" i="6"/>
  <c r="H19" i="6"/>
  <c r="Q18" i="6"/>
  <c r="I18" i="6"/>
  <c r="H18" i="6"/>
  <c r="Q17" i="6"/>
  <c r="Q16" i="6"/>
  <c r="Q15" i="6"/>
  <c r="Q13" i="6"/>
  <c r="Q12" i="6"/>
  <c r="I12" i="6"/>
  <c r="I55" i="6" s="1"/>
  <c r="H12" i="6"/>
  <c r="Q11" i="6"/>
  <c r="Q9" i="6"/>
  <c r="Q8" i="6"/>
  <c r="A3" i="6"/>
  <c r="A1" i="6"/>
  <c r="G68" i="1"/>
  <c r="P62" i="1"/>
  <c r="N56" i="1"/>
  <c r="N71" i="1" s="1"/>
  <c r="M56" i="1"/>
  <c r="L56" i="1"/>
  <c r="L71" i="1" s="1"/>
  <c r="L72" i="1" s="1"/>
  <c r="K56" i="1"/>
  <c r="J56" i="1"/>
  <c r="J61" i="1" s="1"/>
  <c r="Q54" i="1"/>
  <c r="P53" i="1"/>
  <c r="O52" i="1"/>
  <c r="Q52" i="1" s="1"/>
  <c r="Q51" i="1"/>
  <c r="Q50" i="1"/>
  <c r="G50" i="1"/>
  <c r="G56" i="1" s="1"/>
  <c r="Q49" i="1"/>
  <c r="Q48" i="1"/>
  <c r="Q47" i="1"/>
  <c r="Q45" i="1"/>
  <c r="I45" i="1"/>
  <c r="H45" i="1"/>
  <c r="Q44" i="1"/>
  <c r="Q43" i="1"/>
  <c r="P42" i="1"/>
  <c r="Q40" i="1"/>
  <c r="Q38" i="1"/>
  <c r="P37" i="1"/>
  <c r="Q37" i="1" s="1"/>
  <c r="G37" i="1"/>
  <c r="Q35" i="1"/>
  <c r="H35" i="1"/>
  <c r="Q34" i="1"/>
  <c r="I34" i="1"/>
  <c r="H34" i="1"/>
  <c r="O33" i="1"/>
  <c r="Q33" i="1" s="1"/>
  <c r="Q32" i="1"/>
  <c r="Q31" i="1"/>
  <c r="Q28" i="1"/>
  <c r="Q27" i="1"/>
  <c r="Q26" i="1"/>
  <c r="Q25" i="1"/>
  <c r="Q24" i="1"/>
  <c r="I24" i="1"/>
  <c r="I56" i="1" s="1"/>
  <c r="I61" i="1" s="1"/>
  <c r="H24" i="1"/>
  <c r="Q22" i="1"/>
  <c r="Q21" i="1"/>
  <c r="Q20" i="1"/>
  <c r="Q17" i="1"/>
  <c r="Q15" i="1"/>
  <c r="Q13" i="1"/>
  <c r="P12" i="1"/>
  <c r="Q12" i="1" s="1"/>
  <c r="Q10" i="1"/>
  <c r="Q8" i="1"/>
  <c r="A3" i="1"/>
  <c r="A1" i="1"/>
  <c r="G59" i="9"/>
  <c r="Q53" i="9"/>
  <c r="R53" i="9" s="1"/>
  <c r="K53" i="9"/>
  <c r="G50" i="9"/>
  <c r="N46" i="9"/>
  <c r="M46" i="9"/>
  <c r="L46" i="9"/>
  <c r="Q50" i="9" s="1"/>
  <c r="R50" i="9" s="1"/>
  <c r="K46" i="9"/>
  <c r="J46" i="9"/>
  <c r="P52" i="9" s="1"/>
  <c r="G46" i="9"/>
  <c r="Q45" i="9"/>
  <c r="Q44" i="9"/>
  <c r="Q43" i="9"/>
  <c r="Q42" i="9"/>
  <c r="Q41" i="9"/>
  <c r="G41" i="9"/>
  <c r="Q40" i="9"/>
  <c r="Q39" i="9"/>
  <c r="Q38" i="9"/>
  <c r="Q37" i="9"/>
  <c r="P36" i="9"/>
  <c r="Q36" i="9" s="1"/>
  <c r="Q35" i="9"/>
  <c r="P34" i="9"/>
  <c r="Q32" i="9" s="1"/>
  <c r="Q31" i="9"/>
  <c r="H30" i="9"/>
  <c r="Q29" i="9"/>
  <c r="Q28" i="9"/>
  <c r="P27" i="9"/>
  <c r="Q27" i="9" s="1"/>
  <c r="Q26" i="9"/>
  <c r="Q25" i="9"/>
  <c r="Q23" i="9"/>
  <c r="I23" i="9"/>
  <c r="H23" i="9"/>
  <c r="Q22" i="9"/>
  <c r="Q21" i="9"/>
  <c r="Q20" i="9"/>
  <c r="Q19" i="9"/>
  <c r="P18" i="9"/>
  <c r="P46" i="9" s="1"/>
  <c r="Q52" i="9" s="1"/>
  <c r="Q17" i="9"/>
  <c r="Q16" i="9"/>
  <c r="Q15" i="9"/>
  <c r="I15" i="9"/>
  <c r="H15" i="9"/>
  <c r="Q14" i="9"/>
  <c r="Q13" i="9"/>
  <c r="Q12" i="9"/>
  <c r="I12" i="9"/>
  <c r="H12" i="9"/>
  <c r="O10" i="9"/>
  <c r="O46" i="9" s="1"/>
  <c r="Q8" i="9"/>
  <c r="I8" i="9"/>
  <c r="H8" i="9"/>
  <c r="A3" i="9"/>
  <c r="A1" i="9"/>
  <c r="G67" i="2"/>
  <c r="Q59" i="2"/>
  <c r="K59" i="2"/>
  <c r="N55" i="2"/>
  <c r="N70" i="2" s="1"/>
  <c r="M55" i="2"/>
  <c r="L55" i="2"/>
  <c r="L70" i="2" s="1"/>
  <c r="L71" i="2" s="1"/>
  <c r="K55" i="2"/>
  <c r="J55" i="2"/>
  <c r="P61" i="2" s="1"/>
  <c r="G55" i="2"/>
  <c r="G59" i="2" s="1"/>
  <c r="Q54" i="2"/>
  <c r="Q53" i="2"/>
  <c r="Q52" i="2"/>
  <c r="Q51" i="2"/>
  <c r="Q50" i="2"/>
  <c r="Q49" i="2"/>
  <c r="Q48" i="2"/>
  <c r="Q47" i="2"/>
  <c r="Q45" i="2"/>
  <c r="O44" i="2"/>
  <c r="Q44" i="2" s="1"/>
  <c r="Q42" i="2"/>
  <c r="Q41" i="2"/>
  <c r="I40" i="2"/>
  <c r="H40" i="2"/>
  <c r="I39" i="2"/>
  <c r="H39" i="2"/>
  <c r="Q38" i="2"/>
  <c r="P37" i="2"/>
  <c r="Q37" i="2" s="1"/>
  <c r="Q36" i="2"/>
  <c r="I36" i="2"/>
  <c r="H36" i="2"/>
  <c r="Q34" i="2"/>
  <c r="Q32" i="2"/>
  <c r="Q31" i="2"/>
  <c r="Q30" i="2"/>
  <c r="Q28" i="2"/>
  <c r="Q26" i="2"/>
  <c r="Q24" i="2"/>
  <c r="Q23" i="2"/>
  <c r="Q21" i="2"/>
  <c r="O19" i="2"/>
  <c r="O55" i="2" s="1"/>
  <c r="Q60" i="2" s="1"/>
  <c r="Q18" i="2"/>
  <c r="Q17" i="2"/>
  <c r="Q16" i="2"/>
  <c r="Q15" i="2"/>
  <c r="I15" i="2"/>
  <c r="H15" i="2"/>
  <c r="Q14" i="2"/>
  <c r="Q12" i="2"/>
  <c r="Q10" i="2"/>
  <c r="I10" i="2"/>
  <c r="H10" i="2"/>
  <c r="A3" i="2"/>
  <c r="A1" i="2"/>
  <c r="G62" i="5"/>
  <c r="O51" i="5"/>
  <c r="N51" i="5"/>
  <c r="M51" i="5"/>
  <c r="Q56" i="5" s="1"/>
  <c r="L51" i="5"/>
  <c r="Q55" i="5" s="1"/>
  <c r="K51" i="5"/>
  <c r="J51" i="5"/>
  <c r="P57" i="5" s="1"/>
  <c r="G51" i="5"/>
  <c r="G55" i="5" s="1"/>
  <c r="R55" i="5" s="1"/>
  <c r="Q50" i="5"/>
  <c r="Q49" i="5"/>
  <c r="H49" i="5"/>
  <c r="Q48" i="5"/>
  <c r="Q47" i="5"/>
  <c r="Q45" i="5"/>
  <c r="Q44" i="5"/>
  <c r="Q40" i="5"/>
  <c r="Q38" i="5"/>
  <c r="P35" i="5"/>
  <c r="Q35" i="5" s="1"/>
  <c r="Q33" i="5"/>
  <c r="Q32" i="5"/>
  <c r="I32" i="5"/>
  <c r="H32" i="5"/>
  <c r="Q30" i="5"/>
  <c r="Q28" i="5"/>
  <c r="Q27" i="5"/>
  <c r="Q26" i="5"/>
  <c r="I24" i="5"/>
  <c r="I51" i="5" s="1"/>
  <c r="I56" i="5" s="1"/>
  <c r="H24" i="5"/>
  <c r="Q23" i="5"/>
  <c r="Q20" i="5"/>
  <c r="Q19" i="5"/>
  <c r="Q15" i="5"/>
  <c r="I15" i="5"/>
  <c r="H15" i="5"/>
  <c r="Q14" i="5"/>
  <c r="P13" i="5"/>
  <c r="Q13" i="5" s="1"/>
  <c r="Q10" i="5"/>
  <c r="P9" i="5"/>
  <c r="Q8" i="5"/>
  <c r="A3" i="5"/>
  <c r="A1" i="5"/>
  <c r="G66" i="3"/>
  <c r="G58" i="3"/>
  <c r="P54" i="3"/>
  <c r="Q60" i="3" s="1"/>
  <c r="O54" i="3"/>
  <c r="N54" i="3"/>
  <c r="M54" i="3"/>
  <c r="Q59" i="3" s="1"/>
  <c r="L54" i="3"/>
  <c r="K54" i="3"/>
  <c r="G54" i="3"/>
  <c r="Q53" i="3"/>
  <c r="Q52" i="3"/>
  <c r="Q51" i="3"/>
  <c r="I51" i="3"/>
  <c r="H51" i="3"/>
  <c r="Q50" i="3"/>
  <c r="Q48" i="3"/>
  <c r="Q47" i="3"/>
  <c r="I46" i="3"/>
  <c r="H46" i="3"/>
  <c r="Q45" i="3"/>
  <c r="Q44" i="3"/>
  <c r="I44" i="3"/>
  <c r="H44" i="3"/>
  <c r="Q43" i="3"/>
  <c r="Q42" i="3"/>
  <c r="I42" i="3"/>
  <c r="H42" i="3"/>
  <c r="H54" i="3" s="1"/>
  <c r="Q41" i="3"/>
  <c r="Q40" i="3"/>
  <c r="Q37" i="3"/>
  <c r="Q36" i="3"/>
  <c r="Q34" i="3"/>
  <c r="Q33" i="3"/>
  <c r="Q32" i="3"/>
  <c r="Q31" i="3"/>
  <c r="Q30" i="3"/>
  <c r="I30" i="3"/>
  <c r="H30" i="3"/>
  <c r="Q29" i="3"/>
  <c r="Q28" i="3"/>
  <c r="Q27" i="3"/>
  <c r="Q25" i="3"/>
  <c r="Q23" i="3"/>
  <c r="Q20" i="3"/>
  <c r="Q19" i="3"/>
  <c r="Q17" i="3"/>
  <c r="Q16" i="3"/>
  <c r="Q15" i="3"/>
  <c r="Q13" i="3"/>
  <c r="Q12" i="3"/>
  <c r="Q10" i="3"/>
  <c r="Q9" i="3"/>
  <c r="Q8" i="3"/>
  <c r="A3" i="3"/>
  <c r="A1" i="3"/>
  <c r="G71" i="4"/>
  <c r="P59" i="4"/>
  <c r="Q65" i="4" s="1"/>
  <c r="N59" i="4"/>
  <c r="M59" i="4"/>
  <c r="Q64" i="4" s="1"/>
  <c r="L59" i="4"/>
  <c r="Q63" i="4" s="1"/>
  <c r="K59" i="4"/>
  <c r="G59" i="4"/>
  <c r="G63" i="4" s="1"/>
  <c r="Q57" i="4"/>
  <c r="Q54" i="4"/>
  <c r="Q53" i="4"/>
  <c r="Q52" i="4"/>
  <c r="I52" i="4"/>
  <c r="Q49" i="4"/>
  <c r="Q48" i="4"/>
  <c r="Q47" i="4"/>
  <c r="I46" i="4"/>
  <c r="H46" i="4"/>
  <c r="Q45" i="4"/>
  <c r="Q44" i="4"/>
  <c r="Q43" i="4"/>
  <c r="Q42" i="4"/>
  <c r="Q41" i="4"/>
  <c r="Q40" i="4"/>
  <c r="Q38" i="4"/>
  <c r="Q37" i="4"/>
  <c r="I37" i="4"/>
  <c r="H37" i="4"/>
  <c r="Q36" i="4"/>
  <c r="Q35" i="4"/>
  <c r="Q34" i="4"/>
  <c r="Q33" i="4"/>
  <c r="I33" i="4"/>
  <c r="H33" i="4"/>
  <c r="Q32" i="4"/>
  <c r="Q29" i="4"/>
  <c r="Q28" i="4"/>
  <c r="I28" i="4"/>
  <c r="H28" i="4"/>
  <c r="I26" i="4"/>
  <c r="H26" i="4"/>
  <c r="Q25" i="4"/>
  <c r="I25" i="4"/>
  <c r="H25" i="4"/>
  <c r="H59" i="4" s="1"/>
  <c r="Q23" i="4"/>
  <c r="Q22" i="4"/>
  <c r="Q21" i="4"/>
  <c r="Q20" i="4"/>
  <c r="O19" i="4"/>
  <c r="O59" i="4" s="1"/>
  <c r="Q18" i="4"/>
  <c r="Q16" i="4"/>
  <c r="Q14" i="4"/>
  <c r="Q11" i="4"/>
  <c r="Q10" i="4"/>
  <c r="Q8" i="4"/>
  <c r="A3" i="4"/>
  <c r="A1" i="4"/>
  <c r="R72" i="7"/>
  <c r="G69" i="7"/>
  <c r="P57" i="7"/>
  <c r="Q63" i="7" s="1"/>
  <c r="O57" i="7"/>
  <c r="N57" i="7"/>
  <c r="M57" i="7"/>
  <c r="Q62" i="7" s="1"/>
  <c r="L57" i="7"/>
  <c r="K57" i="7"/>
  <c r="G57" i="7"/>
  <c r="G61" i="7" s="1"/>
  <c r="Q56" i="7"/>
  <c r="Q55" i="7"/>
  <c r="Q54" i="7"/>
  <c r="Q53" i="7"/>
  <c r="Q52" i="7"/>
  <c r="I52" i="7"/>
  <c r="H52" i="7"/>
  <c r="Q50" i="7"/>
  <c r="I50" i="7"/>
  <c r="H50" i="7"/>
  <c r="Q48" i="7"/>
  <c r="Q47" i="7"/>
  <c r="Q46" i="7"/>
  <c r="Q45" i="7"/>
  <c r="Q44" i="7"/>
  <c r="Q42" i="7"/>
  <c r="I41" i="7"/>
  <c r="Q40" i="7"/>
  <c r="I40" i="7"/>
  <c r="H40" i="7"/>
  <c r="Q39" i="7"/>
  <c r="I39" i="7"/>
  <c r="H39" i="7"/>
  <c r="I38" i="7"/>
  <c r="H38" i="7"/>
  <c r="Q37" i="7"/>
  <c r="Q36" i="7"/>
  <c r="Q35" i="7"/>
  <c r="I35" i="7"/>
  <c r="H35" i="7"/>
  <c r="Q34" i="7"/>
  <c r="Q33" i="7"/>
  <c r="Q32" i="7"/>
  <c r="I32" i="7"/>
  <c r="H32" i="7"/>
  <c r="Q31" i="7"/>
  <c r="Q30" i="7"/>
  <c r="I30" i="7"/>
  <c r="H30" i="7"/>
  <c r="Q28" i="7"/>
  <c r="I28" i="7"/>
  <c r="H28" i="7"/>
  <c r="Q27" i="7"/>
  <c r="Q26" i="7"/>
  <c r="I26" i="7"/>
  <c r="H26" i="7"/>
  <c r="Q23" i="7"/>
  <c r="Q22" i="7"/>
  <c r="I22" i="7"/>
  <c r="H22" i="7"/>
  <c r="Q21" i="7"/>
  <c r="Q20" i="7"/>
  <c r="Q18" i="7"/>
  <c r="Q14" i="7"/>
  <c r="Q13" i="7"/>
  <c r="Q12" i="7"/>
  <c r="Q10" i="7"/>
  <c r="I9" i="7"/>
  <c r="I57" i="7" s="1"/>
  <c r="H9" i="7"/>
  <c r="H57" i="7" s="1"/>
  <c r="Q8" i="7"/>
  <c r="A3" i="7"/>
  <c r="A1" i="7"/>
  <c r="K55" i="5" l="1"/>
  <c r="Q19" i="2"/>
  <c r="Q61" i="7"/>
  <c r="R61" i="7" s="1"/>
  <c r="I59" i="4"/>
  <c r="I64" i="4" s="1"/>
  <c r="R64" i="4" s="1"/>
  <c r="P51" i="5"/>
  <c r="Q57" i="5" s="1"/>
  <c r="H46" i="9"/>
  <c r="I46" i="9"/>
  <c r="K50" i="9" s="1"/>
  <c r="Q51" i="9"/>
  <c r="Q61" i="1"/>
  <c r="Q59" i="6"/>
  <c r="Q54" i="3"/>
  <c r="C4" i="8" s="1"/>
  <c r="P56" i="1"/>
  <c r="O56" i="1"/>
  <c r="H56" i="1"/>
  <c r="H51" i="5"/>
  <c r="I54" i="3"/>
  <c r="K58" i="3" s="1"/>
  <c r="Q57" i="7"/>
  <c r="C2" i="8" s="1"/>
  <c r="Q58" i="3"/>
  <c r="H55" i="2"/>
  <c r="I55" i="2"/>
  <c r="I60" i="2" s="1"/>
  <c r="R60" i="2" s="1"/>
  <c r="P55" i="2"/>
  <c r="H55" i="6"/>
  <c r="R63" i="4"/>
  <c r="Q55" i="6"/>
  <c r="C8" i="8" s="1"/>
  <c r="K59" i="6"/>
  <c r="I60" i="6"/>
  <c r="S62" i="6"/>
  <c r="R60" i="6"/>
  <c r="Q56" i="6"/>
  <c r="Q57" i="6" s="1"/>
  <c r="S61" i="6"/>
  <c r="R59" i="6"/>
  <c r="R61" i="6"/>
  <c r="G60" i="1"/>
  <c r="K60" i="1"/>
  <c r="R61" i="1"/>
  <c r="P71" i="1"/>
  <c r="Q62" i="1"/>
  <c r="R62" i="1" s="1"/>
  <c r="Q42" i="1"/>
  <c r="Q56" i="1" s="1"/>
  <c r="C7" i="8" s="1"/>
  <c r="Q60" i="1"/>
  <c r="R52" i="9"/>
  <c r="Q18" i="9"/>
  <c r="Q10" i="9"/>
  <c r="Q46" i="9" s="1"/>
  <c r="C9" i="8" s="1"/>
  <c r="J52" i="9"/>
  <c r="R59" i="2"/>
  <c r="Q8" i="2"/>
  <c r="Q55" i="2" s="1"/>
  <c r="C6" i="8" s="1"/>
  <c r="J60" i="2"/>
  <c r="R57" i="5"/>
  <c r="R56" i="5"/>
  <c r="Q9" i="5"/>
  <c r="Q51" i="5" s="1"/>
  <c r="C5" i="8" s="1"/>
  <c r="R69" i="3"/>
  <c r="Q55" i="3"/>
  <c r="Q56" i="3" s="1"/>
  <c r="K63" i="4"/>
  <c r="Q19" i="4"/>
  <c r="Q59" i="4" s="1"/>
  <c r="C3" i="8" s="1"/>
  <c r="I62" i="7"/>
  <c r="R62" i="7" s="1"/>
  <c r="K61" i="7"/>
  <c r="I59" i="3" l="1"/>
  <c r="M63" i="6"/>
  <c r="U56" i="7"/>
  <c r="Q58" i="7"/>
  <c r="Q59" i="7" s="1"/>
  <c r="I51" i="9"/>
  <c r="R51" i="9" s="1"/>
  <c r="P70" i="2"/>
  <c r="Q61" i="2"/>
  <c r="R61" i="2" s="1"/>
  <c r="R60" i="1"/>
  <c r="Q57" i="1"/>
  <c r="Q58" i="1" s="1"/>
  <c r="Q71" i="1"/>
  <c r="Q47" i="9"/>
  <c r="Q48" i="9" s="1"/>
  <c r="Q56" i="2"/>
  <c r="Q57" i="2" s="1"/>
  <c r="Q70" i="2"/>
  <c r="R65" i="5"/>
  <c r="Q52" i="5"/>
  <c r="Q53" i="5" s="1"/>
  <c r="R74" i="4"/>
  <c r="Q60" i="4"/>
  <c r="Q61" i="4" s="1"/>
  <c r="P65" i="4"/>
  <c r="R65" i="4" s="1"/>
  <c r="C10" i="8" l="1"/>
  <c r="D9" i="8" l="1"/>
  <c r="E9" i="8" s="1"/>
  <c r="D2" i="8" l="1"/>
  <c r="E2" i="8" l="1"/>
  <c r="D4" i="8" l="1"/>
  <c r="D7" i="8"/>
  <c r="E7" i="8" s="1"/>
  <c r="D3" i="8"/>
  <c r="D8" i="8" l="1"/>
  <c r="E8" i="8" s="1"/>
  <c r="D6" i="8"/>
  <c r="E6" i="8" s="1"/>
  <c r="E3" i="8"/>
  <c r="E4" i="8"/>
  <c r="D5" i="8"/>
  <c r="D10" i="8" l="1"/>
  <c r="E5" i="8"/>
  <c r="E10" i="8" s="1"/>
</calcChain>
</file>

<file path=xl/sharedStrings.xml><?xml version="1.0" encoding="utf-8"?>
<sst xmlns="http://schemas.openxmlformats.org/spreadsheetml/2006/main" count="1592" uniqueCount="391">
  <si>
    <t>CHI PHÍ VẬN CHUYỂN HÀNG NỘI ĐỊA</t>
  </si>
  <si>
    <t xml:space="preserve">STT
次序 </t>
  </si>
  <si>
    <t>Ngày xuất 
hàng 日期</t>
  </si>
  <si>
    <t>Đơn xuất 
hàng 销货单</t>
  </si>
  <si>
    <t xml:space="preserve">Khách hàng
客户 </t>
  </si>
  <si>
    <t>Địa chỉ 
KH 送货地址</t>
  </si>
  <si>
    <t>SỐ LƯỢNG
重量 NET WEIGHT</t>
  </si>
  <si>
    <t>SỐ LƯỢNG
重量 (kg)
GROSS WEIGHT</t>
  </si>
  <si>
    <t>PHÍ VẬN CHUYỂN
路运费</t>
  </si>
  <si>
    <t>CHI PHÍ KHÁC
(LẤY HÀNG VỀ/GIAO MẪU…)</t>
  </si>
  <si>
    <t>CHỞ PHẾ</t>
  </si>
  <si>
    <t>THÀNH TIỀN
合计</t>
  </si>
  <si>
    <t>GHI CHÚ</t>
  </si>
  <si>
    <t>NỘI THÀNH</t>
  </si>
  <si>
    <t>NGOẠI THÀNH</t>
  </si>
  <si>
    <t>MÀNG NHỰA</t>
  </si>
  <si>
    <t>ĐỊNH HÌNH</t>
  </si>
  <si>
    <t>PHẾ LIỆU</t>
  </si>
  <si>
    <t>KG</t>
  </si>
  <si>
    <t>PCS</t>
  </si>
  <si>
    <t>TỔNG CỘNG</t>
  </si>
  <si>
    <t>THUẾ VAT 8%</t>
  </si>
  <si>
    <t>TỔNG TIỀN ĐÃ BAO GỒM THUẾ</t>
  </si>
  <si>
    <t>PHÍ VẬN CHUYỂN HÀNG MÀNG NHỰA:</t>
  </si>
  <si>
    <t>PHÍ VẬN CHUYỂN HÀNG ĐỊNH HÌNH:</t>
  </si>
  <si>
    <t>PHÍ VẬN CHUYỂN LIỆU + PHẾ LIỆU</t>
  </si>
  <si>
    <t>PHÍ VẬN CHUYỂN HÀNG CHUYỂN KHO</t>
  </si>
  <si>
    <t>核准  Phê duyệt</t>
  </si>
  <si>
    <t>製表 Lập phiếu</t>
  </si>
  <si>
    <t>NCC: ANH TÚ - 2.5T</t>
  </si>
  <si>
    <t>NGUYỄN TRỌNG HỮU</t>
  </si>
  <si>
    <t>NCC: TRỊNH MINH HIẾU</t>
  </si>
  <si>
    <t>TỔNG CỘNG:</t>
  </si>
  <si>
    <t>TRỊNH MINH HIẾU</t>
  </si>
  <si>
    <t>TAN UYEN</t>
  </si>
  <si>
    <t>NAM</t>
  </si>
  <si>
    <t>TÚ</t>
  </si>
  <si>
    <t>HOÀNG</t>
  </si>
  <si>
    <t>HỮU</t>
  </si>
  <si>
    <t>STT</t>
  </si>
  <si>
    <t>XE</t>
  </si>
  <si>
    <t>PHÍ VC CHƯA VAT</t>
  </si>
  <si>
    <t>VAT 8%</t>
  </si>
  <si>
    <t>THÀNH TIỀN</t>
  </si>
  <si>
    <t>TỔNG</t>
  </si>
  <si>
    <t>NCC: ANH TUẤN - 7T</t>
  </si>
  <si>
    <t>HIẾU</t>
  </si>
  <si>
    <t>TUẤN</t>
  </si>
  <si>
    <t>Q8</t>
  </si>
  <si>
    <t>HOC MON</t>
  </si>
  <si>
    <t>CHI YEN</t>
  </si>
  <si>
    <t>BINH TAN</t>
  </si>
  <si>
    <t>P&amp;G</t>
  </si>
  <si>
    <t>BEN CAT</t>
  </si>
  <si>
    <t>BIOVEGI</t>
  </si>
  <si>
    <t>Q1</t>
  </si>
  <si>
    <t>2X</t>
  </si>
  <si>
    <t>THUAN AN</t>
  </si>
  <si>
    <t>C2</t>
  </si>
  <si>
    <t>DI AN</t>
  </si>
  <si>
    <t>STARPRINT</t>
  </si>
  <si>
    <t>DAI TIEN</t>
  </si>
  <si>
    <t>Ư</t>
  </si>
  <si>
    <t>PHU HOI</t>
  </si>
  <si>
    <t>DANH</t>
  </si>
  <si>
    <t>HANA</t>
  </si>
  <si>
    <t>Q9</t>
  </si>
  <si>
    <t>TAN PHU</t>
  </si>
  <si>
    <t>THU DUC</t>
  </si>
  <si>
    <t>Q12</t>
  </si>
  <si>
    <t>MINH PHUONG</t>
  </si>
  <si>
    <t>BINH CHANH</t>
  </si>
  <si>
    <t>RVC</t>
  </si>
  <si>
    <t>NIDEC VN</t>
  </si>
  <si>
    <t>TDM</t>
  </si>
  <si>
    <t>COLGATE</t>
  </si>
  <si>
    <t>BIEN HOA</t>
  </si>
  <si>
    <t>KIEN XUONG</t>
  </si>
  <si>
    <t>CAN GIUOC</t>
  </si>
  <si>
    <t>HIEP HUNG</t>
  </si>
  <si>
    <t>CU CHI</t>
  </si>
  <si>
    <t>MP3</t>
  </si>
  <si>
    <t>DUC HOA</t>
  </si>
  <si>
    <t>THUAN THANH</t>
  </si>
  <si>
    <t>AN THAI</t>
  </si>
  <si>
    <t>WAHL</t>
  </si>
  <si>
    <t>UKP</t>
  </si>
  <si>
    <t>LONG PHAT</t>
  </si>
  <si>
    <t>MINH KHANG</t>
  </si>
  <si>
    <t>TAO LUC</t>
  </si>
  <si>
    <t>TAN BINH</t>
  </si>
  <si>
    <t>HOANG ANH</t>
  </si>
  <si>
    <t>FOSTER</t>
  </si>
  <si>
    <t>VSIP 2</t>
  </si>
  <si>
    <t>KMS</t>
  </si>
  <si>
    <t>PLASACO</t>
  </si>
  <si>
    <t>GIA MINH</t>
  </si>
  <si>
    <t>GO VAP</t>
  </si>
  <si>
    <t>ANH HUNG</t>
  </si>
  <si>
    <t>VINATRAY</t>
  </si>
  <si>
    <t>GA ST</t>
  </si>
  <si>
    <t>BEN LUC</t>
  </si>
  <si>
    <t>VE CHANH</t>
  </si>
  <si>
    <t>TH FARM</t>
  </si>
  <si>
    <t>Q6</t>
  </si>
  <si>
    <t>VINH LIEN</t>
  </si>
  <si>
    <t>DONG BAC VINA</t>
  </si>
  <si>
    <t>HANH MINH KHOI</t>
  </si>
  <si>
    <t>GIAO TOI, C2</t>
  </si>
  <si>
    <t>THIEN MOC</t>
  </si>
  <si>
    <t>BINH THANH</t>
  </si>
  <si>
    <t>8+9</t>
  </si>
  <si>
    <t>C2, 2X</t>
  </si>
  <si>
    <t>KOYO</t>
  </si>
  <si>
    <t>PHAM NGUYEN</t>
  </si>
  <si>
    <t>TUYEN HUNG PHU</t>
  </si>
  <si>
    <t>TAN DAI LONG</t>
  </si>
  <si>
    <t>NCC: A NAM - 2.5T</t>
  </si>
  <si>
    <t>2X, VE CHANH</t>
  </si>
  <si>
    <t>HONG PHAT</t>
  </si>
  <si>
    <t>NHON TRACH</t>
  </si>
  <si>
    <t>LONG THANH</t>
  </si>
  <si>
    <t>NCC: ANH  DANH - 10T</t>
  </si>
  <si>
    <t>1+2</t>
  </si>
  <si>
    <t>NCC: ĐINH TÚ 4T</t>
  </si>
  <si>
    <t>TÚ 4T</t>
  </si>
  <si>
    <t>NCC: TRỊNH VĂN HOÀNG - 4T</t>
  </si>
  <si>
    <t>TRỊNH VĂN HOÀNG</t>
  </si>
  <si>
    <t>TAN BAC HAI</t>
  </si>
  <si>
    <t>CHAU</t>
  </si>
  <si>
    <t>16+17</t>
  </si>
  <si>
    <t>THANH CONG</t>
  </si>
  <si>
    <t>NAM PHAM</t>
  </si>
  <si>
    <t>ANH NGAN</t>
  </si>
  <si>
    <t>BRVT</t>
  </si>
  <si>
    <t>DINH TU</t>
  </si>
  <si>
    <t>QUEEN PACK</t>
  </si>
  <si>
    <t>9+8</t>
  </si>
  <si>
    <t>LE LAN</t>
  </si>
  <si>
    <t>HAO PHAT</t>
  </si>
  <si>
    <t>VE CHANH, 2X</t>
  </si>
  <si>
    <t>NCC: NGUYỄN TRỌNG HỮU - 8T-61C42819</t>
  </si>
  <si>
    <t>PHAN THIET</t>
  </si>
  <si>
    <t>10+11</t>
  </si>
  <si>
    <t>NIDEC INS</t>
  </si>
  <si>
    <t>11+12</t>
  </si>
  <si>
    <t>C VAN-HN</t>
  </si>
  <si>
    <t>TRUONG AN</t>
  </si>
  <si>
    <t>TU PHUONG</t>
  </si>
  <si>
    <t>PHUC HANG</t>
  </si>
  <si>
    <t>C2, VE CHANH</t>
  </si>
  <si>
    <t>THE KY XANH</t>
  </si>
  <si>
    <t>TH-FARM</t>
  </si>
  <si>
    <t>6+7</t>
  </si>
  <si>
    <t>MASAN</t>
  </si>
  <si>
    <t>Q2</t>
  </si>
  <si>
    <t>GIAO TOI</t>
  </si>
  <si>
    <t>DOBLA</t>
  </si>
  <si>
    <t>BB TN</t>
  </si>
  <si>
    <t>VIFON</t>
  </si>
  <si>
    <t>TAN VIET PHAT</t>
  </si>
  <si>
    <t>NHUA VN</t>
  </si>
  <si>
    <t>CHO THU DUC</t>
  </si>
  <si>
    <t>THIEN LONG</t>
  </si>
  <si>
    <t>LAY PHE NIDEC VN</t>
  </si>
  <si>
    <t>C2, LAY PHE NIDEC VN</t>
  </si>
  <si>
    <t>9+10</t>
  </si>
  <si>
    <t>26+27</t>
  </si>
  <si>
    <t>16+15</t>
  </si>
  <si>
    <t>45+46</t>
  </si>
  <si>
    <t>30+31</t>
  </si>
  <si>
    <t>C2, GIAO TOI</t>
  </si>
  <si>
    <t>39+40</t>
  </si>
  <si>
    <t>HIEP PHONG</t>
  </si>
  <si>
    <t>36+37</t>
  </si>
  <si>
    <t>LAM GIA</t>
  </si>
  <si>
    <t>NPP THANH PHAT</t>
  </si>
  <si>
    <t>THINH PHAT</t>
  </si>
  <si>
    <t>QUANG DUNG</t>
  </si>
  <si>
    <t>21+25</t>
  </si>
  <si>
    <t>BB NGOC THANH</t>
  </si>
  <si>
    <t>7+6</t>
  </si>
  <si>
    <t>28+29</t>
  </si>
  <si>
    <t>XUAN THAI THINH</t>
  </si>
  <si>
    <t>20+19</t>
  </si>
  <si>
    <t>GIAO TOI, C2, 2X</t>
  </si>
  <si>
    <t>17+18</t>
  </si>
  <si>
    <t>HUYNH ANH DAT</t>
  </si>
  <si>
    <t>DONG BAC</t>
  </si>
  <si>
    <t>A PHUC-HN</t>
  </si>
  <si>
    <t>NHA BE</t>
  </si>
  <si>
    <t>TAN TIEN PHAT TAI</t>
  </si>
  <si>
    <t>TAN PHAT</t>
  </si>
  <si>
    <t>BAU BANG</t>
  </si>
  <si>
    <t>C VAN-HA NOI</t>
  </si>
  <si>
    <t>LẤY PHẾ NIDEC VN</t>
  </si>
  <si>
    <t>JUMBO</t>
  </si>
  <si>
    <t>LONG KHANH</t>
  </si>
  <si>
    <t>ACUMEN</t>
  </si>
  <si>
    <t>HARADA</t>
  </si>
  <si>
    <t>LONG BINH</t>
  </si>
  <si>
    <t>C2, X2</t>
  </si>
  <si>
    <t>TAN PHAT 2</t>
  </si>
  <si>
    <t>BB MINH KHANG</t>
  </si>
  <si>
    <t>24+25</t>
  </si>
  <si>
    <t>TAXIN</t>
  </si>
  <si>
    <t>VAN-BINH THUAN</t>
  </si>
  <si>
    <t>UNITED</t>
  </si>
  <si>
    <t>26/8/2025</t>
  </si>
  <si>
    <t>6+7+8+24</t>
  </si>
  <si>
    <t>27/8/2025</t>
  </si>
  <si>
    <t>BIOPLAS</t>
  </si>
  <si>
    <t>QUANG NINH</t>
  </si>
  <si>
    <t>2+3</t>
  </si>
  <si>
    <t>50B, PHI 1.5T, 2X</t>
  </si>
  <si>
    <t>28/8/2025</t>
  </si>
  <si>
    <t>29/8/2025</t>
  </si>
  <si>
    <t>30/8/2025</t>
  </si>
  <si>
    <t>31/8/2025</t>
  </si>
  <si>
    <t>33+34</t>
  </si>
  <si>
    <t>03/9/2025</t>
  </si>
  <si>
    <t>ANH CONG</t>
  </si>
  <si>
    <t>04/9/2025</t>
  </si>
  <si>
    <t>17+19+18+21</t>
  </si>
  <si>
    <t>05/9/2025</t>
  </si>
  <si>
    <t>06/9/2025</t>
  </si>
  <si>
    <t>29+30+25+27+32</t>
  </si>
  <si>
    <t>08/9/2025</t>
  </si>
  <si>
    <t>TAN BINH+Q11</t>
  </si>
  <si>
    <t>09/9/2025</t>
  </si>
  <si>
    <t>26+12+15</t>
  </si>
  <si>
    <t>10/9/2025</t>
  </si>
  <si>
    <t>11/9/2025</t>
  </si>
  <si>
    <t>7+8</t>
  </si>
  <si>
    <t>90B. PHI 1.5T, 2X</t>
  </si>
  <si>
    <t>26+40+15</t>
  </si>
  <si>
    <t>12/9/2025</t>
  </si>
  <si>
    <t>13/9/2025</t>
  </si>
  <si>
    <t>31+23</t>
  </si>
  <si>
    <t>Q6 + BINH TAN</t>
  </si>
  <si>
    <t>15/9/2025</t>
  </si>
  <si>
    <t>16/9/2025</t>
  </si>
  <si>
    <t>33+53</t>
  </si>
  <si>
    <t>18+12+13</t>
  </si>
  <si>
    <t>C2, 2X, VE CHANH</t>
  </si>
  <si>
    <t>17/9/2025</t>
  </si>
  <si>
    <t>48+15</t>
  </si>
  <si>
    <t>13+14+21+23</t>
  </si>
  <si>
    <t>18/9/2025</t>
  </si>
  <si>
    <t>15+20</t>
  </si>
  <si>
    <t>19/9/2025</t>
  </si>
  <si>
    <t>LIEN TAM KHOA</t>
  </si>
  <si>
    <t>20/9/2025</t>
  </si>
  <si>
    <t>46B. PHI 1.5T</t>
  </si>
  <si>
    <t>22/9/2025</t>
  </si>
  <si>
    <t>TRẢ 25T DO KD ĐÁNH DƯ SL (NGOC ANH)</t>
  </si>
  <si>
    <t>23/9/2025</t>
  </si>
  <si>
    <t>23+24+43</t>
  </si>
  <si>
    <t xml:space="preserve"> </t>
  </si>
  <si>
    <t>1+2+49</t>
  </si>
  <si>
    <t>24/9/2025</t>
  </si>
  <si>
    <t>40B. PHI 1.5T</t>
  </si>
  <si>
    <t>21+22</t>
  </si>
  <si>
    <t>25/9/2025</t>
  </si>
  <si>
    <t>Xác nhận</t>
    <phoneticPr fontId="8" type="noConversion"/>
  </si>
  <si>
    <t>C2, 2X,VE CHANH</t>
  </si>
  <si>
    <t>HAI NAM</t>
  </si>
  <si>
    <t xml:space="preserve">LAY HANG NG VE 23T (CHÂU). </t>
  </si>
  <si>
    <t>26+25</t>
  </si>
  <si>
    <t>5+4</t>
  </si>
  <si>
    <t>LẤY 102 PCS VỎ THÙNG VỀ</t>
  </si>
  <si>
    <t>6+8</t>
  </si>
  <si>
    <t>26+11</t>
  </si>
  <si>
    <t>13+22</t>
  </si>
  <si>
    <t>THANH-QN</t>
  </si>
  <si>
    <t>24+23</t>
  </si>
  <si>
    <t>Q11 + TAN BINH</t>
  </si>
  <si>
    <t>4+5+6+10</t>
  </si>
  <si>
    <t>TAN BINH+Q12</t>
  </si>
  <si>
    <t>15+13+14</t>
  </si>
  <si>
    <t>ANH DINH</t>
  </si>
  <si>
    <t>35+50</t>
  </si>
  <si>
    <t>BAO BI NGOC THANH</t>
  </si>
  <si>
    <t>ECOPAK</t>
  </si>
  <si>
    <t>15+17</t>
  </si>
  <si>
    <t>2X,GHÉ BÌNH TÂN LẤY 1C  GIẤY VỀ (MAI HOA)</t>
  </si>
  <si>
    <t>12+51</t>
  </si>
  <si>
    <t>2X,GHÉ DĨ AN LẤY 30T HÀNG VỀ (KIM HOA-DO KHO X2 LÊN HÀNG NHẦM A PHUC (NAPACO) NGÀY 20/9)</t>
  </si>
  <si>
    <t>AC</t>
  </si>
  <si>
    <t>GIAO TOI, VE CHANH</t>
  </si>
  <si>
    <t>44+45</t>
  </si>
  <si>
    <t>50B. PHI 1.5T, 2X</t>
  </si>
  <si>
    <t>39+29</t>
  </si>
  <si>
    <t>22+21</t>
  </si>
  <si>
    <t>35+34+37</t>
  </si>
  <si>
    <t>13+25+41+23+21+
22+23+37+21+20</t>
  </si>
  <si>
    <t>LẤY PALLET KIWORK, 2X</t>
  </si>
  <si>
    <t>TRAN THANH PHUONG</t>
  </si>
  <si>
    <t>12+13+37</t>
  </si>
  <si>
    <t>VINA HT</t>
  </si>
  <si>
    <t>27+28</t>
  </si>
  <si>
    <t>GIAO TỐI., VE CHANH, C2</t>
  </si>
  <si>
    <t>37+38+39</t>
  </si>
  <si>
    <t>5+3+4</t>
  </si>
  <si>
    <t>TIEN PHAT</t>
  </si>
  <si>
    <t>GIAO TỐI, C2</t>
  </si>
  <si>
    <t>39+40+41</t>
  </si>
  <si>
    <t>2X, C2, LẤY PHẾ NIDEC VN</t>
  </si>
  <si>
    <t>LAY PHEYSD</t>
  </si>
  <si>
    <t>11+15</t>
  </si>
  <si>
    <t>32+2</t>
  </si>
  <si>
    <t>LẤY VÈ 6T HÀNG NG (DƠ) TỪ LÔ 
TRƯỚC- HẠ</t>
  </si>
  <si>
    <t>47+21+57</t>
  </si>
  <si>
    <t>BEN CAT'</t>
  </si>
  <si>
    <t>LẤY PHẾ HARADA-LONG BINH</t>
  </si>
  <si>
    <t>QUANG HAY</t>
  </si>
  <si>
    <t>5+6+7</t>
  </si>
  <si>
    <t>QUOC THANG</t>
  </si>
  <si>
    <t>CHỞ HÀNG ĐI KIỂM HÓA-
KCN SONG THAN</t>
  </si>
  <si>
    <t>13+14</t>
  </si>
  <si>
    <t>C2,2X</t>
  </si>
  <si>
    <t>37+39</t>
  </si>
  <si>
    <t>25+28</t>
  </si>
  <si>
    <t>C2, GIAO TỪ 6PM =&gt; 4AM MOI XONG</t>
  </si>
  <si>
    <t>32+35</t>
  </si>
  <si>
    <t>TRẢ VỀ NGUYÊN XE HÀNG 192T DO HÀNG NG (DÍNH TẠP CHẤTTRONG NHUA)-HẠ</t>
  </si>
  <si>
    <t>LẤY 129 VỎ THÙNG WAHL VỀ</t>
  </si>
  <si>
    <t>07/9/2025</t>
  </si>
  <si>
    <t>LAY PHE UKP 3184KG</t>
  </si>
  <si>
    <t>41+42</t>
  </si>
  <si>
    <t>TRẢ 50T DO HÀNG NG (HẠ)</t>
  </si>
  <si>
    <t>RAW</t>
  </si>
  <si>
    <t>ZHENG HUI</t>
  </si>
  <si>
    <t>26+28+29+30</t>
  </si>
  <si>
    <t>LẤY PHẾ NIDEC INS</t>
  </si>
  <si>
    <t>8+3</t>
  </si>
  <si>
    <t>17+38</t>
  </si>
  <si>
    <t>LẤY 81 VỎ THÙNG WAHL VỀ</t>
  </si>
  <si>
    <t>9+8+10</t>
  </si>
  <si>
    <t>HUNUFA</t>
  </si>
  <si>
    <t>21/9/2025</t>
  </si>
  <si>
    <t>47+46</t>
  </si>
  <si>
    <t>12+13</t>
  </si>
  <si>
    <t>32+18</t>
  </si>
  <si>
    <t>LẤY VỀ 63PCS VỎ THÙNG</t>
  </si>
  <si>
    <t>19+13+16</t>
  </si>
  <si>
    <t>LAY PHE NIDEC VN 2179KG</t>
  </si>
  <si>
    <t>C2, LAY PHE UKP 5081KG</t>
  </si>
  <si>
    <t>33+38</t>
  </si>
  <si>
    <t>17+48</t>
  </si>
  <si>
    <t>TAIXIN</t>
  </si>
  <si>
    <t>52+54</t>
  </si>
  <si>
    <t>14+13</t>
  </si>
  <si>
    <t>25+26</t>
  </si>
  <si>
    <t>29+28+27</t>
  </si>
  <si>
    <t>14+15+23</t>
  </si>
  <si>
    <t>HUNG THAO</t>
  </si>
  <si>
    <t>LẤY 100 PCS VỎ THÙNG VỀ</t>
  </si>
  <si>
    <t>14+15+18</t>
  </si>
  <si>
    <t>LẤY VỀ 12T JB25A</t>
  </si>
  <si>
    <t>46+56</t>
  </si>
  <si>
    <t>C2, LAY PHẾ NIDEC VN</t>
  </si>
  <si>
    <t>CAO DUONG  QUOC</t>
  </si>
  <si>
    <t>37+38</t>
  </si>
  <si>
    <t>C2, LẤY PHÊ NIDEC VN</t>
  </si>
  <si>
    <t>33+32</t>
  </si>
  <si>
    <t>THIEN PHU PHAT</t>
  </si>
  <si>
    <t>1+6</t>
  </si>
  <si>
    <t>2X, LẤY 103PCS VỎ THÙNG VỀ</t>
  </si>
  <si>
    <t>40+38</t>
  </si>
  <si>
    <t>COLOMATE</t>
  </si>
  <si>
    <t>C3, GIAO TOI</t>
  </si>
  <si>
    <t>15+2</t>
  </si>
  <si>
    <t>22+19</t>
  </si>
  <si>
    <t>12+13+GC</t>
  </si>
  <si>
    <t>18+19+35+
36+15</t>
  </si>
  <si>
    <t xml:space="preserve">HIEP HUNG </t>
  </si>
  <si>
    <t>36+37+GC</t>
  </si>
  <si>
    <t>32+GC</t>
  </si>
  <si>
    <t>23+24+25+
26+27+29</t>
  </si>
  <si>
    <t>6+10+11+
12+13+14</t>
  </si>
  <si>
    <t>6+7+8+9
+10+57</t>
  </si>
  <si>
    <t>17+19</t>
  </si>
  <si>
    <t>16+18</t>
  </si>
  <si>
    <t>14+15+16+
17+18+19</t>
  </si>
  <si>
    <t>20+5</t>
  </si>
  <si>
    <t>35+36</t>
  </si>
  <si>
    <t>53+33</t>
  </si>
  <si>
    <t>47+48+49+
50+51+52</t>
  </si>
  <si>
    <t>GIAO TOI, C3</t>
  </si>
  <si>
    <t>40+GC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</si>
</sst>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  <numFmt numFmtId="167" formatCode="_(* #,##0.0_);_(* \(#,##0.0\);_(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1"/>
      <charset val="136"/>
      <scheme val="minor"/>
    </font>
    <font>
      <sz val="10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2"/>
      <color theme="1"/>
      <name val="Times New Roman"/>
      <family val="1"/>
    </font>
    <font>
      <b/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39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64" fontId="3" fillId="2" borderId="0" xfId="1" applyNumberFormat="1" applyFont="1" applyFill="1" applyAlignment="1">
      <alignment vertical="center"/>
    </xf>
    <xf numFmtId="165" fontId="3" fillId="2" borderId="0" xfId="1" applyNumberFormat="1" applyFont="1" applyFill="1" applyAlignment="1">
      <alignment vertical="center"/>
    </xf>
    <xf numFmtId="43" fontId="3" fillId="2" borderId="0" xfId="1" applyFont="1" applyFill="1" applyAlignment="1">
      <alignment vertical="center"/>
    </xf>
    <xf numFmtId="164" fontId="3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right" vertical="center"/>
    </xf>
    <xf numFmtId="164" fontId="3" fillId="2" borderId="2" xfId="1" applyNumberFormat="1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vertical="center"/>
    </xf>
    <xf numFmtId="16" fontId="3" fillId="2" borderId="2" xfId="0" quotePrefix="1" applyNumberFormat="1" applyFont="1" applyFill="1" applyBorder="1" applyAlignment="1"/>
    <xf numFmtId="164" fontId="3" fillId="2" borderId="2" xfId="1" quotePrefix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/>
    <xf numFmtId="164" fontId="3" fillId="2" borderId="2" xfId="1" applyNumberFormat="1" applyFont="1" applyFill="1" applyBorder="1" applyAlignment="1">
      <alignment horizontal="center"/>
    </xf>
    <xf numFmtId="164" fontId="3" fillId="2" borderId="2" xfId="1" quotePrefix="1" applyNumberFormat="1" applyFont="1" applyFill="1" applyBorder="1" applyAlignment="1">
      <alignment vertical="center"/>
    </xf>
    <xf numFmtId="164" fontId="3" fillId="2" borderId="2" xfId="1" applyNumberFormat="1" applyFont="1" applyFill="1" applyBorder="1" applyAlignment="1">
      <alignment horizontal="right"/>
    </xf>
    <xf numFmtId="164" fontId="2" fillId="4" borderId="2" xfId="1" applyNumberFormat="1" applyFont="1" applyFill="1" applyBorder="1" applyAlignment="1"/>
    <xf numFmtId="0" fontId="2" fillId="2" borderId="0" xfId="0" applyFont="1" applyFill="1" applyBorder="1" applyAlignment="1">
      <alignment horizontal="center" vertical="center"/>
    </xf>
    <xf numFmtId="164" fontId="3" fillId="4" borderId="2" xfId="1" applyNumberFormat="1" applyFont="1" applyFill="1" applyBorder="1" applyAlignment="1"/>
    <xf numFmtId="0" fontId="10" fillId="2" borderId="0" xfId="0" applyFont="1" applyFill="1" applyBorder="1" applyAlignment="1">
      <alignment horizontal="center"/>
    </xf>
    <xf numFmtId="164" fontId="2" fillId="2" borderId="0" xfId="1" applyNumberFormat="1" applyFont="1" applyFill="1" applyBorder="1" applyAlignment="1"/>
    <xf numFmtId="164" fontId="3" fillId="2" borderId="0" xfId="1" applyNumberFormat="1" applyFont="1" applyFill="1" applyBorder="1" applyAlignment="1"/>
    <xf numFmtId="0" fontId="2" fillId="2" borderId="0" xfId="0" applyFont="1" applyFill="1" applyBorder="1" applyAlignment="1">
      <alignment horizontal="left" vertical="center"/>
    </xf>
    <xf numFmtId="164" fontId="2" fillId="2" borderId="2" xfId="1" applyNumberFormat="1" applyFont="1" applyFill="1" applyBorder="1" applyAlignment="1"/>
    <xf numFmtId="164" fontId="11" fillId="2" borderId="2" xfId="1" applyNumberFormat="1" applyFont="1" applyFill="1" applyBorder="1" applyAlignment="1"/>
    <xf numFmtId="43" fontId="12" fillId="2" borderId="2" xfId="0" applyNumberFormat="1" applyFont="1" applyFill="1" applyBorder="1" applyAlignment="1">
      <alignment vertical="center"/>
    </xf>
    <xf numFmtId="43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1" applyNumberFormat="1" applyFont="1" applyFill="1" applyAlignment="1">
      <alignment horizontal="left"/>
    </xf>
    <xf numFmtId="164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/>
    <xf numFmtId="41" fontId="3" fillId="2" borderId="0" xfId="1" applyNumberFormat="1" applyFont="1" applyFill="1" applyAlignment="1"/>
    <xf numFmtId="4" fontId="3" fillId="2" borderId="0" xfId="0" applyNumberFormat="1" applyFont="1" applyFill="1" applyAlignment="1">
      <alignment horizontal="left"/>
    </xf>
    <xf numFmtId="164" fontId="3" fillId="2" borderId="0" xfId="1" applyNumberFormat="1" applyFont="1" applyFill="1"/>
    <xf numFmtId="164" fontId="3" fillId="2" borderId="0" xfId="0" applyNumberFormat="1" applyFont="1" applyFill="1" applyAlignment="1">
      <alignment vertical="center"/>
    </xf>
    <xf numFmtId="12" fontId="3" fillId="2" borderId="0" xfId="0" applyNumberFormat="1" applyFont="1" applyFill="1" applyAlignment="1">
      <alignment horizontal="center" vertical="center"/>
    </xf>
    <xf numFmtId="166" fontId="3" fillId="2" borderId="0" xfId="1" applyNumberFormat="1" applyFont="1" applyFill="1" applyAlignment="1">
      <alignment horizontal="left"/>
    </xf>
    <xf numFmtId="166" fontId="3" fillId="2" borderId="0" xfId="1" applyNumberFormat="1" applyFont="1" applyFill="1" applyAlignment="1">
      <alignment horizontal="left" vertical="center"/>
    </xf>
    <xf numFmtId="165" fontId="3" fillId="2" borderId="0" xfId="1" applyNumberFormat="1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0" fontId="3" fillId="2" borderId="0" xfId="0" applyFont="1" applyFill="1" applyBorder="1" applyAlignment="1">
      <alignment horizontal="left" wrapText="1"/>
    </xf>
    <xf numFmtId="165" fontId="3" fillId="2" borderId="0" xfId="1" applyNumberFormat="1" applyFont="1" applyFill="1" applyAlignment="1"/>
    <xf numFmtId="16" fontId="3" fillId="2" borderId="2" xfId="0" quotePrefix="1" applyNumberFormat="1" applyFont="1" applyFill="1" applyBorder="1" applyAlignment="1">
      <alignment horizontal="left"/>
    </xf>
    <xf numFmtId="164" fontId="3" fillId="2" borderId="0" xfId="1" applyNumberFormat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3" fontId="6" fillId="2" borderId="2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/>
    <xf numFmtId="43" fontId="2" fillId="5" borderId="2" xfId="1" applyNumberFormat="1" applyFont="1" applyFill="1" applyBorder="1" applyAlignment="1"/>
    <xf numFmtId="164" fontId="13" fillId="5" borderId="2" xfId="1" applyNumberFormat="1" applyFont="1" applyFill="1" applyBorder="1" applyAlignment="1"/>
    <xf numFmtId="0" fontId="2" fillId="5" borderId="0" xfId="0" applyFont="1" applyFill="1" applyBorder="1" applyAlignment="1">
      <alignment horizontal="center" vertical="center"/>
    </xf>
    <xf numFmtId="164" fontId="13" fillId="4" borderId="2" xfId="1" applyNumberFormat="1" applyFont="1" applyFill="1" applyBorder="1" applyAlignment="1"/>
    <xf numFmtId="164" fontId="13" fillId="2" borderId="0" xfId="1" applyNumberFormat="1" applyFont="1" applyFill="1" applyBorder="1" applyAlignment="1"/>
    <xf numFmtId="164" fontId="13" fillId="2" borderId="2" xfId="1" applyNumberFormat="1" applyFont="1" applyFill="1" applyBorder="1" applyAlignment="1"/>
    <xf numFmtId="167" fontId="2" fillId="2" borderId="2" xfId="1" applyNumberFormat="1" applyFont="1" applyFill="1" applyBorder="1" applyAlignment="1">
      <alignment horizontal="center" vertical="center" wrapText="1"/>
    </xf>
    <xf numFmtId="167" fontId="2" fillId="4" borderId="2" xfId="1" applyNumberFormat="1" applyFont="1" applyFill="1" applyBorder="1" applyAlignment="1"/>
    <xf numFmtId="0" fontId="3" fillId="4" borderId="2" xfId="0" applyFont="1" applyFill="1" applyBorder="1" applyAlignment="1">
      <alignment horizontal="left" vertical="center"/>
    </xf>
    <xf numFmtId="164" fontId="3" fillId="4" borderId="2" xfId="1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167" fontId="2" fillId="2" borderId="0" xfId="1" applyNumberFormat="1" applyFont="1" applyFill="1" applyBorder="1" applyAlignment="1"/>
    <xf numFmtId="167" fontId="2" fillId="2" borderId="2" xfId="1" applyNumberFormat="1" applyFont="1" applyFill="1" applyBorder="1" applyAlignment="1"/>
    <xf numFmtId="43" fontId="12" fillId="2" borderId="2" xfId="0" applyNumberFormat="1" applyFont="1" applyFill="1" applyBorder="1" applyAlignment="1">
      <alignment horizontal="left" vertical="center"/>
    </xf>
    <xf numFmtId="167" fontId="3" fillId="2" borderId="0" xfId="1" applyNumberFormat="1" applyFont="1" applyFill="1" applyAlignment="1"/>
    <xf numFmtId="167" fontId="3" fillId="2" borderId="0" xfId="1" applyNumberFormat="1" applyFont="1" applyFill="1" applyAlignment="1">
      <alignment horizontal="left"/>
    </xf>
    <xf numFmtId="167" fontId="3" fillId="2" borderId="0" xfId="1" applyNumberFormat="1" applyFont="1" applyFill="1" applyAlignment="1">
      <alignment vertical="center"/>
    </xf>
    <xf numFmtId="167" fontId="3" fillId="2" borderId="0" xfId="1" applyNumberFormat="1" applyFont="1" applyFill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vertical="center"/>
    </xf>
    <xf numFmtId="164" fontId="6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/>
    <xf numFmtId="0" fontId="7" fillId="2" borderId="0" xfId="0" applyFont="1" applyFill="1" applyBorder="1" applyAlignment="1">
      <alignment horizontal="center" vertical="center"/>
    </xf>
    <xf numFmtId="164" fontId="14" fillId="4" borderId="2" xfId="1" applyNumberFormat="1" applyFont="1" applyFill="1" applyBorder="1" applyAlignment="1"/>
    <xf numFmtId="0" fontId="3" fillId="2" borderId="0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164" fontId="3" fillId="5" borderId="2" xfId="1" applyNumberFormat="1" applyFont="1" applyFill="1" applyBorder="1" applyAlignment="1">
      <alignment horizontal="left"/>
    </xf>
    <xf numFmtId="43" fontId="3" fillId="2" borderId="2" xfId="0" applyNumberFormat="1" applyFont="1" applyFill="1" applyBorder="1" applyAlignment="1">
      <alignment horizontal="left" vertical="center"/>
    </xf>
    <xf numFmtId="164" fontId="9" fillId="2" borderId="2" xfId="1" quotePrefix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2" xfId="0" applyBorder="1" applyAlignment="1"/>
    <xf numFmtId="0" fontId="1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64" fontId="2" fillId="2" borderId="10" xfId="1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/>
    <xf numFmtId="164" fontId="2" fillId="5" borderId="2" xfId="1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2" fillId="2" borderId="0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/>
    <xf numFmtId="164" fontId="6" fillId="2" borderId="2" xfId="1" applyNumberFormat="1" applyFont="1" applyFill="1" applyBorder="1" applyAlignment="1">
      <alignment horizontal="center"/>
    </xf>
    <xf numFmtId="164" fontId="6" fillId="2" borderId="2" xfId="1" quotePrefix="1" applyNumberFormat="1" applyFont="1" applyFill="1" applyBorder="1" applyAlignment="1">
      <alignment vertical="center"/>
    </xf>
    <xf numFmtId="164" fontId="6" fillId="2" borderId="2" xfId="1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/>
    <xf numFmtId="0" fontId="3" fillId="6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2" fontId="9" fillId="2" borderId="0" xfId="0" applyNumberFormat="1" applyFont="1" applyFill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164" fontId="1" fillId="0" borderId="2" xfId="1" applyNumberFormat="1" applyFont="1" applyBorder="1" applyAlignment="1">
      <alignment horizontal="center"/>
    </xf>
    <xf numFmtId="164" fontId="9" fillId="2" borderId="2" xfId="1" quotePrefix="1" applyNumberFormat="1" applyFont="1" applyFill="1" applyBorder="1" applyAlignment="1">
      <alignment vertical="center"/>
    </xf>
    <xf numFmtId="43" fontId="2" fillId="2" borderId="0" xfId="0" applyNumberFormat="1" applyFont="1" applyFill="1" applyBorder="1" applyAlignment="1">
      <alignment horizontal="left" vertical="center"/>
    </xf>
    <xf numFmtId="43" fontId="3" fillId="2" borderId="2" xfId="0" applyNumberFormat="1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164" fontId="14" fillId="4" borderId="2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vertical="center"/>
    </xf>
    <xf numFmtId="16" fontId="9" fillId="2" borderId="2" xfId="0" quotePrefix="1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64" fontId="2" fillId="2" borderId="0" xfId="1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64" fontId="14" fillId="2" borderId="2" xfId="1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164" fontId="2" fillId="5" borderId="10" xfId="1" applyNumberFormat="1" applyFont="1" applyFill="1" applyBorder="1" applyAlignment="1"/>
    <xf numFmtId="164" fontId="2" fillId="3" borderId="10" xfId="1" applyNumberFormat="1" applyFont="1" applyFill="1" applyBorder="1" applyAlignment="1"/>
    <xf numFmtId="0" fontId="9" fillId="5" borderId="12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64" fontId="9" fillId="5" borderId="3" xfId="1" applyNumberFormat="1" applyFont="1" applyFill="1" applyBorder="1" applyAlignment="1">
      <alignment horizontal="left"/>
    </xf>
    <xf numFmtId="164" fontId="9" fillId="2" borderId="0" xfId="1" applyNumberFormat="1" applyFont="1" applyFill="1" applyBorder="1" applyAlignment="1">
      <alignment horizontal="left"/>
    </xf>
    <xf numFmtId="43" fontId="9" fillId="2" borderId="2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left" vertical="center"/>
    </xf>
    <xf numFmtId="164" fontId="14" fillId="2" borderId="0" xfId="1" applyNumberFormat="1" applyFont="1" applyFill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/>
    </xf>
    <xf numFmtId="164" fontId="17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right" vertical="center"/>
    </xf>
    <xf numFmtId="164" fontId="13" fillId="3" borderId="2" xfId="1" applyNumberFormat="1" applyFont="1" applyFill="1" applyBorder="1" applyAlignment="1"/>
    <xf numFmtId="164" fontId="3" fillId="4" borderId="2" xfId="0" applyNumberFormat="1" applyFont="1" applyFill="1" applyBorder="1" applyAlignment="1">
      <alignment horizontal="left"/>
    </xf>
    <xf numFmtId="164" fontId="13" fillId="2" borderId="0" xfId="1" applyNumberFormat="1" applyFont="1" applyFill="1" applyAlignment="1">
      <alignment horizontal="left"/>
    </xf>
    <xf numFmtId="164" fontId="13" fillId="2" borderId="0" xfId="1" applyNumberFormat="1" applyFont="1" applyFill="1" applyAlignment="1">
      <alignment horizontal="center" vertical="center"/>
    </xf>
    <xf numFmtId="164" fontId="13" fillId="2" borderId="0" xfId="1" applyNumberFormat="1" applyFont="1" applyFill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/>
    <xf numFmtId="0" fontId="2" fillId="2" borderId="0" xfId="0" applyFont="1" applyFill="1" applyAlignment="1">
      <alignment horizontal="left"/>
    </xf>
    <xf numFmtId="164" fontId="2" fillId="0" borderId="0" xfId="3" applyNumberFormat="1" applyFont="1" applyFill="1" applyAlignment="1">
      <alignment horizontal="center" vertical="center"/>
    </xf>
    <xf numFmtId="3" fontId="3" fillId="2" borderId="2" xfId="1" applyNumberFormat="1" applyFont="1" applyFill="1" applyBorder="1" applyAlignment="1">
      <alignment vertical="center"/>
    </xf>
    <xf numFmtId="0" fontId="16" fillId="2" borderId="0" xfId="0" applyFont="1" applyFill="1" applyBorder="1" applyAlignment="1">
      <alignment horizontal="center"/>
    </xf>
    <xf numFmtId="164" fontId="14" fillId="2" borderId="2" xfId="1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164" fontId="2" fillId="0" borderId="0" xfId="2" applyNumberFormat="1" applyFont="1" applyFill="1" applyAlignment="1">
      <alignment horizontal="center" vertical="center"/>
    </xf>
    <xf numFmtId="0" fontId="0" fillId="0" borderId="2" xfId="0" applyFont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19" fillId="3" borderId="2" xfId="0" applyNumberFormat="1" applyFont="1" applyFill="1" applyBorder="1" applyAlignment="1"/>
    <xf numFmtId="0" fontId="9" fillId="2" borderId="0" xfId="0" applyFont="1" applyFill="1" applyBorder="1" applyAlignment="1">
      <alignment horizontal="left" vertical="center"/>
    </xf>
    <xf numFmtId="164" fontId="9" fillId="2" borderId="2" xfId="1" applyNumberFormat="1" applyFont="1" applyFill="1" applyBorder="1" applyAlignment="1">
      <alignment vertical="center" wrapText="1"/>
    </xf>
    <xf numFmtId="164" fontId="9" fillId="2" borderId="2" xfId="1" applyNumberFormat="1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3" fontId="9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right"/>
    </xf>
    <xf numFmtId="164" fontId="13" fillId="2" borderId="2" xfId="1" applyNumberFormat="1" applyFont="1" applyFill="1" applyBorder="1" applyAlignment="1">
      <alignment vertical="center"/>
    </xf>
    <xf numFmtId="16" fontId="9" fillId="2" borderId="2" xfId="0" quotePrefix="1" applyNumberFormat="1" applyFont="1" applyFill="1" applyBorder="1" applyAlignment="1"/>
    <xf numFmtId="164" fontId="13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/>
    <xf numFmtId="43" fontId="3" fillId="2" borderId="0" xfId="1" applyFont="1" applyFill="1" applyAlignment="1">
      <alignment horizontal="center" vertical="center"/>
    </xf>
    <xf numFmtId="14" fontId="7" fillId="2" borderId="2" xfId="0" quotePrefix="1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/>
    </xf>
    <xf numFmtId="164" fontId="2" fillId="2" borderId="0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/>
    <xf numFmtId="164" fontId="8" fillId="2" borderId="2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/>
    </xf>
    <xf numFmtId="164" fontId="2" fillId="5" borderId="10" xfId="1" applyNumberFormat="1" applyFont="1" applyFill="1" applyBorder="1" applyAlignment="1">
      <alignment horizontal="center"/>
    </xf>
    <xf numFmtId="164" fontId="2" fillId="5" borderId="2" xfId="1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43" fontId="13" fillId="2" borderId="0" xfId="0" applyNumberFormat="1" applyFont="1" applyFill="1" applyBorder="1" applyAlignment="1">
      <alignment horizontal="left" vertical="center"/>
    </xf>
    <xf numFmtId="164" fontId="17" fillId="2" borderId="2" xfId="1" applyNumberFormat="1" applyFont="1" applyFill="1" applyBorder="1" applyAlignment="1">
      <alignment horizontal="right" vertical="center"/>
    </xf>
    <xf numFmtId="0" fontId="6" fillId="2" borderId="2" xfId="4" applyFont="1" applyFill="1" applyBorder="1" applyAlignment="1">
      <alignment horizontal="center" vertical="center"/>
    </xf>
    <xf numFmtId="164" fontId="6" fillId="2" borderId="2" xfId="5" applyNumberFormat="1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164" fontId="2" fillId="2" borderId="0" xfId="1" applyNumberFormat="1" applyFont="1" applyFill="1" applyAlignment="1">
      <alignment vertical="center"/>
    </xf>
    <xf numFmtId="164" fontId="2" fillId="2" borderId="0" xfId="1" applyNumberFormat="1" applyFont="1" applyFill="1" applyAlignment="1"/>
    <xf numFmtId="164" fontId="2" fillId="2" borderId="0" xfId="1" applyNumberFormat="1" applyFont="1" applyFill="1" applyAlignment="1">
      <alignment horizontal="left"/>
    </xf>
    <xf numFmtId="164" fontId="2" fillId="2" borderId="0" xfId="1" applyNumberFormat="1" applyFont="1" applyFill="1" applyAlignment="1">
      <alignment horizontal="center"/>
    </xf>
    <xf numFmtId="0" fontId="17" fillId="2" borderId="10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center"/>
    </xf>
    <xf numFmtId="0" fontId="17" fillId="2" borderId="10" xfId="0" applyFont="1" applyFill="1" applyBorder="1" applyAlignment="1">
      <alignment horizontal="left" vertical="center" wrapText="1"/>
    </xf>
    <xf numFmtId="16" fontId="3" fillId="2" borderId="0" xfId="0" quotePrefix="1" applyNumberFormat="1" applyFont="1" applyFill="1" applyBorder="1" applyAlignment="1">
      <alignment horizontal="left"/>
    </xf>
    <xf numFmtId="0" fontId="17" fillId="2" borderId="2" xfId="0" applyFont="1" applyFill="1" applyBorder="1" applyAlignment="1">
      <alignment horizontal="left" vertical="center" wrapText="1"/>
    </xf>
    <xf numFmtId="16" fontId="21" fillId="2" borderId="0" xfId="0" quotePrefix="1" applyNumberFormat="1" applyFont="1" applyFill="1" applyAlignment="1"/>
    <xf numFmtId="164" fontId="0" fillId="0" borderId="0" xfId="0" applyNumberFormat="1"/>
    <xf numFmtId="164" fontId="2" fillId="2" borderId="8" xfId="1" applyNumberFormat="1" applyFont="1" applyFill="1" applyBorder="1" applyAlignment="1">
      <alignment horizontal="center" vertical="center"/>
    </xf>
    <xf numFmtId="164" fontId="2" fillId="2" borderId="9" xfId="1" applyNumberFormat="1" applyFont="1" applyFill="1" applyBorder="1" applyAlignment="1">
      <alignment horizontal="center" vertical="center"/>
    </xf>
    <xf numFmtId="14" fontId="9" fillId="2" borderId="2" xfId="0" quotePrefix="1" applyNumberFormat="1" applyFont="1" applyFill="1" applyBorder="1" applyAlignment="1">
      <alignment horizontal="center" vertical="center"/>
    </xf>
    <xf numFmtId="16" fontId="9" fillId="2" borderId="2" xfId="0" quotePrefix="1" applyNumberFormat="1" applyFont="1" applyFill="1" applyBorder="1" applyAlignment="1">
      <alignment horizontal="left" wrapText="1"/>
    </xf>
    <xf numFmtId="164" fontId="9" fillId="2" borderId="2" xfId="1" quotePrefix="1" applyNumberFormat="1" applyFont="1" applyFill="1" applyBorder="1" applyAlignment="1">
      <alignment horizontal="center" vertical="center"/>
    </xf>
    <xf numFmtId="0" fontId="21" fillId="2" borderId="0" xfId="0" applyFont="1" applyFill="1" applyAlignment="1"/>
    <xf numFmtId="3" fontId="2" fillId="2" borderId="2" xfId="1" applyNumberFormat="1" applyFont="1" applyFill="1" applyBorder="1" applyAlignment="1">
      <alignment horizontal="right" vertical="center"/>
    </xf>
    <xf numFmtId="0" fontId="17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7" fillId="2" borderId="2" xfId="0" quotePrefix="1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wrapText="1"/>
    </xf>
    <xf numFmtId="0" fontId="23" fillId="2" borderId="2" xfId="0" applyFont="1" applyFill="1" applyBorder="1" applyAlignment="1">
      <alignment horizontal="left" vertical="center"/>
    </xf>
    <xf numFmtId="16" fontId="17" fillId="2" borderId="2" xfId="0" quotePrefix="1" applyNumberFormat="1" applyFont="1" applyFill="1" applyBorder="1" applyAlignment="1">
      <alignment horizontal="left"/>
    </xf>
    <xf numFmtId="3" fontId="3" fillId="2" borderId="2" xfId="1" applyNumberFormat="1" applyFont="1" applyFill="1" applyBorder="1" applyAlignment="1">
      <alignment horizontal="right" vertical="center"/>
    </xf>
    <xf numFmtId="0" fontId="17" fillId="3" borderId="10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9" fillId="2" borderId="2" xfId="0" quotePrefix="1" applyFont="1" applyFill="1" applyBorder="1" applyAlignment="1">
      <alignment horizontal="center" vertical="center"/>
    </xf>
    <xf numFmtId="0" fontId="9" fillId="2" borderId="10" xfId="0" quotePrefix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164" fontId="17" fillId="2" borderId="10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41" fontId="2" fillId="2" borderId="2" xfId="0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164" fontId="6" fillId="0" borderId="10" xfId="1" applyNumberFormat="1" applyFont="1" applyFill="1" applyBorder="1" applyAlignment="1">
      <alignment horizontal="center" vertical="center"/>
    </xf>
    <xf numFmtId="164" fontId="17" fillId="2" borderId="2" xfId="1" applyNumberFormat="1" applyFont="1" applyFill="1" applyBorder="1" applyAlignment="1">
      <alignment vertical="center"/>
    </xf>
    <xf numFmtId="0" fontId="6" fillId="0" borderId="8" xfId="0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164" fontId="3" fillId="2" borderId="2" xfId="1" applyNumberFormat="1" applyFont="1" applyFill="1" applyBorder="1" applyAlignment="1">
      <alignment horizontal="left" vertical="center"/>
    </xf>
    <xf numFmtId="164" fontId="3" fillId="2" borderId="2" xfId="1" quotePrefix="1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16" fontId="3" fillId="2" borderId="2" xfId="0" quotePrefix="1" applyNumberFormat="1" applyFont="1" applyFill="1" applyBorder="1" applyAlignment="1">
      <alignment horizontal="left" wrapText="1"/>
    </xf>
    <xf numFmtId="0" fontId="6" fillId="2" borderId="2" xfId="4" applyFont="1" applyFill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17" fillId="2" borderId="13" xfId="0" applyFont="1" applyFill="1" applyBorder="1" applyAlignment="1">
      <alignment horizontal="left" vertical="center"/>
    </xf>
    <xf numFmtId="0" fontId="21" fillId="2" borderId="2" xfId="0" quotePrefix="1" applyFont="1" applyFill="1" applyBorder="1" applyAlignment="1">
      <alignment horizontal="left"/>
    </xf>
    <xf numFmtId="0" fontId="2" fillId="2" borderId="10" xfId="0" applyFont="1" applyFill="1" applyBorder="1" applyAlignment="1">
      <alignment horizontal="left" vertical="center"/>
    </xf>
    <xf numFmtId="0" fontId="17" fillId="2" borderId="10" xfId="0" quotePrefix="1" applyFont="1" applyFill="1" applyBorder="1" applyAlignment="1">
      <alignment horizontal="left" vertical="center"/>
    </xf>
    <xf numFmtId="164" fontId="17" fillId="0" borderId="10" xfId="1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17" fillId="3" borderId="10" xfId="0" quotePrefix="1" applyFont="1" applyFill="1" applyBorder="1" applyAlignment="1">
      <alignment horizontal="left" vertical="center"/>
    </xf>
    <xf numFmtId="0" fontId="9" fillId="2" borderId="10" xfId="0" applyFont="1" applyFill="1" applyBorder="1" applyAlignment="1">
      <alignment vertical="center"/>
    </xf>
    <xf numFmtId="0" fontId="24" fillId="2" borderId="10" xfId="0" applyFont="1" applyFill="1" applyBorder="1" applyAlignment="1">
      <alignment horizontal="center" vertical="center"/>
    </xf>
    <xf numFmtId="43" fontId="7" fillId="2" borderId="0" xfId="1" applyFont="1" applyFill="1" applyBorder="1" applyAlignment="1">
      <alignment horizontal="center" vertical="center"/>
    </xf>
    <xf numFmtId="43" fontId="2" fillId="5" borderId="0" xfId="0" applyNumberFormat="1" applyFont="1" applyFill="1" applyBorder="1" applyAlignment="1">
      <alignment horizontal="left" vertical="center"/>
    </xf>
    <xf numFmtId="0" fontId="17" fillId="0" borderId="10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43" fontId="13" fillId="2" borderId="2" xfId="0" applyNumberFormat="1" applyFont="1" applyFill="1" applyBorder="1" applyAlignment="1">
      <alignment horizontal="left" vertical="center"/>
    </xf>
    <xf numFmtId="0" fontId="20" fillId="0" borderId="10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6" fillId="2" borderId="2" xfId="0" quotePrefix="1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/>
    <xf numFmtId="43" fontId="3" fillId="2" borderId="0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 wrapText="1"/>
    </xf>
    <xf numFmtId="43" fontId="3" fillId="2" borderId="0" xfId="0" applyNumberFormat="1" applyFont="1" applyFill="1" applyBorder="1" applyAlignment="1">
      <alignment horizontal="left" vertical="center"/>
    </xf>
    <xf numFmtId="0" fontId="17" fillId="0" borderId="10" xfId="0" applyFont="1" applyFill="1" applyBorder="1" applyAlignment="1">
      <alignment horizontal="left" vertical="center" wrapText="1"/>
    </xf>
    <xf numFmtId="0" fontId="17" fillId="0" borderId="10" xfId="0" quotePrefix="1" applyFont="1" applyFill="1" applyBorder="1" applyAlignment="1">
      <alignment horizontal="left" vertical="center"/>
    </xf>
    <xf numFmtId="164" fontId="17" fillId="0" borderId="2" xfId="1" applyNumberFormat="1" applyFont="1" applyFill="1" applyBorder="1" applyAlignment="1">
      <alignment horizontal="center" vertical="center"/>
    </xf>
    <xf numFmtId="16" fontId="9" fillId="3" borderId="2" xfId="0" quotePrefix="1" applyNumberFormat="1" applyFont="1" applyFill="1" applyBorder="1" applyAlignment="1">
      <alignment horizontal="left"/>
    </xf>
    <xf numFmtId="164" fontId="22" fillId="2" borderId="2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64" fontId="17" fillId="0" borderId="10" xfId="1" applyNumberFormat="1" applyFont="1" applyFill="1" applyBorder="1" applyAlignment="1">
      <alignment horizontal="right" vertical="center"/>
    </xf>
    <xf numFmtId="164" fontId="6" fillId="0" borderId="10" xfId="1" quotePrefix="1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164" fontId="17" fillId="2" borderId="10" xfId="1" applyNumberFormat="1" applyFont="1" applyFill="1" applyBorder="1" applyAlignment="1">
      <alignment horizontal="center" vertical="center"/>
    </xf>
    <xf numFmtId="164" fontId="2" fillId="2" borderId="9" xfId="1" applyNumberFormat="1" applyFont="1" applyFill="1" applyBorder="1" applyAlignment="1">
      <alignment horizontal="center" vertical="center" wrapText="1"/>
    </xf>
    <xf numFmtId="41" fontId="2" fillId="2" borderId="2" xfId="0" applyNumberFormat="1" applyFont="1" applyFill="1" applyBorder="1" applyAlignment="1">
      <alignment horizontal="center" vertical="center" wrapText="1"/>
    </xf>
    <xf numFmtId="164" fontId="2" fillId="2" borderId="15" xfId="1" applyNumberFormat="1" applyFont="1" applyFill="1" applyBorder="1" applyAlignment="1">
      <alignment horizontal="center" vertical="center" wrapText="1"/>
    </xf>
    <xf numFmtId="164" fontId="6" fillId="2" borderId="10" xfId="1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8" xfId="0" quotePrefix="1" applyFont="1" applyFill="1" applyBorder="1" applyAlignment="1">
      <alignment horizontal="center" vertical="center"/>
    </xf>
    <xf numFmtId="0" fontId="9" fillId="2" borderId="10" xfId="0" quotePrefix="1" applyFont="1" applyFill="1" applyBorder="1" applyAlignment="1">
      <alignment horizontal="center" vertical="center"/>
    </xf>
    <xf numFmtId="164" fontId="9" fillId="2" borderId="8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164" fontId="14" fillId="2" borderId="8" xfId="1" applyNumberFormat="1" applyFont="1" applyFill="1" applyBorder="1" applyAlignment="1">
      <alignment horizontal="center" vertical="center"/>
    </xf>
    <xf numFmtId="164" fontId="14" fillId="2" borderId="10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1" fontId="2" fillId="2" borderId="3" xfId="0" applyNumberFormat="1" applyFont="1" applyFill="1" applyBorder="1" applyAlignment="1">
      <alignment horizontal="center" vertical="center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4" fontId="2" fillId="2" borderId="6" xfId="1" applyNumberFormat="1" applyFont="1" applyFill="1" applyBorder="1" applyAlignment="1">
      <alignment horizontal="center" vertical="center" wrapText="1"/>
    </xf>
    <xf numFmtId="164" fontId="2" fillId="2" borderId="7" xfId="1" applyNumberFormat="1" applyFont="1" applyFill="1" applyBorder="1" applyAlignment="1">
      <alignment horizontal="center" vertical="center" wrapText="1"/>
    </xf>
    <xf numFmtId="164" fontId="2" fillId="2" borderId="12" xfId="1" applyNumberFormat="1" applyFont="1" applyFill="1" applyBorder="1" applyAlignment="1">
      <alignment horizontal="center" vertical="center" wrapText="1"/>
    </xf>
    <xf numFmtId="164" fontId="2" fillId="2" borderId="13" xfId="1" applyNumberFormat="1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  <xf numFmtId="164" fontId="2" fillId="2" borderId="9" xfId="1" applyNumberFormat="1" applyFont="1" applyFill="1" applyBorder="1" applyAlignment="1">
      <alignment horizontal="center" vertical="center" wrapText="1"/>
    </xf>
    <xf numFmtId="164" fontId="2" fillId="2" borderId="10" xfId="1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9" fillId="2" borderId="9" xfId="0" quotePrefix="1" applyFont="1" applyFill="1" applyBorder="1" applyAlignment="1">
      <alignment horizontal="center" vertical="center"/>
    </xf>
    <xf numFmtId="164" fontId="9" fillId="2" borderId="9" xfId="1" applyNumberFormat="1" applyFont="1" applyFill="1" applyBorder="1" applyAlignment="1">
      <alignment horizontal="center" vertical="center"/>
    </xf>
    <xf numFmtId="164" fontId="14" fillId="2" borderId="9" xfId="1" applyNumberFormat="1" applyFont="1" applyFill="1" applyBorder="1" applyAlignment="1">
      <alignment horizontal="center" vertical="center"/>
    </xf>
    <xf numFmtId="164" fontId="17" fillId="2" borderId="8" xfId="1" applyNumberFormat="1" applyFont="1" applyFill="1" applyBorder="1" applyAlignment="1">
      <alignment horizontal="center" vertical="center"/>
    </xf>
    <xf numFmtId="164" fontId="17" fillId="2" borderId="10" xfId="1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9" fillId="2" borderId="8" xfId="1" quotePrefix="1" applyNumberFormat="1" applyFont="1" applyFill="1" applyBorder="1" applyAlignment="1">
      <alignment horizontal="center" vertical="center"/>
    </xf>
    <xf numFmtId="164" fontId="9" fillId="2" borderId="10" xfId="1" quotePrefix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164" fontId="14" fillId="2" borderId="2" xfId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41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4" xfId="1" applyNumberFormat="1" applyFont="1" applyFill="1" applyBorder="1" applyAlignment="1">
      <alignment horizontal="center" vertical="center" wrapText="1"/>
    </xf>
    <xf numFmtId="164" fontId="2" fillId="2" borderId="15" xfId="1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7" fillId="2" borderId="9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164" fontId="3" fillId="2" borderId="10" xfId="1" applyNumberFormat="1" applyFont="1" applyFill="1" applyBorder="1" applyAlignment="1">
      <alignment horizontal="center" vertical="center"/>
    </xf>
    <xf numFmtId="164" fontId="6" fillId="2" borderId="8" xfId="1" quotePrefix="1" applyNumberFormat="1" applyFont="1" applyFill="1" applyBorder="1" applyAlignment="1">
      <alignment horizontal="center" vertical="center"/>
    </xf>
    <xf numFmtId="164" fontId="6" fillId="2" borderId="10" xfId="1" quotePrefix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164" fontId="6" fillId="2" borderId="8" xfId="1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164" fontId="17" fillId="2" borderId="8" xfId="1" quotePrefix="1" applyNumberFormat="1" applyFont="1" applyFill="1" applyBorder="1" applyAlignment="1">
      <alignment horizontal="center" vertical="center"/>
    </xf>
    <xf numFmtId="164" fontId="17" fillId="2" borderId="10" xfId="1" quotePrefix="1" applyNumberFormat="1" applyFont="1" applyFill="1" applyBorder="1" applyAlignment="1">
      <alignment horizontal="center" vertical="center"/>
    </xf>
    <xf numFmtId="14" fontId="9" fillId="2" borderId="8" xfId="0" quotePrefix="1" applyNumberFormat="1" applyFont="1" applyFill="1" applyBorder="1" applyAlignment="1">
      <alignment horizontal="center" vertical="center"/>
    </xf>
    <xf numFmtId="14" fontId="9" fillId="2" borderId="10" xfId="0" quotePrefix="1" applyNumberFormat="1" applyFont="1" applyFill="1" applyBorder="1" applyAlignment="1">
      <alignment horizontal="center" vertical="center"/>
    </xf>
    <xf numFmtId="164" fontId="14" fillId="2" borderId="8" xfId="1" applyNumberFormat="1" applyFont="1" applyFill="1" applyBorder="1" applyAlignment="1">
      <alignment horizontal="center" vertical="center" wrapText="1"/>
    </xf>
    <xf numFmtId="164" fontId="14" fillId="2" borderId="10" xfId="1" applyNumberFormat="1" applyFont="1" applyFill="1" applyBorder="1" applyAlignment="1">
      <alignment horizontal="center" vertical="center" wrapText="1"/>
    </xf>
    <xf numFmtId="164" fontId="3" fillId="2" borderId="8" xfId="1" quotePrefix="1" applyNumberFormat="1" applyFont="1" applyFill="1" applyBorder="1" applyAlignment="1">
      <alignment horizontal="center" vertical="center"/>
    </xf>
    <xf numFmtId="164" fontId="3" fillId="2" borderId="10" xfId="1" quotePrefix="1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14" fontId="9" fillId="2" borderId="9" xfId="0" quotePrefix="1" applyNumberFormat="1" applyFont="1" applyFill="1" applyBorder="1" applyAlignment="1">
      <alignment horizontal="center" vertical="center"/>
    </xf>
    <xf numFmtId="164" fontId="14" fillId="2" borderId="9" xfId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/>
    </xf>
    <xf numFmtId="167" fontId="2" fillId="2" borderId="5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5" xfId="0" applyNumberFormat="1" applyFont="1" applyFill="1" applyBorder="1" applyAlignment="1">
      <alignment horizontal="center" vertical="center" wrapText="1"/>
    </xf>
    <xf numFmtId="41" fontId="2" fillId="2" borderId="10" xfId="0" applyNumberFormat="1" applyFont="1" applyFill="1" applyBorder="1" applyAlignment="1">
      <alignment horizontal="center" vertical="center" wrapText="1"/>
    </xf>
  </cellXfs>
  <cellStyles count="6">
    <cellStyle name="Comma" xfId="1" builtinId="3"/>
    <cellStyle name="Comma 4 2" xfId="2" xr:uid="{00000000-0005-0000-0000-000001000000}"/>
    <cellStyle name="Comma 5" xfId="3" xr:uid="{00000000-0005-0000-0000-000002000000}"/>
    <cellStyle name="Comma 6" xfId="5" xr:uid="{00000000-0005-0000-0000-000003000000}"/>
    <cellStyle name="Normal" xfId="0" builtinId="0"/>
    <cellStyle name="Normal 6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TIN-TM%2012.2023/1.%20DIEU%20XE/2.%20PH&#205;%20VC/PHI%20VAN%20CHUYEN%20T9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 NGUYEN (2)"/>
      <sheetName val="TH"/>
      <sheetName val="A VIEN"/>
      <sheetName val="A DUNG"/>
      <sheetName val="A PHU"/>
      <sheetName val="A VINH"/>
      <sheetName val="A HIEU"/>
      <sheetName val="A NAM"/>
      <sheetName val="TU 2T"/>
      <sheetName val="CHU HOANG"/>
      <sheetName val="A HUU"/>
      <sheetName val="A DANH"/>
      <sheetName val="A TRỌN"/>
      <sheetName val="A THANH"/>
      <sheetName val="A TUẤN"/>
      <sheetName val="TÚ 4T"/>
      <sheetName val="MANG NHUA"/>
      <sheetName val="TMC "/>
      <sheetName val="A HA"/>
      <sheetName val="TH 2022"/>
      <sheetName val="Sheet1"/>
      <sheetName val="AN NGUYEN (PHE LIEU )"/>
      <sheetName val="QUY CACH THUNG XE"/>
      <sheetName val="DIA CHI "/>
    </sheetNames>
    <sheetDataSet>
      <sheetData sheetId="0" refreshError="1"/>
      <sheetData sheetId="1" refreshError="1"/>
      <sheetData sheetId="2" refreshError="1">
        <row r="1">
          <cell r="A1" t="str">
            <v xml:space="preserve">2025年09销路运费 </v>
          </cell>
        </row>
        <row r="3">
          <cell r="A3" t="str">
            <v xml:space="preserve"> THÁNG 09 NĂM 2025</v>
          </cell>
        </row>
        <row r="66">
          <cell r="G66" t="str">
            <v>Đặng Thị Mỹ Tin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4">
          <cell r="K54">
            <v>0</v>
          </cell>
          <cell r="O54">
            <v>0</v>
          </cell>
          <cell r="P54">
            <v>36902000</v>
          </cell>
        </row>
      </sheetData>
      <sheetData sheetId="9" refreshError="1">
        <row r="51">
          <cell r="L51">
            <v>11450000</v>
          </cell>
          <cell r="N51">
            <v>680000</v>
          </cell>
          <cell r="P51">
            <v>1008400</v>
          </cell>
          <cell r="Q51">
            <v>32908400</v>
          </cell>
        </row>
      </sheetData>
      <sheetData sheetId="10" refreshError="1"/>
      <sheetData sheetId="11" refreshError="1">
        <row r="46">
          <cell r="L46">
            <v>15300000</v>
          </cell>
          <cell r="N46">
            <v>0</v>
          </cell>
          <cell r="P46">
            <v>3453600</v>
          </cell>
          <cell r="Q46">
            <v>65135100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topLeftCell="A3" zoomScale="85" zoomScaleNormal="85" workbookViewId="0">
      <selection activeCell="H26" sqref="H26"/>
    </sheetView>
  </sheetViews>
  <sheetFormatPr defaultColWidth="9.140625" defaultRowHeight="15"/>
  <cols>
    <col min="1" max="1" width="10" style="1" customWidth="1"/>
    <col min="2" max="2" width="14.5703125" style="42" customWidth="1"/>
    <col min="3" max="3" width="14.85546875" style="3" customWidth="1"/>
    <col min="4" max="4" width="23.28515625" style="3" customWidth="1"/>
    <col min="5" max="5" width="17.140625" style="43" customWidth="1"/>
    <col min="6" max="6" width="14.28515625" style="44" hidden="1" customWidth="1"/>
    <col min="7" max="7" width="14.42578125" style="37" customWidth="1"/>
    <col min="8" max="8" width="17.42578125" style="37" customWidth="1"/>
    <col min="9" max="10" width="15.42578125" style="36" customWidth="1"/>
    <col min="11" max="11" width="16.5703125" style="7" customWidth="1"/>
    <col min="12" max="13" width="16.85546875" style="7" customWidth="1"/>
    <col min="14" max="15" width="14.7109375" style="7" customWidth="1"/>
    <col min="16" max="16" width="15.28515625" style="7" customWidth="1"/>
    <col min="17" max="17" width="17.140625" style="120" customWidth="1"/>
    <col min="18" max="18" width="48.85546875" style="121" customWidth="1"/>
    <col min="19" max="19" width="16.42578125" style="3" customWidth="1"/>
    <col min="20" max="20" width="9.140625" style="1"/>
    <col min="21" max="21" width="13.140625" style="1" bestFit="1" customWidth="1"/>
    <col min="22" max="16384" width="9.140625" style="1"/>
  </cols>
  <sheetData>
    <row r="1" spans="1:19">
      <c r="A1" s="307" t="str">
        <f>'[1]A VIEN'!A1:Q1</f>
        <v xml:space="preserve">2025年09销路运费 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9" ht="18.75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</row>
    <row r="3" spans="1:19">
      <c r="A3" s="307" t="str">
        <f>'[1]A VIEN'!A3:Q3</f>
        <v xml:space="preserve"> THÁNG 09 NĂM 2025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</row>
    <row r="4" spans="1:19">
      <c r="A4" s="309" t="s">
        <v>31</v>
      </c>
      <c r="B4" s="309"/>
      <c r="C4" s="309"/>
      <c r="D4" s="309"/>
      <c r="E4" s="3"/>
      <c r="F4" s="3"/>
      <c r="G4" s="4"/>
      <c r="H4" s="4"/>
      <c r="I4" s="4"/>
      <c r="J4" s="4"/>
    </row>
    <row r="5" spans="1:19" s="9" customFormat="1" ht="29.25" customHeight="1">
      <c r="A5" s="295" t="s">
        <v>1</v>
      </c>
      <c r="B5" s="295" t="s">
        <v>2</v>
      </c>
      <c r="C5" s="295" t="s">
        <v>3</v>
      </c>
      <c r="D5" s="295" t="s">
        <v>4</v>
      </c>
      <c r="E5" s="311" t="s">
        <v>5</v>
      </c>
      <c r="F5" s="312"/>
      <c r="G5" s="313" t="s">
        <v>6</v>
      </c>
      <c r="H5" s="314"/>
      <c r="I5" s="315"/>
      <c r="J5" s="395"/>
      <c r="K5" s="316" t="s">
        <v>7</v>
      </c>
      <c r="L5" s="319" t="s">
        <v>8</v>
      </c>
      <c r="M5" s="320"/>
      <c r="N5" s="319" t="s">
        <v>9</v>
      </c>
      <c r="O5" s="320"/>
      <c r="P5" s="323" t="s">
        <v>10</v>
      </c>
      <c r="Q5" s="323" t="s">
        <v>11</v>
      </c>
      <c r="R5" s="292" t="s">
        <v>12</v>
      </c>
      <c r="S5" s="81"/>
    </row>
    <row r="6" spans="1:19" s="9" customFormat="1" ht="23.25" customHeight="1">
      <c r="A6" s="310"/>
      <c r="B6" s="310"/>
      <c r="C6" s="310"/>
      <c r="D6" s="310"/>
      <c r="E6" s="295" t="s">
        <v>13</v>
      </c>
      <c r="F6" s="295" t="s">
        <v>14</v>
      </c>
      <c r="G6" s="233" t="s">
        <v>15</v>
      </c>
      <c r="H6" s="297" t="s">
        <v>16</v>
      </c>
      <c r="I6" s="298"/>
      <c r="J6" s="284"/>
      <c r="K6" s="317"/>
      <c r="L6" s="321"/>
      <c r="M6" s="322"/>
      <c r="N6" s="321"/>
      <c r="O6" s="322"/>
      <c r="P6" s="324"/>
      <c r="Q6" s="324"/>
      <c r="R6" s="293"/>
      <c r="S6" s="81"/>
    </row>
    <row r="7" spans="1:19" s="9" customFormat="1" ht="22.5" customHeight="1">
      <c r="A7" s="296"/>
      <c r="B7" s="296"/>
      <c r="C7" s="296"/>
      <c r="D7" s="296"/>
      <c r="E7" s="296"/>
      <c r="F7" s="296"/>
      <c r="G7" s="229" t="s">
        <v>18</v>
      </c>
      <c r="H7" s="229" t="s">
        <v>19</v>
      </c>
      <c r="I7" s="229" t="s">
        <v>18</v>
      </c>
      <c r="J7" s="282"/>
      <c r="K7" s="318"/>
      <c r="L7" s="229" t="s">
        <v>15</v>
      </c>
      <c r="M7" s="204" t="s">
        <v>16</v>
      </c>
      <c r="N7" s="229" t="s">
        <v>15</v>
      </c>
      <c r="O7" s="205" t="s">
        <v>16</v>
      </c>
      <c r="P7" s="325"/>
      <c r="Q7" s="325"/>
      <c r="R7" s="294"/>
      <c r="S7" s="81"/>
    </row>
    <row r="8" spans="1:19" s="9" customFormat="1" ht="23.45" customHeight="1">
      <c r="A8" s="299">
        <v>1</v>
      </c>
      <c r="B8" s="301" t="s">
        <v>208</v>
      </c>
      <c r="C8" s="239">
        <v>26</v>
      </c>
      <c r="D8" s="239" t="s">
        <v>129</v>
      </c>
      <c r="E8" s="236" t="s">
        <v>68</v>
      </c>
      <c r="F8" s="236"/>
      <c r="G8" s="240"/>
      <c r="H8" s="237">
        <v>142600</v>
      </c>
      <c r="I8" s="222">
        <v>663.173</v>
      </c>
      <c r="J8" s="285"/>
      <c r="K8" s="138"/>
      <c r="L8" s="76"/>
      <c r="M8" s="303">
        <v>1200000</v>
      </c>
      <c r="N8" s="221"/>
      <c r="O8" s="221"/>
      <c r="P8" s="78"/>
      <c r="Q8" s="305">
        <f>SUM(L8:P9)</f>
        <v>1200000</v>
      </c>
      <c r="R8" s="140" t="s">
        <v>56</v>
      </c>
      <c r="S8" s="162"/>
    </row>
    <row r="9" spans="1:19" s="9" customFormat="1" ht="23.45" customHeight="1">
      <c r="A9" s="300"/>
      <c r="B9" s="302"/>
      <c r="C9" s="236" t="s">
        <v>209</v>
      </c>
      <c r="D9" s="239" t="s">
        <v>63</v>
      </c>
      <c r="E9" s="236" t="s">
        <v>66</v>
      </c>
      <c r="F9" s="240"/>
      <c r="G9" s="237"/>
      <c r="H9" s="237">
        <f>46600+6000</f>
        <v>52600</v>
      </c>
      <c r="I9" s="237">
        <f>537.01+118.2532</f>
        <v>655.26319999999998</v>
      </c>
      <c r="J9" s="237"/>
      <c r="K9" s="138"/>
      <c r="L9" s="138"/>
      <c r="M9" s="304"/>
      <c r="N9" s="138"/>
      <c r="O9" s="139"/>
      <c r="P9" s="78"/>
      <c r="Q9" s="306"/>
      <c r="R9" s="169"/>
      <c r="S9" s="162"/>
    </row>
    <row r="10" spans="1:19" s="9" customFormat="1" ht="23.45" customHeight="1">
      <c r="A10" s="299">
        <v>2</v>
      </c>
      <c r="B10" s="301" t="s">
        <v>210</v>
      </c>
      <c r="C10" s="239">
        <v>20</v>
      </c>
      <c r="D10" s="239" t="s">
        <v>211</v>
      </c>
      <c r="E10" s="236" t="s">
        <v>97</v>
      </c>
      <c r="F10" s="236"/>
      <c r="G10" s="240"/>
      <c r="H10" s="237">
        <v>246000</v>
      </c>
      <c r="I10" s="237">
        <v>1205.7070000000001</v>
      </c>
      <c r="J10" s="237"/>
      <c r="K10" s="141"/>
      <c r="L10" s="76"/>
      <c r="M10" s="303">
        <v>1050000</v>
      </c>
      <c r="N10" s="76"/>
      <c r="O10" s="221"/>
      <c r="P10" s="78"/>
      <c r="Q10" s="305">
        <f>SUM(L10:P11)</f>
        <v>1050000</v>
      </c>
      <c r="R10" s="198"/>
      <c r="S10" s="162"/>
    </row>
    <row r="11" spans="1:19" s="9" customFormat="1" ht="23.45" customHeight="1">
      <c r="A11" s="300"/>
      <c r="B11" s="302"/>
      <c r="C11" s="236">
        <v>44</v>
      </c>
      <c r="D11" s="239" t="s">
        <v>212</v>
      </c>
      <c r="E11" s="236" t="s">
        <v>97</v>
      </c>
      <c r="F11" s="240"/>
      <c r="G11" s="237"/>
      <c r="H11" s="237">
        <v>7047</v>
      </c>
      <c r="I11" s="237">
        <v>191.31790000000001</v>
      </c>
      <c r="J11" s="237"/>
      <c r="K11" s="197"/>
      <c r="L11" s="76"/>
      <c r="M11" s="304"/>
      <c r="N11" s="221"/>
      <c r="O11" s="221"/>
      <c r="P11" s="78"/>
      <c r="Q11" s="306"/>
      <c r="R11" s="140"/>
      <c r="S11" s="162"/>
    </row>
    <row r="12" spans="1:19" s="9" customFormat="1" ht="23.45" customHeight="1">
      <c r="A12" s="75">
        <v>3</v>
      </c>
      <c r="B12" s="224" t="s">
        <v>210</v>
      </c>
      <c r="C12" s="236" t="s">
        <v>213</v>
      </c>
      <c r="D12" s="239" t="s">
        <v>94</v>
      </c>
      <c r="E12" s="236" t="s">
        <v>53</v>
      </c>
      <c r="F12" s="236"/>
      <c r="G12" s="240"/>
      <c r="H12" s="237">
        <v>40000</v>
      </c>
      <c r="I12" s="222">
        <v>392.88650000000001</v>
      </c>
      <c r="J12" s="285"/>
      <c r="K12" s="197"/>
      <c r="L12" s="76"/>
      <c r="M12" s="76">
        <v>600000</v>
      </c>
      <c r="N12" s="76"/>
      <c r="O12" s="221"/>
      <c r="P12" s="78"/>
      <c r="Q12" s="123">
        <f t="shared" ref="Q12:Q39" si="0">SUM(L12:P12)</f>
        <v>600000</v>
      </c>
      <c r="R12" s="198" t="s">
        <v>214</v>
      </c>
      <c r="S12" s="162"/>
    </row>
    <row r="13" spans="1:19" s="9" customFormat="1" ht="23.45" customHeight="1">
      <c r="A13" s="75">
        <v>4</v>
      </c>
      <c r="B13" s="224" t="s">
        <v>215</v>
      </c>
      <c r="C13" s="239">
        <v>2</v>
      </c>
      <c r="D13" s="239" t="s">
        <v>159</v>
      </c>
      <c r="E13" s="236" t="s">
        <v>67</v>
      </c>
      <c r="F13" s="236"/>
      <c r="G13" s="240"/>
      <c r="H13" s="237">
        <v>308000</v>
      </c>
      <c r="I13" s="222">
        <v>1632.4</v>
      </c>
      <c r="J13" s="285"/>
      <c r="K13" s="138"/>
      <c r="L13" s="76"/>
      <c r="M13" s="76">
        <v>1100000</v>
      </c>
      <c r="N13" s="139"/>
      <c r="O13" s="139"/>
      <c r="P13" s="78"/>
      <c r="Q13" s="123">
        <f t="shared" si="0"/>
        <v>1100000</v>
      </c>
      <c r="R13" s="140"/>
      <c r="S13" s="162"/>
    </row>
    <row r="14" spans="1:19" s="9" customFormat="1" ht="23.45" customHeight="1">
      <c r="A14" s="299">
        <v>5</v>
      </c>
      <c r="B14" s="301" t="s">
        <v>216</v>
      </c>
      <c r="C14" s="236">
        <v>32</v>
      </c>
      <c r="D14" s="239" t="s">
        <v>54</v>
      </c>
      <c r="E14" s="236" t="s">
        <v>55</v>
      </c>
      <c r="F14" s="236"/>
      <c r="G14" s="240"/>
      <c r="H14" s="237">
        <v>15500</v>
      </c>
      <c r="I14" s="222">
        <v>336.43</v>
      </c>
      <c r="J14" s="285"/>
      <c r="K14" s="138"/>
      <c r="L14" s="76"/>
      <c r="M14" s="303">
        <v>1100000</v>
      </c>
      <c r="N14" s="139"/>
      <c r="O14" s="139"/>
      <c r="P14" s="78"/>
      <c r="Q14" s="305">
        <f>SUM(L14:P17)</f>
        <v>1300000</v>
      </c>
      <c r="R14" s="198" t="s">
        <v>56</v>
      </c>
      <c r="S14" s="162"/>
    </row>
    <row r="15" spans="1:19" s="9" customFormat="1" ht="23.45" customHeight="1">
      <c r="A15" s="326"/>
      <c r="B15" s="327"/>
      <c r="C15" s="236">
        <v>13</v>
      </c>
      <c r="D15" s="239" t="s">
        <v>116</v>
      </c>
      <c r="E15" s="236" t="s">
        <v>51</v>
      </c>
      <c r="F15" s="236"/>
      <c r="G15" s="240"/>
      <c r="H15" s="237">
        <v>23460</v>
      </c>
      <c r="I15" s="237">
        <v>590.72280000000001</v>
      </c>
      <c r="J15" s="237"/>
      <c r="K15" s="140"/>
      <c r="L15" s="76"/>
      <c r="M15" s="328"/>
      <c r="N15" s="76"/>
      <c r="O15" s="221"/>
      <c r="P15" s="78"/>
      <c r="Q15" s="329"/>
      <c r="R15" s="140"/>
      <c r="S15" s="162"/>
    </row>
    <row r="16" spans="1:19" s="9" customFormat="1" ht="24" customHeight="1">
      <c r="A16" s="326"/>
      <c r="B16" s="327"/>
      <c r="C16" s="236">
        <v>28</v>
      </c>
      <c r="D16" s="239" t="s">
        <v>133</v>
      </c>
      <c r="E16" s="236" t="s">
        <v>74</v>
      </c>
      <c r="F16" s="236"/>
      <c r="G16" s="237"/>
      <c r="H16" s="237">
        <v>19000</v>
      </c>
      <c r="I16" s="237">
        <v>325.839</v>
      </c>
      <c r="J16" s="237"/>
      <c r="K16" s="140"/>
      <c r="L16" s="76"/>
      <c r="M16" s="304"/>
      <c r="N16" s="76"/>
      <c r="O16" s="221"/>
      <c r="P16" s="78"/>
      <c r="Q16" s="329"/>
      <c r="R16" s="177"/>
      <c r="S16" s="162"/>
    </row>
    <row r="17" spans="1:19" s="9" customFormat="1" ht="23.45" customHeight="1">
      <c r="A17" s="300"/>
      <c r="B17" s="302"/>
      <c r="C17" s="236">
        <v>26</v>
      </c>
      <c r="D17" s="239" t="s">
        <v>109</v>
      </c>
      <c r="E17" s="236" t="s">
        <v>67</v>
      </c>
      <c r="F17" s="240"/>
      <c r="G17" s="237">
        <v>420</v>
      </c>
      <c r="H17" s="237"/>
      <c r="I17" s="237"/>
      <c r="J17" s="237"/>
      <c r="K17" s="140"/>
      <c r="L17" s="76">
        <v>200000</v>
      </c>
      <c r="M17" s="76"/>
      <c r="N17" s="76"/>
      <c r="O17" s="221"/>
      <c r="P17" s="78"/>
      <c r="Q17" s="306"/>
      <c r="R17" s="198"/>
      <c r="S17" s="162"/>
    </row>
    <row r="18" spans="1:19" s="9" customFormat="1" ht="23.45" customHeight="1">
      <c r="A18" s="299">
        <v>6</v>
      </c>
      <c r="B18" s="301" t="s">
        <v>217</v>
      </c>
      <c r="C18" s="236">
        <v>15</v>
      </c>
      <c r="D18" s="239" t="s">
        <v>72</v>
      </c>
      <c r="E18" s="236" t="s">
        <v>68</v>
      </c>
      <c r="F18" s="236"/>
      <c r="G18" s="240"/>
      <c r="H18" s="237">
        <v>100830</v>
      </c>
      <c r="I18" s="237">
        <v>996.35050000000001</v>
      </c>
      <c r="J18" s="237"/>
      <c r="K18" s="141"/>
      <c r="L18" s="12"/>
      <c r="M18" s="330">
        <v>1050000</v>
      </c>
      <c r="N18" s="12"/>
      <c r="O18" s="77"/>
      <c r="P18" s="101"/>
      <c r="Q18" s="305">
        <f>SUM(L18:P19)</f>
        <v>1050000</v>
      </c>
      <c r="R18" s="198"/>
      <c r="S18" s="162"/>
    </row>
    <row r="19" spans="1:19" s="9" customFormat="1" ht="23.45" customHeight="1">
      <c r="A19" s="300"/>
      <c r="B19" s="302"/>
      <c r="C19" s="220">
        <v>30</v>
      </c>
      <c r="D19" s="220" t="s">
        <v>175</v>
      </c>
      <c r="E19" s="12" t="s">
        <v>57</v>
      </c>
      <c r="F19" s="12"/>
      <c r="G19" s="77"/>
      <c r="H19" s="222">
        <v>10950</v>
      </c>
      <c r="I19" s="222">
        <v>282.90750000000003</v>
      </c>
      <c r="J19" s="285"/>
      <c r="K19" s="141"/>
      <c r="L19" s="76"/>
      <c r="M19" s="331"/>
      <c r="N19" s="76"/>
      <c r="O19" s="221"/>
      <c r="P19" s="78"/>
      <c r="Q19" s="306"/>
      <c r="R19" s="169"/>
      <c r="S19" s="162"/>
    </row>
    <row r="20" spans="1:19" s="9" customFormat="1" ht="23.45" customHeight="1">
      <c r="A20" s="75">
        <v>7</v>
      </c>
      <c r="B20" s="224" t="s">
        <v>218</v>
      </c>
      <c r="C20" s="239" t="s">
        <v>219</v>
      </c>
      <c r="D20" s="239" t="s">
        <v>96</v>
      </c>
      <c r="E20" s="236" t="s">
        <v>48</v>
      </c>
      <c r="F20" s="236"/>
      <c r="G20" s="240"/>
      <c r="H20" s="237">
        <v>120350</v>
      </c>
      <c r="I20" s="237">
        <v>1440.7285999999999</v>
      </c>
      <c r="J20" s="237"/>
      <c r="K20" s="141"/>
      <c r="L20" s="163"/>
      <c r="M20" s="238">
        <v>1150000</v>
      </c>
      <c r="N20" s="76"/>
      <c r="O20" s="221"/>
      <c r="P20" s="78"/>
      <c r="Q20" s="123">
        <f t="shared" si="0"/>
        <v>1150000</v>
      </c>
      <c r="R20" s="198"/>
      <c r="S20" s="162"/>
    </row>
    <row r="21" spans="1:19" s="9" customFormat="1" ht="23.45" customHeight="1">
      <c r="A21" s="75">
        <v>8</v>
      </c>
      <c r="B21" s="224" t="s">
        <v>220</v>
      </c>
      <c r="C21" s="236">
        <v>11</v>
      </c>
      <c r="D21" s="239" t="s">
        <v>221</v>
      </c>
      <c r="E21" s="236" t="s">
        <v>48</v>
      </c>
      <c r="F21" s="236"/>
      <c r="G21" s="240"/>
      <c r="H21" s="237">
        <v>49800</v>
      </c>
      <c r="I21" s="237">
        <v>1170.798</v>
      </c>
      <c r="J21" s="237"/>
      <c r="K21" s="141"/>
      <c r="L21" s="163"/>
      <c r="M21" s="238">
        <v>1150000</v>
      </c>
      <c r="N21" s="76"/>
      <c r="O21" s="221">
        <v>60000</v>
      </c>
      <c r="P21" s="78"/>
      <c r="Q21" s="123">
        <f t="shared" si="0"/>
        <v>1210000</v>
      </c>
      <c r="R21" s="140" t="s">
        <v>102</v>
      </c>
      <c r="S21" s="162"/>
    </row>
    <row r="22" spans="1:19" s="9" customFormat="1" ht="23.45" customHeight="1">
      <c r="A22" s="75">
        <v>9</v>
      </c>
      <c r="B22" s="224" t="s">
        <v>222</v>
      </c>
      <c r="C22" s="239" t="s">
        <v>223</v>
      </c>
      <c r="D22" s="239" t="s">
        <v>63</v>
      </c>
      <c r="E22" s="236" t="s">
        <v>66</v>
      </c>
      <c r="F22" s="240"/>
      <c r="G22" s="237"/>
      <c r="H22" s="237">
        <f>129250+20000</f>
        <v>149250</v>
      </c>
      <c r="I22" s="237">
        <f>1299.476+219</f>
        <v>1518.4760000000001</v>
      </c>
      <c r="J22" s="237"/>
      <c r="K22" s="141"/>
      <c r="L22" s="163"/>
      <c r="M22" s="76">
        <v>1150000</v>
      </c>
      <c r="N22" s="76"/>
      <c r="O22" s="221"/>
      <c r="P22" s="78"/>
      <c r="Q22" s="123">
        <f t="shared" si="0"/>
        <v>1150000</v>
      </c>
      <c r="R22" s="198" t="s">
        <v>56</v>
      </c>
      <c r="S22" s="162"/>
    </row>
    <row r="23" spans="1:19" s="9" customFormat="1" ht="23.45" customHeight="1">
      <c r="A23" s="299">
        <v>10</v>
      </c>
      <c r="B23" s="301" t="s">
        <v>224</v>
      </c>
      <c r="C23" s="239">
        <v>36</v>
      </c>
      <c r="D23" s="239" t="s">
        <v>65</v>
      </c>
      <c r="E23" s="236" t="s">
        <v>67</v>
      </c>
      <c r="F23" s="240"/>
      <c r="G23" s="237"/>
      <c r="H23" s="237">
        <v>9000</v>
      </c>
      <c r="I23" s="222">
        <v>326.25</v>
      </c>
      <c r="J23" s="285"/>
      <c r="K23" s="197"/>
      <c r="L23" s="163"/>
      <c r="M23" s="303">
        <v>1100000</v>
      </c>
      <c r="N23" s="76"/>
      <c r="O23" s="182"/>
      <c r="P23" s="78"/>
      <c r="Q23" s="305">
        <f>SUM(L23:P25)</f>
        <v>1250000</v>
      </c>
      <c r="R23" s="140" t="s">
        <v>56</v>
      </c>
      <c r="S23" s="162"/>
    </row>
    <row r="24" spans="1:19" s="9" customFormat="1" ht="23.45" customHeight="1">
      <c r="A24" s="326"/>
      <c r="B24" s="327"/>
      <c r="C24" s="239">
        <v>37</v>
      </c>
      <c r="D24" s="239" t="s">
        <v>65</v>
      </c>
      <c r="E24" s="236" t="s">
        <v>90</v>
      </c>
      <c r="F24" s="236"/>
      <c r="G24" s="237"/>
      <c r="H24" s="237">
        <v>66000</v>
      </c>
      <c r="I24" s="222">
        <v>998.83989999999994</v>
      </c>
      <c r="J24" s="285"/>
      <c r="K24" s="77"/>
      <c r="L24" s="163"/>
      <c r="M24" s="304"/>
      <c r="N24" s="76"/>
      <c r="O24" s="182"/>
      <c r="P24" s="78"/>
      <c r="Q24" s="329"/>
      <c r="R24" s="140"/>
      <c r="S24" s="162"/>
    </row>
    <row r="25" spans="1:19" s="9" customFormat="1" ht="23.45" customHeight="1">
      <c r="A25" s="300"/>
      <c r="B25" s="302"/>
      <c r="C25" s="239">
        <v>13</v>
      </c>
      <c r="D25" s="239" t="s">
        <v>139</v>
      </c>
      <c r="E25" s="236" t="s">
        <v>51</v>
      </c>
      <c r="F25" s="236"/>
      <c r="G25" s="237">
        <v>300</v>
      </c>
      <c r="H25" s="237"/>
      <c r="I25" s="237"/>
      <c r="J25" s="237"/>
      <c r="K25" s="197"/>
      <c r="L25" s="164">
        <v>150000</v>
      </c>
      <c r="M25" s="76"/>
      <c r="N25" s="76"/>
      <c r="O25" s="182"/>
      <c r="P25" s="78"/>
      <c r="Q25" s="306"/>
      <c r="R25" s="198"/>
      <c r="S25" s="162"/>
    </row>
    <row r="26" spans="1:19" s="9" customFormat="1" ht="23.45" customHeight="1">
      <c r="A26" s="75">
        <v>11</v>
      </c>
      <c r="B26" s="224" t="s">
        <v>225</v>
      </c>
      <c r="C26" s="236" t="s">
        <v>226</v>
      </c>
      <c r="D26" s="236" t="s">
        <v>95</v>
      </c>
      <c r="E26" s="236" t="s">
        <v>90</v>
      </c>
      <c r="F26" s="236"/>
      <c r="G26" s="240"/>
      <c r="H26" s="237">
        <f>43000+16800+27650+40000</f>
        <v>127450</v>
      </c>
      <c r="I26" s="237">
        <f>367.692+253.9749+434+100.548</f>
        <v>1156.2148999999999</v>
      </c>
      <c r="J26" s="237"/>
      <c r="K26" s="197"/>
      <c r="L26" s="76"/>
      <c r="M26" s="76">
        <v>1150000</v>
      </c>
      <c r="N26" s="76"/>
      <c r="O26" s="182"/>
      <c r="P26" s="78"/>
      <c r="Q26" s="123">
        <f t="shared" si="0"/>
        <v>1150000</v>
      </c>
      <c r="R26" s="198" t="s">
        <v>56</v>
      </c>
      <c r="S26" s="162"/>
    </row>
    <row r="27" spans="1:19" s="9" customFormat="1" ht="23.45" customHeight="1">
      <c r="A27" s="75">
        <v>12</v>
      </c>
      <c r="B27" s="224" t="s">
        <v>227</v>
      </c>
      <c r="C27" s="236">
        <v>5</v>
      </c>
      <c r="D27" s="236" t="s">
        <v>65</v>
      </c>
      <c r="E27" s="236" t="s">
        <v>228</v>
      </c>
      <c r="F27" s="236"/>
      <c r="G27" s="240"/>
      <c r="H27" s="237">
        <v>56800</v>
      </c>
      <c r="I27" s="237">
        <v>1005.36</v>
      </c>
      <c r="J27" s="237"/>
      <c r="K27" s="75"/>
      <c r="L27" s="87"/>
      <c r="M27" s="76">
        <v>1200000</v>
      </c>
      <c r="N27" s="12"/>
      <c r="O27" s="182"/>
      <c r="P27" s="77"/>
      <c r="Q27" s="123">
        <f t="shared" si="0"/>
        <v>1200000</v>
      </c>
      <c r="R27" s="198"/>
      <c r="S27" s="162"/>
    </row>
    <row r="28" spans="1:19" s="9" customFormat="1" ht="23.45" customHeight="1">
      <c r="A28" s="299">
        <v>13</v>
      </c>
      <c r="B28" s="301" t="s">
        <v>229</v>
      </c>
      <c r="C28" s="236" t="s">
        <v>230</v>
      </c>
      <c r="D28" s="239" t="s">
        <v>72</v>
      </c>
      <c r="E28" s="236" t="s">
        <v>68</v>
      </c>
      <c r="F28" s="240"/>
      <c r="G28" s="237">
        <v>420</v>
      </c>
      <c r="H28" s="237">
        <f>13800+4600</f>
        <v>18400</v>
      </c>
      <c r="I28" s="252">
        <f>347.484+119.46</f>
        <v>466.94399999999996</v>
      </c>
      <c r="J28" s="252"/>
      <c r="K28" s="156"/>
      <c r="L28" s="87">
        <v>150000</v>
      </c>
      <c r="M28" s="303">
        <v>1050000</v>
      </c>
      <c r="N28" s="76"/>
      <c r="O28" s="221"/>
      <c r="P28" s="78"/>
      <c r="Q28" s="305">
        <f>SUM(L28:P29)</f>
        <v>1200000</v>
      </c>
      <c r="R28" s="140" t="s">
        <v>56</v>
      </c>
      <c r="S28" s="162"/>
    </row>
    <row r="29" spans="1:19" s="9" customFormat="1" ht="23.45" customHeight="1">
      <c r="A29" s="300"/>
      <c r="B29" s="302"/>
      <c r="C29" s="239">
        <v>6</v>
      </c>
      <c r="D29" s="239" t="s">
        <v>65</v>
      </c>
      <c r="E29" s="236" t="s">
        <v>90</v>
      </c>
      <c r="F29" s="236"/>
      <c r="G29" s="237"/>
      <c r="H29" s="237">
        <v>24000</v>
      </c>
      <c r="I29" s="252">
        <v>337.68</v>
      </c>
      <c r="J29" s="252"/>
      <c r="K29" s="156"/>
      <c r="L29" s="76"/>
      <c r="M29" s="304"/>
      <c r="N29" s="76"/>
      <c r="O29" s="221"/>
      <c r="P29" s="78"/>
      <c r="Q29" s="306"/>
      <c r="R29" s="198"/>
      <c r="S29" s="162"/>
    </row>
    <row r="30" spans="1:19" s="9" customFormat="1" ht="23.45" customHeight="1">
      <c r="A30" s="75">
        <v>14</v>
      </c>
      <c r="B30" s="224" t="s">
        <v>231</v>
      </c>
      <c r="C30" s="239" t="s">
        <v>111</v>
      </c>
      <c r="D30" s="239" t="s">
        <v>72</v>
      </c>
      <c r="E30" s="236" t="s">
        <v>68</v>
      </c>
      <c r="F30" s="236"/>
      <c r="G30" s="240"/>
      <c r="H30" s="237">
        <f>15600+39340</f>
        <v>54940</v>
      </c>
      <c r="I30" s="222">
        <f>432.6+962.664</f>
        <v>1395.2640000000001</v>
      </c>
      <c r="J30" s="285"/>
      <c r="K30" s="140"/>
      <c r="L30" s="76"/>
      <c r="M30" s="76">
        <v>1050000</v>
      </c>
      <c r="N30" s="76"/>
      <c r="O30" s="221"/>
      <c r="P30" s="78"/>
      <c r="Q30" s="123">
        <f t="shared" si="0"/>
        <v>1050000</v>
      </c>
      <c r="R30" s="140" t="s">
        <v>56</v>
      </c>
      <c r="S30" s="162"/>
    </row>
    <row r="31" spans="1:19" s="9" customFormat="1" ht="23.45" customHeight="1">
      <c r="A31" s="75">
        <v>15</v>
      </c>
      <c r="B31" s="224" t="s">
        <v>232</v>
      </c>
      <c r="C31" s="239" t="s">
        <v>233</v>
      </c>
      <c r="D31" s="239" t="s">
        <v>94</v>
      </c>
      <c r="E31" s="236" t="s">
        <v>53</v>
      </c>
      <c r="F31" s="236"/>
      <c r="G31" s="240"/>
      <c r="H31" s="237">
        <v>60000</v>
      </c>
      <c r="I31" s="237">
        <v>598.39689999999996</v>
      </c>
      <c r="J31" s="237"/>
      <c r="K31" s="166"/>
      <c r="L31" s="76"/>
      <c r="M31" s="76">
        <v>600000</v>
      </c>
      <c r="N31" s="76"/>
      <c r="O31" s="221"/>
      <c r="P31" s="78"/>
      <c r="Q31" s="123">
        <f t="shared" si="0"/>
        <v>600000</v>
      </c>
      <c r="R31" s="198" t="s">
        <v>234</v>
      </c>
      <c r="S31" s="162"/>
    </row>
    <row r="32" spans="1:19" s="9" customFormat="1" ht="23.45" customHeight="1">
      <c r="A32" s="75">
        <v>16</v>
      </c>
      <c r="B32" s="224" t="s">
        <v>232</v>
      </c>
      <c r="C32" s="236" t="s">
        <v>235</v>
      </c>
      <c r="D32" s="239" t="s">
        <v>63</v>
      </c>
      <c r="E32" s="236" t="s">
        <v>66</v>
      </c>
      <c r="F32" s="240"/>
      <c r="G32" s="237"/>
      <c r="H32" s="237">
        <f>19850+22000+28700</f>
        <v>70550</v>
      </c>
      <c r="I32" s="222">
        <f>368.7516+346.7086+584.914</f>
        <v>1300.3742</v>
      </c>
      <c r="J32" s="285"/>
      <c r="K32" s="138"/>
      <c r="L32" s="76"/>
      <c r="M32" s="76">
        <v>1100000</v>
      </c>
      <c r="N32" s="76"/>
      <c r="O32" s="221"/>
      <c r="P32" s="78"/>
      <c r="Q32" s="123">
        <f t="shared" si="0"/>
        <v>1100000</v>
      </c>
      <c r="R32" s="140"/>
      <c r="S32" s="162"/>
    </row>
    <row r="33" spans="1:19" s="9" customFormat="1" ht="23.45" customHeight="1">
      <c r="A33" s="75">
        <v>17</v>
      </c>
      <c r="B33" s="224" t="s">
        <v>236</v>
      </c>
      <c r="C33" s="239">
        <v>2</v>
      </c>
      <c r="D33" s="239" t="s">
        <v>136</v>
      </c>
      <c r="E33" s="236" t="s">
        <v>68</v>
      </c>
      <c r="F33" s="236"/>
      <c r="G33" s="240"/>
      <c r="H33" s="237">
        <v>73400</v>
      </c>
      <c r="I33" s="237">
        <v>597.82159999999999</v>
      </c>
      <c r="J33" s="237"/>
      <c r="K33" s="138"/>
      <c r="L33" s="76"/>
      <c r="M33" s="76">
        <v>1000000</v>
      </c>
      <c r="N33" s="78"/>
      <c r="O33" s="182"/>
      <c r="P33" s="78"/>
      <c r="Q33" s="123">
        <f t="shared" si="0"/>
        <v>1000000</v>
      </c>
      <c r="R33" s="198"/>
      <c r="S33" s="162"/>
    </row>
    <row r="34" spans="1:19" s="9" customFormat="1" ht="23.45" customHeight="1">
      <c r="A34" s="75">
        <v>18</v>
      </c>
      <c r="B34" s="224" t="s">
        <v>236</v>
      </c>
      <c r="C34" s="236" t="s">
        <v>213</v>
      </c>
      <c r="D34" s="239" t="s">
        <v>115</v>
      </c>
      <c r="E34" s="236" t="s">
        <v>82</v>
      </c>
      <c r="F34" s="240"/>
      <c r="G34" s="237"/>
      <c r="H34" s="237">
        <v>45800</v>
      </c>
      <c r="I34" s="222">
        <v>999.68</v>
      </c>
      <c r="J34" s="285"/>
      <c r="K34" s="138"/>
      <c r="L34" s="164"/>
      <c r="M34" s="76">
        <v>1250000</v>
      </c>
      <c r="N34" s="78"/>
      <c r="O34" s="182"/>
      <c r="P34" s="78"/>
      <c r="Q34" s="123">
        <f t="shared" si="0"/>
        <v>1250000</v>
      </c>
      <c r="R34" s="169"/>
      <c r="S34" s="162"/>
    </row>
    <row r="35" spans="1:19" s="9" customFormat="1" ht="23.45" customHeight="1">
      <c r="A35" s="75">
        <v>19</v>
      </c>
      <c r="B35" s="224" t="s">
        <v>237</v>
      </c>
      <c r="C35" s="220" t="s">
        <v>238</v>
      </c>
      <c r="D35" s="220" t="s">
        <v>65</v>
      </c>
      <c r="E35" s="12" t="s">
        <v>239</v>
      </c>
      <c r="F35" s="12"/>
      <c r="G35" s="222"/>
      <c r="H35" s="222">
        <f>105000+15000</f>
        <v>120000</v>
      </c>
      <c r="I35" s="222">
        <f>1139.25+390</f>
        <v>1529.25</v>
      </c>
      <c r="J35" s="285"/>
      <c r="K35" s="140"/>
      <c r="L35" s="76"/>
      <c r="M35" s="76">
        <v>1200000</v>
      </c>
      <c r="N35" s="76"/>
      <c r="O35" s="221">
        <v>24000</v>
      </c>
      <c r="P35" s="78"/>
      <c r="Q35" s="123">
        <f t="shared" si="0"/>
        <v>1224000</v>
      </c>
      <c r="R35" s="117" t="s">
        <v>102</v>
      </c>
      <c r="S35" s="162"/>
    </row>
    <row r="36" spans="1:19" s="9" customFormat="1" ht="23.45" customHeight="1">
      <c r="A36" s="75">
        <v>20</v>
      </c>
      <c r="B36" s="224" t="s">
        <v>240</v>
      </c>
      <c r="C36" s="220" t="s">
        <v>167</v>
      </c>
      <c r="D36" s="220" t="s">
        <v>99</v>
      </c>
      <c r="E36" s="12" t="s">
        <v>49</v>
      </c>
      <c r="F36" s="12"/>
      <c r="G36" s="77"/>
      <c r="H36" s="222">
        <v>67200</v>
      </c>
      <c r="I36" s="222">
        <v>1318.1138000000001</v>
      </c>
      <c r="J36" s="285"/>
      <c r="K36" s="140"/>
      <c r="L36" s="76"/>
      <c r="M36" s="76">
        <v>1050000</v>
      </c>
      <c r="N36" s="76"/>
      <c r="O36" s="221"/>
      <c r="P36" s="78"/>
      <c r="Q36" s="123">
        <f t="shared" si="0"/>
        <v>1050000</v>
      </c>
      <c r="R36" s="137" t="s">
        <v>56</v>
      </c>
      <c r="S36" s="162"/>
    </row>
    <row r="37" spans="1:19" s="9" customFormat="1" ht="23.45" customHeight="1">
      <c r="A37" s="299">
        <v>21</v>
      </c>
      <c r="B37" s="301" t="s">
        <v>241</v>
      </c>
      <c r="C37" s="12">
        <v>8</v>
      </c>
      <c r="D37" s="12" t="s">
        <v>63</v>
      </c>
      <c r="E37" s="12" t="s">
        <v>68</v>
      </c>
      <c r="F37" s="12"/>
      <c r="G37" s="139"/>
      <c r="H37" s="222">
        <v>20000</v>
      </c>
      <c r="I37" s="222">
        <v>434</v>
      </c>
      <c r="J37" s="285"/>
      <c r="K37" s="75"/>
      <c r="L37" s="221"/>
      <c r="M37" s="303">
        <v>1150000</v>
      </c>
      <c r="N37" s="143"/>
      <c r="O37" s="221"/>
      <c r="P37" s="221"/>
      <c r="Q37" s="305">
        <f>SUM(L37:P38)</f>
        <v>1150000</v>
      </c>
      <c r="R37" s="82"/>
      <c r="S37" s="162"/>
    </row>
    <row r="38" spans="1:19" s="9" customFormat="1" ht="23.45" customHeight="1">
      <c r="A38" s="300"/>
      <c r="B38" s="302"/>
      <c r="C38" s="236" t="s">
        <v>242</v>
      </c>
      <c r="D38" s="236" t="s">
        <v>63</v>
      </c>
      <c r="E38" s="236" t="s">
        <v>66</v>
      </c>
      <c r="F38" s="236"/>
      <c r="G38" s="240"/>
      <c r="H38" s="237">
        <f>24600+12000</f>
        <v>36600</v>
      </c>
      <c r="I38" s="237">
        <f>418.2682+260.4</f>
        <v>678.66819999999996</v>
      </c>
      <c r="J38" s="237"/>
      <c r="K38" s="140"/>
      <c r="L38" s="76"/>
      <c r="M38" s="304"/>
      <c r="N38" s="76"/>
      <c r="O38" s="221"/>
      <c r="P38" s="78"/>
      <c r="Q38" s="306"/>
      <c r="R38" s="82"/>
      <c r="S38" s="162"/>
    </row>
    <row r="39" spans="1:19" s="79" customFormat="1" ht="23.45" customHeight="1">
      <c r="A39" s="75">
        <v>22</v>
      </c>
      <c r="B39" s="224" t="s">
        <v>241</v>
      </c>
      <c r="C39" s="220" t="s">
        <v>243</v>
      </c>
      <c r="D39" s="220" t="s">
        <v>221</v>
      </c>
      <c r="E39" s="12" t="s">
        <v>48</v>
      </c>
      <c r="F39" s="12"/>
      <c r="G39" s="77"/>
      <c r="H39" s="222">
        <f>2400+72000</f>
        <v>74400</v>
      </c>
      <c r="I39" s="222">
        <f>48.48+1044</f>
        <v>1092.48</v>
      </c>
      <c r="J39" s="285"/>
      <c r="K39" s="140"/>
      <c r="L39" s="76"/>
      <c r="M39" s="76">
        <v>1150000</v>
      </c>
      <c r="N39" s="76"/>
      <c r="O39" s="221">
        <v>60000</v>
      </c>
      <c r="P39" s="78"/>
      <c r="Q39" s="123">
        <f t="shared" si="0"/>
        <v>1210000</v>
      </c>
      <c r="R39" s="196" t="s">
        <v>244</v>
      </c>
      <c r="S39" s="253"/>
    </row>
    <row r="40" spans="1:19" s="79" customFormat="1" ht="23.45" customHeight="1">
      <c r="A40" s="299">
        <v>23</v>
      </c>
      <c r="B40" s="301" t="s">
        <v>245</v>
      </c>
      <c r="C40" s="220" t="s">
        <v>246</v>
      </c>
      <c r="D40" s="220" t="s">
        <v>50</v>
      </c>
      <c r="E40" s="12" t="s">
        <v>66</v>
      </c>
      <c r="F40" s="12"/>
      <c r="G40" s="222"/>
      <c r="H40" s="222">
        <f>30600+40000</f>
        <v>70600</v>
      </c>
      <c r="I40" s="230">
        <f>624.393+110</f>
        <v>734.39300000000003</v>
      </c>
      <c r="J40" s="281"/>
      <c r="K40" s="141"/>
      <c r="L40" s="76"/>
      <c r="M40" s="303">
        <v>1200000</v>
      </c>
      <c r="N40" s="76"/>
      <c r="O40" s="221"/>
      <c r="P40" s="78"/>
      <c r="Q40" s="305">
        <f>SUM(L40:P41)</f>
        <v>1200000</v>
      </c>
      <c r="R40" s="196" t="s">
        <v>56</v>
      </c>
      <c r="S40" s="253"/>
    </row>
    <row r="41" spans="1:19" s="79" customFormat="1" ht="23.45" customHeight="1">
      <c r="A41" s="300"/>
      <c r="B41" s="302"/>
      <c r="C41" s="236" t="s">
        <v>247</v>
      </c>
      <c r="D41" s="236" t="s">
        <v>63</v>
      </c>
      <c r="E41" s="236" t="s">
        <v>66</v>
      </c>
      <c r="F41" s="236"/>
      <c r="G41" s="240"/>
      <c r="H41" s="237">
        <v>30600</v>
      </c>
      <c r="I41" s="237">
        <f>646.8156+38.04+82</f>
        <v>766.85559999999998</v>
      </c>
      <c r="J41" s="237"/>
      <c r="K41" s="141"/>
      <c r="L41" s="76"/>
      <c r="M41" s="304"/>
      <c r="N41" s="76"/>
      <c r="O41" s="221"/>
      <c r="P41" s="78"/>
      <c r="Q41" s="306"/>
      <c r="R41" s="251"/>
      <c r="S41" s="254"/>
    </row>
    <row r="42" spans="1:19" s="79" customFormat="1" ht="23.45" customHeight="1">
      <c r="A42" s="299">
        <v>24</v>
      </c>
      <c r="B42" s="301" t="s">
        <v>248</v>
      </c>
      <c r="C42" s="220" t="s">
        <v>249</v>
      </c>
      <c r="D42" s="220" t="s">
        <v>109</v>
      </c>
      <c r="E42" s="12" t="s">
        <v>67</v>
      </c>
      <c r="F42" s="12"/>
      <c r="G42" s="222">
        <v>1080</v>
      </c>
      <c r="H42" s="222"/>
      <c r="I42" s="222"/>
      <c r="J42" s="285"/>
      <c r="K42" s="141"/>
      <c r="L42" s="76">
        <v>500000</v>
      </c>
      <c r="M42" s="76"/>
      <c r="N42" s="76"/>
      <c r="O42" s="221"/>
      <c r="P42" s="78"/>
      <c r="Q42" s="305">
        <f>SUM(L42:P43)</f>
        <v>1200000</v>
      </c>
      <c r="R42" s="82" t="s">
        <v>56</v>
      </c>
      <c r="S42" s="162"/>
    </row>
    <row r="43" spans="1:19" s="79" customFormat="1" ht="23.45" customHeight="1">
      <c r="A43" s="300"/>
      <c r="B43" s="302"/>
      <c r="C43" s="236">
        <v>34</v>
      </c>
      <c r="D43" s="236" t="s">
        <v>133</v>
      </c>
      <c r="E43" s="236" t="s">
        <v>51</v>
      </c>
      <c r="F43" s="236"/>
      <c r="G43" s="240"/>
      <c r="H43" s="237">
        <v>56650</v>
      </c>
      <c r="I43" s="222">
        <v>647.65250000000003</v>
      </c>
      <c r="J43" s="285"/>
      <c r="K43" s="141"/>
      <c r="L43" s="76"/>
      <c r="M43" s="76">
        <v>700000</v>
      </c>
      <c r="N43" s="76"/>
      <c r="O43" s="221"/>
      <c r="P43" s="78"/>
      <c r="Q43" s="306"/>
      <c r="R43" s="198"/>
      <c r="S43" s="162"/>
    </row>
    <row r="44" spans="1:19" s="79" customFormat="1" ht="23.45" customHeight="1">
      <c r="A44" s="75">
        <v>25</v>
      </c>
      <c r="B44" s="224" t="s">
        <v>250</v>
      </c>
      <c r="C44" s="12">
        <v>10</v>
      </c>
      <c r="D44" s="220" t="s">
        <v>251</v>
      </c>
      <c r="E44" s="12" t="s">
        <v>68</v>
      </c>
      <c r="F44" s="77"/>
      <c r="G44" s="222">
        <v>2100</v>
      </c>
      <c r="H44" s="77"/>
      <c r="I44" s="77"/>
      <c r="J44" s="77"/>
      <c r="K44" s="141"/>
      <c r="L44" s="76">
        <v>1000000</v>
      </c>
      <c r="M44" s="76"/>
      <c r="N44" s="76"/>
      <c r="O44" s="221"/>
      <c r="P44" s="78"/>
      <c r="Q44" s="123">
        <f t="shared" ref="Q44:Q56" si="1">SUM(L44:P44)</f>
        <v>1000000</v>
      </c>
      <c r="R44" s="140"/>
      <c r="S44" s="162"/>
    </row>
    <row r="45" spans="1:19" s="79" customFormat="1" ht="23.45" customHeight="1">
      <c r="A45" s="75">
        <v>26</v>
      </c>
      <c r="B45" s="224" t="s">
        <v>250</v>
      </c>
      <c r="C45" s="220" t="s">
        <v>174</v>
      </c>
      <c r="D45" s="220" t="s">
        <v>89</v>
      </c>
      <c r="E45" s="12" t="s">
        <v>74</v>
      </c>
      <c r="F45" s="77"/>
      <c r="G45" s="222"/>
      <c r="H45" s="222">
        <v>126000</v>
      </c>
      <c r="I45" s="222">
        <v>1314.9839999999999</v>
      </c>
      <c r="J45" s="285"/>
      <c r="K45" s="141"/>
      <c r="L45" s="76"/>
      <c r="M45" s="76">
        <v>550000</v>
      </c>
      <c r="N45" s="76"/>
      <c r="O45" s="221"/>
      <c r="P45" s="78"/>
      <c r="Q45" s="123">
        <f t="shared" si="1"/>
        <v>550000</v>
      </c>
      <c r="R45" s="140"/>
      <c r="S45" s="162"/>
    </row>
    <row r="46" spans="1:19" s="79" customFormat="1" ht="23.45" customHeight="1">
      <c r="A46" s="75">
        <v>27</v>
      </c>
      <c r="B46" s="224" t="s">
        <v>252</v>
      </c>
      <c r="C46" s="220" t="s">
        <v>145</v>
      </c>
      <c r="D46" s="220" t="s">
        <v>94</v>
      </c>
      <c r="E46" s="12" t="s">
        <v>53</v>
      </c>
      <c r="F46" s="77"/>
      <c r="G46" s="222"/>
      <c r="H46" s="222">
        <v>26000</v>
      </c>
      <c r="I46" s="222">
        <v>356.4973</v>
      </c>
      <c r="J46" s="285"/>
      <c r="K46" s="141"/>
      <c r="L46" s="76"/>
      <c r="M46" s="76">
        <v>550000</v>
      </c>
      <c r="N46" s="76"/>
      <c r="O46" s="221"/>
      <c r="P46" s="78"/>
      <c r="Q46" s="123">
        <f t="shared" si="1"/>
        <v>550000</v>
      </c>
      <c r="R46" s="140" t="s">
        <v>253</v>
      </c>
      <c r="S46" s="162"/>
    </row>
    <row r="47" spans="1:19" s="79" customFormat="1" ht="23.45" customHeight="1">
      <c r="A47" s="75">
        <v>28</v>
      </c>
      <c r="B47" s="224" t="s">
        <v>252</v>
      </c>
      <c r="C47" s="12">
        <v>23</v>
      </c>
      <c r="D47" s="12" t="s">
        <v>133</v>
      </c>
      <c r="E47" s="12" t="s">
        <v>69</v>
      </c>
      <c r="F47" s="12"/>
      <c r="G47" s="77"/>
      <c r="H47" s="222">
        <v>90600</v>
      </c>
      <c r="I47" s="222">
        <v>1285.2</v>
      </c>
      <c r="J47" s="285"/>
      <c r="K47" s="141"/>
      <c r="L47" s="76"/>
      <c r="M47" s="76">
        <v>1000000</v>
      </c>
      <c r="N47" s="76"/>
      <c r="O47" s="221"/>
      <c r="P47" s="78"/>
      <c r="Q47" s="123">
        <f t="shared" si="1"/>
        <v>1000000</v>
      </c>
      <c r="R47" s="140"/>
      <c r="S47" s="162"/>
    </row>
    <row r="48" spans="1:19" s="79" customFormat="1" ht="23.45" customHeight="1">
      <c r="A48" s="299">
        <v>29</v>
      </c>
      <c r="B48" s="301" t="s">
        <v>254</v>
      </c>
      <c r="C48" s="220">
        <v>16</v>
      </c>
      <c r="D48" s="220" t="s">
        <v>65</v>
      </c>
      <c r="E48" s="12" t="s">
        <v>90</v>
      </c>
      <c r="F48" s="77"/>
      <c r="G48" s="222"/>
      <c r="H48" s="222">
        <v>56000</v>
      </c>
      <c r="I48" s="222">
        <v>560</v>
      </c>
      <c r="J48" s="285"/>
      <c r="K48" s="141"/>
      <c r="L48" s="76"/>
      <c r="M48" s="303">
        <v>1150000</v>
      </c>
      <c r="N48" s="76"/>
      <c r="O48" s="221">
        <v>100000</v>
      </c>
      <c r="P48" s="78"/>
      <c r="Q48" s="305">
        <f>SUM(L48:P49)</f>
        <v>1250000</v>
      </c>
      <c r="R48" s="196" t="s">
        <v>255</v>
      </c>
      <c r="S48" s="162"/>
    </row>
    <row r="49" spans="1:21" s="79" customFormat="1" ht="23.45" customHeight="1">
      <c r="A49" s="300"/>
      <c r="B49" s="302"/>
      <c r="C49" s="220">
        <v>15</v>
      </c>
      <c r="D49" s="220" t="s">
        <v>54</v>
      </c>
      <c r="E49" s="12" t="s">
        <v>55</v>
      </c>
      <c r="F49" s="12"/>
      <c r="G49" s="222"/>
      <c r="H49" s="222">
        <v>6000</v>
      </c>
      <c r="I49" s="222">
        <v>370.14600000000002</v>
      </c>
      <c r="J49" s="285"/>
      <c r="K49" s="141"/>
      <c r="L49" s="76"/>
      <c r="M49" s="304"/>
      <c r="N49" s="76"/>
      <c r="O49" s="221"/>
      <c r="P49" s="78"/>
      <c r="Q49" s="306"/>
      <c r="R49" s="140"/>
      <c r="S49" s="162"/>
    </row>
    <row r="50" spans="1:21" s="79" customFormat="1" ht="23.45" customHeight="1">
      <c r="A50" s="299">
        <v>30</v>
      </c>
      <c r="B50" s="301" t="s">
        <v>256</v>
      </c>
      <c r="C50" s="220" t="s">
        <v>257</v>
      </c>
      <c r="D50" s="220" t="s">
        <v>72</v>
      </c>
      <c r="E50" s="12" t="s">
        <v>68</v>
      </c>
      <c r="F50" s="12"/>
      <c r="G50" s="77"/>
      <c r="H50" s="222">
        <f>86850+28250</f>
        <v>115100</v>
      </c>
      <c r="I50" s="222">
        <f>795.2266+496.1383</f>
        <v>1291.3649</v>
      </c>
      <c r="J50" s="285"/>
      <c r="K50" s="141"/>
      <c r="L50" s="76"/>
      <c r="M50" s="76">
        <v>1000000</v>
      </c>
      <c r="N50" s="76"/>
      <c r="O50" s="221"/>
      <c r="P50" s="78"/>
      <c r="Q50" s="305">
        <f>SUM(L50:P51)</f>
        <v>1100000</v>
      </c>
      <c r="R50" s="140" t="s">
        <v>56</v>
      </c>
      <c r="S50" s="162"/>
    </row>
    <row r="51" spans="1:21" s="79" customFormat="1" ht="23.45" customHeight="1">
      <c r="A51" s="300"/>
      <c r="B51" s="302"/>
      <c r="C51" s="220" t="s">
        <v>258</v>
      </c>
      <c r="D51" s="220" t="s">
        <v>251</v>
      </c>
      <c r="E51" s="12" t="s">
        <v>68</v>
      </c>
      <c r="F51" s="12"/>
      <c r="G51" s="222">
        <v>300</v>
      </c>
      <c r="H51" s="222"/>
      <c r="I51" s="222"/>
      <c r="J51" s="285"/>
      <c r="K51" s="141"/>
      <c r="L51" s="76">
        <v>100000</v>
      </c>
      <c r="M51" s="76"/>
      <c r="N51" s="76"/>
      <c r="O51" s="221"/>
      <c r="P51" s="78"/>
      <c r="Q51" s="306"/>
      <c r="R51" s="140"/>
      <c r="S51" s="162"/>
    </row>
    <row r="52" spans="1:21" s="79" customFormat="1" ht="23.45" customHeight="1">
      <c r="A52" s="227">
        <v>31</v>
      </c>
      <c r="B52" s="225" t="s">
        <v>256</v>
      </c>
      <c r="C52" s="220" t="s">
        <v>259</v>
      </c>
      <c r="D52" s="220" t="s">
        <v>133</v>
      </c>
      <c r="E52" s="12" t="s">
        <v>51</v>
      </c>
      <c r="F52" s="12"/>
      <c r="G52" s="77"/>
      <c r="H52" s="222">
        <f>119000+9300</f>
        <v>128300</v>
      </c>
      <c r="I52" s="230">
        <f>566.45+220.0582</f>
        <v>786.50819999999999</v>
      </c>
      <c r="J52" s="281"/>
      <c r="K52" s="141"/>
      <c r="L52" s="76"/>
      <c r="M52" s="76">
        <v>1050000</v>
      </c>
      <c r="N52" s="76"/>
      <c r="O52" s="221">
        <v>200000</v>
      </c>
      <c r="P52" s="78"/>
      <c r="Q52" s="123">
        <f>SUM(L52:P52)</f>
        <v>1250000</v>
      </c>
      <c r="R52" s="255" t="s">
        <v>108</v>
      </c>
      <c r="S52" s="162"/>
    </row>
    <row r="53" spans="1:21" s="79" customFormat="1" ht="23.45" customHeight="1">
      <c r="A53" s="75">
        <v>32</v>
      </c>
      <c r="B53" s="224" t="s">
        <v>260</v>
      </c>
      <c r="C53" s="220">
        <v>14</v>
      </c>
      <c r="D53" s="220" t="s">
        <v>94</v>
      </c>
      <c r="E53" s="12" t="s">
        <v>53</v>
      </c>
      <c r="F53" s="12"/>
      <c r="G53" s="77"/>
      <c r="H53" s="222">
        <v>40000</v>
      </c>
      <c r="I53" s="222">
        <v>317.98200000000003</v>
      </c>
      <c r="J53" s="285"/>
      <c r="K53" s="141"/>
      <c r="L53" s="76"/>
      <c r="M53" s="76">
        <v>550000</v>
      </c>
      <c r="N53" s="76"/>
      <c r="O53" s="221"/>
      <c r="P53" s="78"/>
      <c r="Q53" s="123">
        <f t="shared" si="1"/>
        <v>550000</v>
      </c>
      <c r="R53" s="196" t="s">
        <v>261</v>
      </c>
      <c r="S53" s="162"/>
    </row>
    <row r="54" spans="1:21" s="79" customFormat="1" ht="23.45" customHeight="1">
      <c r="A54" s="75">
        <v>33</v>
      </c>
      <c r="B54" s="224" t="s">
        <v>260</v>
      </c>
      <c r="C54" s="220" t="s">
        <v>262</v>
      </c>
      <c r="D54" s="220" t="s">
        <v>65</v>
      </c>
      <c r="E54" s="12" t="s">
        <v>90</v>
      </c>
      <c r="F54" s="12"/>
      <c r="G54" s="77"/>
      <c r="H54" s="222">
        <v>51060</v>
      </c>
      <c r="I54" s="222">
        <v>1273.57</v>
      </c>
      <c r="J54" s="285"/>
      <c r="K54" s="141"/>
      <c r="L54" s="76"/>
      <c r="M54" s="76">
        <v>1150000</v>
      </c>
      <c r="N54" s="76"/>
      <c r="O54" s="221"/>
      <c r="P54" s="78"/>
      <c r="Q54" s="123">
        <f t="shared" si="1"/>
        <v>1150000</v>
      </c>
      <c r="R54" s="198" t="s">
        <v>56</v>
      </c>
      <c r="S54" s="162"/>
    </row>
    <row r="55" spans="1:21" s="79" customFormat="1" ht="23.45" customHeight="1">
      <c r="A55" s="75">
        <v>34</v>
      </c>
      <c r="B55" s="224" t="s">
        <v>263</v>
      </c>
      <c r="C55" s="12">
        <v>4</v>
      </c>
      <c r="D55" s="12" t="s">
        <v>159</v>
      </c>
      <c r="E55" s="12" t="s">
        <v>67</v>
      </c>
      <c r="F55" s="12"/>
      <c r="G55" s="77"/>
      <c r="H55" s="222">
        <v>308000</v>
      </c>
      <c r="I55" s="222">
        <v>1773.8643999999999</v>
      </c>
      <c r="J55" s="285"/>
      <c r="K55" s="141"/>
      <c r="L55" s="76"/>
      <c r="M55" s="76">
        <v>1100000</v>
      </c>
      <c r="N55" s="76"/>
      <c r="O55" s="221"/>
      <c r="P55" s="78"/>
      <c r="Q55" s="123">
        <f t="shared" si="1"/>
        <v>1100000</v>
      </c>
      <c r="R55" s="140"/>
      <c r="S55" s="162"/>
    </row>
    <row r="56" spans="1:21" s="79" customFormat="1" ht="23.45" customHeight="1">
      <c r="A56" s="75">
        <v>35</v>
      </c>
      <c r="B56" s="224" t="s">
        <v>263</v>
      </c>
      <c r="C56" s="12">
        <v>34</v>
      </c>
      <c r="D56" s="12" t="s">
        <v>136</v>
      </c>
      <c r="E56" s="12" t="s">
        <v>68</v>
      </c>
      <c r="F56" s="12"/>
      <c r="G56" s="77"/>
      <c r="H56" s="222">
        <v>73000</v>
      </c>
      <c r="I56" s="222">
        <v>531.38400000000001</v>
      </c>
      <c r="J56" s="285"/>
      <c r="K56" s="141"/>
      <c r="L56" s="76"/>
      <c r="M56" s="76">
        <v>1000000</v>
      </c>
      <c r="N56" s="76"/>
      <c r="O56" s="221"/>
      <c r="P56" s="78"/>
      <c r="Q56" s="123">
        <f t="shared" si="1"/>
        <v>1000000</v>
      </c>
      <c r="R56" s="256"/>
      <c r="S56" s="162"/>
      <c r="U56" s="257">
        <f>Q57/A56</f>
        <v>1061257.142857143</v>
      </c>
    </row>
    <row r="57" spans="1:21" s="59" customFormat="1" ht="23.45" customHeight="1">
      <c r="A57" s="332" t="s">
        <v>32</v>
      </c>
      <c r="B57" s="333"/>
      <c r="C57" s="333"/>
      <c r="D57" s="333"/>
      <c r="E57" s="333"/>
      <c r="F57" s="334"/>
      <c r="G57" s="125">
        <f t="shared" ref="G57:Q57" si="2">SUM(G1:G56)</f>
        <v>4620</v>
      </c>
      <c r="H57" s="125">
        <f t="shared" si="2"/>
        <v>3387837</v>
      </c>
      <c r="I57" s="125">
        <f t="shared" si="2"/>
        <v>37648.739399999991</v>
      </c>
      <c r="J57" s="125"/>
      <c r="K57" s="125">
        <f t="shared" si="2"/>
        <v>0</v>
      </c>
      <c r="L57" s="125">
        <f t="shared" si="2"/>
        <v>2100000</v>
      </c>
      <c r="M57" s="125">
        <f t="shared" si="2"/>
        <v>34600000</v>
      </c>
      <c r="N57" s="125">
        <f t="shared" si="2"/>
        <v>0</v>
      </c>
      <c r="O57" s="183">
        <f t="shared" si="2"/>
        <v>444000</v>
      </c>
      <c r="P57" s="125">
        <f t="shared" si="2"/>
        <v>0</v>
      </c>
      <c r="Q57" s="126">
        <f t="shared" si="2"/>
        <v>37144000</v>
      </c>
      <c r="R57" s="127"/>
      <c r="S57" s="258"/>
    </row>
    <row r="58" spans="1:21" s="59" customFormat="1" ht="23.45" customHeight="1">
      <c r="A58" s="286" t="s">
        <v>21</v>
      </c>
      <c r="B58" s="287"/>
      <c r="C58" s="287"/>
      <c r="D58" s="287"/>
      <c r="E58" s="287"/>
      <c r="F58" s="288"/>
      <c r="G58" s="56"/>
      <c r="H58" s="56"/>
      <c r="I58" s="56"/>
      <c r="J58" s="56"/>
      <c r="K58" s="57"/>
      <c r="L58" s="56"/>
      <c r="M58" s="56"/>
      <c r="N58" s="56"/>
      <c r="O58" s="184"/>
      <c r="P58" s="56"/>
      <c r="Q58" s="56">
        <f>8%*Q57</f>
        <v>2971520</v>
      </c>
      <c r="R58" s="129"/>
      <c r="S58" s="128"/>
    </row>
    <row r="59" spans="1:21" s="59" customFormat="1" ht="23.45" customHeight="1">
      <c r="A59" s="286" t="s">
        <v>22</v>
      </c>
      <c r="B59" s="287"/>
      <c r="C59" s="287"/>
      <c r="D59" s="287"/>
      <c r="E59" s="287"/>
      <c r="F59" s="288"/>
      <c r="G59" s="56"/>
      <c r="H59" s="56"/>
      <c r="I59" s="56"/>
      <c r="J59" s="56"/>
      <c r="K59" s="57"/>
      <c r="L59" s="56"/>
      <c r="M59" s="56"/>
      <c r="N59" s="56"/>
      <c r="O59" s="184"/>
      <c r="P59" s="56"/>
      <c r="Q59" s="56">
        <f>Q58+Q57</f>
        <v>40115520</v>
      </c>
      <c r="R59" s="129"/>
      <c r="S59" s="128"/>
    </row>
    <row r="60" spans="1:21" s="23" customFormat="1" ht="30.6" customHeight="1">
      <c r="A60" s="25"/>
      <c r="B60" s="54"/>
      <c r="C60" s="25"/>
      <c r="D60" s="25"/>
      <c r="E60" s="25"/>
      <c r="F60" s="25"/>
      <c r="G60" s="26"/>
      <c r="H60" s="26"/>
      <c r="I60" s="26"/>
      <c r="J60" s="26"/>
      <c r="K60" s="26"/>
      <c r="L60" s="26"/>
      <c r="M60" s="26"/>
      <c r="N60" s="26"/>
      <c r="O60" s="175"/>
      <c r="P60" s="26"/>
      <c r="Q60" s="26"/>
      <c r="R60" s="130"/>
      <c r="S60" s="28"/>
    </row>
    <row r="61" spans="1:21" s="23" customFormat="1" ht="24.6" customHeight="1">
      <c r="A61" s="289" t="s">
        <v>23</v>
      </c>
      <c r="B61" s="290"/>
      <c r="C61" s="290"/>
      <c r="D61" s="290"/>
      <c r="E61" s="290"/>
      <c r="F61" s="291"/>
      <c r="G61" s="29">
        <f>G57</f>
        <v>4620</v>
      </c>
      <c r="H61" s="29"/>
      <c r="I61" s="29"/>
      <c r="J61" s="29"/>
      <c r="K61" s="30">
        <f>G57+I57</f>
        <v>42268.739399999991</v>
      </c>
      <c r="L61" s="29"/>
      <c r="M61" s="29"/>
      <c r="N61" s="29"/>
      <c r="O61" s="176"/>
      <c r="P61" s="29"/>
      <c r="Q61" s="29">
        <f>L57+N57</f>
        <v>2100000</v>
      </c>
      <c r="R61" s="131">
        <f>Q61/G61</f>
        <v>454.54545454545456</v>
      </c>
      <c r="S61" s="112"/>
    </row>
    <row r="62" spans="1:21" s="23" customFormat="1" ht="24.6" customHeight="1">
      <c r="A62" s="289" t="s">
        <v>24</v>
      </c>
      <c r="B62" s="290"/>
      <c r="C62" s="290"/>
      <c r="D62" s="290"/>
      <c r="E62" s="290"/>
      <c r="F62" s="291"/>
      <c r="G62" s="29"/>
      <c r="H62" s="29"/>
      <c r="I62" s="29">
        <f>I57</f>
        <v>37648.739399999991</v>
      </c>
      <c r="J62" s="29"/>
      <c r="K62" s="29"/>
      <c r="L62" s="29"/>
      <c r="M62" s="29"/>
      <c r="N62" s="29"/>
      <c r="O62" s="176"/>
      <c r="P62" s="29"/>
      <c r="Q62" s="29">
        <f>M57+O57</f>
        <v>35044000</v>
      </c>
      <c r="R62" s="131">
        <f>Q62/I62</f>
        <v>930.81469814099557</v>
      </c>
      <c r="S62" s="112"/>
    </row>
    <row r="63" spans="1:21" s="23" customFormat="1" ht="24.6" customHeight="1">
      <c r="A63" s="289" t="s">
        <v>25</v>
      </c>
      <c r="B63" s="290"/>
      <c r="C63" s="290"/>
      <c r="D63" s="290"/>
      <c r="E63" s="290"/>
      <c r="F63" s="291"/>
      <c r="G63" s="29"/>
      <c r="H63" s="29"/>
      <c r="I63" s="29"/>
      <c r="J63" s="29"/>
      <c r="K63" s="29"/>
      <c r="L63" s="29"/>
      <c r="M63" s="29"/>
      <c r="N63" s="29"/>
      <c r="O63" s="176"/>
      <c r="P63" s="29"/>
      <c r="Q63" s="29">
        <f>P57</f>
        <v>0</v>
      </c>
      <c r="R63" s="131"/>
      <c r="S63" s="112"/>
    </row>
    <row r="64" spans="1:21">
      <c r="A64" s="33"/>
      <c r="B64" s="1"/>
      <c r="C64" s="3" t="s">
        <v>27</v>
      </c>
      <c r="D64" s="34"/>
      <c r="E64" s="35"/>
      <c r="F64" s="35"/>
      <c r="G64" s="36" t="s">
        <v>264</v>
      </c>
      <c r="I64" s="37"/>
      <c r="J64" s="37"/>
      <c r="K64" s="38"/>
      <c r="L64" s="1"/>
      <c r="M64" s="1"/>
      <c r="N64" s="1"/>
      <c r="O64" s="1"/>
      <c r="P64" s="1"/>
      <c r="Q64" s="132" t="s">
        <v>28</v>
      </c>
    </row>
    <row r="65" spans="1:19" ht="18" customHeight="1">
      <c r="B65" s="1"/>
      <c r="D65" s="34"/>
      <c r="E65" s="39"/>
      <c r="F65" s="39"/>
      <c r="G65" s="40"/>
      <c r="H65" s="36"/>
      <c r="I65" s="35"/>
      <c r="J65" s="35"/>
      <c r="K65" s="34"/>
    </row>
    <row r="66" spans="1:19" s="8" customFormat="1" ht="18" customHeight="1">
      <c r="A66" s="1"/>
      <c r="B66" s="1"/>
      <c r="C66" s="3"/>
      <c r="D66" s="3"/>
      <c r="E66" s="3"/>
      <c r="F66" s="3"/>
      <c r="G66" s="41"/>
      <c r="H66" s="4"/>
      <c r="I66" s="4"/>
      <c r="J66" s="4"/>
      <c r="O66" s="1"/>
      <c r="Q66" s="133"/>
      <c r="R66" s="121"/>
      <c r="S66" s="3"/>
    </row>
    <row r="67" spans="1:19">
      <c r="B67" s="1"/>
      <c r="E67" s="39"/>
      <c r="F67" s="39"/>
      <c r="G67" s="40"/>
      <c r="H67" s="36"/>
      <c r="I67" s="35"/>
      <c r="J67" s="35"/>
      <c r="K67" s="34"/>
    </row>
    <row r="68" spans="1:19">
      <c r="H68" s="36"/>
      <c r="Q68" s="134"/>
    </row>
    <row r="69" spans="1:19">
      <c r="C69" s="47"/>
      <c r="G69" s="36" t="str">
        <f>'[1]A VIEN'!G66</f>
        <v>Đặng Thị Mỹ Tin</v>
      </c>
      <c r="H69" s="36"/>
      <c r="Q69" s="120" t="s">
        <v>33</v>
      </c>
    </row>
    <row r="72" spans="1:19">
      <c r="R72" s="135" t="e">
        <f>+#REF!+#REF!+#REF!+#REF!+#REF!+#REF!+#REF!+#REF!+#REF!</f>
        <v>#REF!</v>
      </c>
    </row>
  </sheetData>
  <mergeCells count="67">
    <mergeCell ref="A63:F63"/>
    <mergeCell ref="A37:A38"/>
    <mergeCell ref="B37:B38"/>
    <mergeCell ref="M37:M38"/>
    <mergeCell ref="Q37:Q38"/>
    <mergeCell ref="A42:A43"/>
    <mergeCell ref="B42:B43"/>
    <mergeCell ref="Q42:Q43"/>
    <mergeCell ref="A48:A49"/>
    <mergeCell ref="B48:B49"/>
    <mergeCell ref="M48:M49"/>
    <mergeCell ref="Q48:Q49"/>
    <mergeCell ref="A57:F57"/>
    <mergeCell ref="A28:A29"/>
    <mergeCell ref="B28:B29"/>
    <mergeCell ref="M28:M29"/>
    <mergeCell ref="Q28:Q29"/>
    <mergeCell ref="A50:A51"/>
    <mergeCell ref="B50:B51"/>
    <mergeCell ref="Q50:Q51"/>
    <mergeCell ref="A18:A19"/>
    <mergeCell ref="B18:B19"/>
    <mergeCell ref="M18:M19"/>
    <mergeCell ref="Q18:Q19"/>
    <mergeCell ref="A23:A25"/>
    <mergeCell ref="B23:B25"/>
    <mergeCell ref="M23:M24"/>
    <mergeCell ref="Q23:Q25"/>
    <mergeCell ref="B10:B11"/>
    <mergeCell ref="M10:M11"/>
    <mergeCell ref="Q10:Q11"/>
    <mergeCell ref="A14:A17"/>
    <mergeCell ref="B14:B17"/>
    <mergeCell ref="M14:M16"/>
    <mergeCell ref="Q14:Q17"/>
    <mergeCell ref="A1:R1"/>
    <mergeCell ref="A2:R2"/>
    <mergeCell ref="A3:R3"/>
    <mergeCell ref="A4:D4"/>
    <mergeCell ref="A5:A7"/>
    <mergeCell ref="B5:B7"/>
    <mergeCell ref="C5:C7"/>
    <mergeCell ref="D5:D7"/>
    <mergeCell ref="E5:F5"/>
    <mergeCell ref="G5:I5"/>
    <mergeCell ref="K5:K7"/>
    <mergeCell ref="L5:M6"/>
    <mergeCell ref="N5:O6"/>
    <mergeCell ref="P5:P7"/>
    <mergeCell ref="E6:E7"/>
    <mergeCell ref="Q5:Q7"/>
    <mergeCell ref="A58:F58"/>
    <mergeCell ref="A59:F59"/>
    <mergeCell ref="A61:F61"/>
    <mergeCell ref="A62:F62"/>
    <mergeCell ref="R5:R7"/>
    <mergeCell ref="F6:F7"/>
    <mergeCell ref="H6:I6"/>
    <mergeCell ref="A40:A41"/>
    <mergeCell ref="B40:B41"/>
    <mergeCell ref="M40:M41"/>
    <mergeCell ref="Q40:Q41"/>
    <mergeCell ref="A8:A9"/>
    <mergeCell ref="B8:B9"/>
    <mergeCell ref="M8:M9"/>
    <mergeCell ref="Q8:Q9"/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4"/>
  <sheetViews>
    <sheetView zoomScale="85" zoomScaleNormal="85" workbookViewId="0">
      <selection activeCell="J12" sqref="J12"/>
    </sheetView>
  </sheetViews>
  <sheetFormatPr defaultColWidth="9.140625" defaultRowHeight="15"/>
  <cols>
    <col min="1" max="1" width="9.28515625" style="1" customWidth="1"/>
    <col min="2" max="2" width="13.7109375" style="107" customWidth="1"/>
    <col min="3" max="3" width="13.85546875" style="3" customWidth="1"/>
    <col min="4" max="4" width="22.7109375" style="3" customWidth="1"/>
    <col min="5" max="5" width="17.140625" style="43" customWidth="1"/>
    <col min="6" max="6" width="11.28515625" style="44" customWidth="1"/>
    <col min="7" max="7" width="16.5703125" style="37" customWidth="1"/>
    <col min="8" max="8" width="17.42578125" style="37" customWidth="1"/>
    <col min="9" max="10" width="15.42578125" style="46" customWidth="1"/>
    <col min="11" max="11" width="17.7109375" style="7" customWidth="1"/>
    <col min="12" max="13" width="16.42578125" style="7" customWidth="1"/>
    <col min="14" max="14" width="15.7109375" style="7" customWidth="1"/>
    <col min="15" max="15" width="18.42578125" style="7" customWidth="1"/>
    <col min="16" max="16" width="15.5703125" style="7" customWidth="1"/>
    <col min="17" max="17" width="19.42578125" style="136" customWidth="1"/>
    <col min="18" max="18" width="38.85546875" style="3" customWidth="1"/>
    <col min="19" max="19" width="20.85546875" style="121" customWidth="1"/>
    <col min="20" max="16384" width="9.140625" style="1"/>
  </cols>
  <sheetData>
    <row r="1" spans="1:19">
      <c r="A1" s="307" t="str">
        <f>'[1]A VIEN'!A1:Q1</f>
        <v xml:space="preserve">2025年09销路运费 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9" ht="18.75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</row>
    <row r="3" spans="1:19">
      <c r="A3" s="307" t="str">
        <f>'[1]A VIEN'!A3:Q3</f>
        <v xml:space="preserve"> THÁNG 09 NĂM 2025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</row>
    <row r="4" spans="1:19">
      <c r="A4" s="343" t="s">
        <v>117</v>
      </c>
      <c r="B4" s="343"/>
      <c r="C4" s="343"/>
      <c r="D4" s="343"/>
      <c r="E4" s="3"/>
      <c r="F4" s="3"/>
      <c r="G4" s="4"/>
      <c r="H4" s="4"/>
      <c r="I4" s="6"/>
      <c r="J4" s="6"/>
    </row>
    <row r="5" spans="1:19" s="9" customFormat="1" ht="29.25" customHeight="1">
      <c r="A5" s="344" t="s">
        <v>1</v>
      </c>
      <c r="B5" s="345" t="s">
        <v>2</v>
      </c>
      <c r="C5" s="344" t="s">
        <v>3</v>
      </c>
      <c r="D5" s="344" t="s">
        <v>4</v>
      </c>
      <c r="E5" s="344" t="s">
        <v>5</v>
      </c>
      <c r="F5" s="344"/>
      <c r="G5" s="346" t="s">
        <v>6</v>
      </c>
      <c r="H5" s="346"/>
      <c r="I5" s="346"/>
      <c r="J5" s="283"/>
      <c r="K5" s="347" t="s">
        <v>7</v>
      </c>
      <c r="L5" s="319" t="s">
        <v>8</v>
      </c>
      <c r="M5" s="320"/>
      <c r="N5" s="350" t="s">
        <v>9</v>
      </c>
      <c r="O5" s="350"/>
      <c r="P5" s="323" t="s">
        <v>10</v>
      </c>
      <c r="Q5" s="342" t="s">
        <v>11</v>
      </c>
      <c r="R5" s="341" t="s">
        <v>12</v>
      </c>
      <c r="S5" s="162"/>
    </row>
    <row r="6" spans="1:19" s="9" customFormat="1" ht="23.25" customHeight="1">
      <c r="A6" s="344"/>
      <c r="B6" s="345"/>
      <c r="C6" s="344"/>
      <c r="D6" s="344"/>
      <c r="E6" s="344" t="s">
        <v>13</v>
      </c>
      <c r="F6" s="344" t="s">
        <v>14</v>
      </c>
      <c r="G6" s="233" t="s">
        <v>15</v>
      </c>
      <c r="H6" s="346" t="s">
        <v>16</v>
      </c>
      <c r="I6" s="346"/>
      <c r="J6" s="283"/>
      <c r="K6" s="347"/>
      <c r="L6" s="348"/>
      <c r="M6" s="349"/>
      <c r="N6" s="350"/>
      <c r="O6" s="350"/>
      <c r="P6" s="324"/>
      <c r="Q6" s="342"/>
      <c r="R6" s="341"/>
      <c r="S6" s="162"/>
    </row>
    <row r="7" spans="1:19" s="9" customFormat="1" ht="22.5" customHeight="1">
      <c r="A7" s="344"/>
      <c r="B7" s="345"/>
      <c r="C7" s="344"/>
      <c r="D7" s="344"/>
      <c r="E7" s="344"/>
      <c r="F7" s="344"/>
      <c r="G7" s="233" t="s">
        <v>18</v>
      </c>
      <c r="H7" s="233" t="s">
        <v>19</v>
      </c>
      <c r="I7" s="232" t="s">
        <v>18</v>
      </c>
      <c r="J7" s="283"/>
      <c r="K7" s="347"/>
      <c r="L7" s="233" t="s">
        <v>15</v>
      </c>
      <c r="M7" s="10" t="s">
        <v>16</v>
      </c>
      <c r="N7" s="233" t="s">
        <v>15</v>
      </c>
      <c r="O7" s="93" t="s">
        <v>16</v>
      </c>
      <c r="P7" s="325"/>
      <c r="Q7" s="342"/>
      <c r="R7" s="341"/>
      <c r="S7" s="162"/>
    </row>
    <row r="8" spans="1:19" s="79" customFormat="1" ht="24" customHeight="1">
      <c r="A8" s="299">
        <v>1</v>
      </c>
      <c r="B8" s="299" t="s">
        <v>208</v>
      </c>
      <c r="C8" s="239" t="s">
        <v>130</v>
      </c>
      <c r="D8" s="239" t="s">
        <v>63</v>
      </c>
      <c r="E8" s="236" t="s">
        <v>68</v>
      </c>
      <c r="F8" s="236"/>
      <c r="G8" s="240"/>
      <c r="H8" s="237">
        <v>27250</v>
      </c>
      <c r="I8" s="222">
        <v>626.97410000000002</v>
      </c>
      <c r="J8" s="285"/>
      <c r="K8" s="75"/>
      <c r="L8" s="208"/>
      <c r="M8" s="339">
        <v>1050000</v>
      </c>
      <c r="N8" s="76"/>
      <c r="O8" s="76">
        <v>15000</v>
      </c>
      <c r="P8" s="78"/>
      <c r="Q8" s="305">
        <f>SUM(L8:P9)</f>
        <v>1065000</v>
      </c>
      <c r="R8" s="241" t="s">
        <v>102</v>
      </c>
      <c r="S8" s="162"/>
    </row>
    <row r="9" spans="1:19" s="79" customFormat="1" ht="22.9" customHeight="1">
      <c r="A9" s="300"/>
      <c r="B9" s="300"/>
      <c r="C9" s="239">
        <v>13</v>
      </c>
      <c r="D9" s="239" t="s">
        <v>63</v>
      </c>
      <c r="E9" s="236" t="s">
        <v>68</v>
      </c>
      <c r="F9" s="236"/>
      <c r="G9" s="237"/>
      <c r="H9" s="237">
        <v>20400</v>
      </c>
      <c r="I9" s="222">
        <v>442.68</v>
      </c>
      <c r="J9" s="285"/>
      <c r="K9" s="197"/>
      <c r="L9" s="87"/>
      <c r="M9" s="340"/>
      <c r="N9" s="77"/>
      <c r="O9" s="77"/>
      <c r="P9" s="124"/>
      <c r="Q9" s="306"/>
      <c r="R9" s="122"/>
      <c r="S9" s="162"/>
    </row>
    <row r="10" spans="1:19" s="9" customFormat="1" ht="24.6" customHeight="1">
      <c r="A10" s="75">
        <v>2</v>
      </c>
      <c r="B10" s="75" t="s">
        <v>208</v>
      </c>
      <c r="C10" s="239">
        <v>13</v>
      </c>
      <c r="D10" s="239" t="s">
        <v>131</v>
      </c>
      <c r="E10" s="236" t="s">
        <v>48</v>
      </c>
      <c r="F10" s="236"/>
      <c r="G10" s="240">
        <v>2040</v>
      </c>
      <c r="H10" s="237"/>
      <c r="I10" s="237"/>
      <c r="J10" s="237"/>
      <c r="K10" s="138"/>
      <c r="L10" s="87">
        <v>1150000</v>
      </c>
      <c r="M10" s="111"/>
      <c r="N10" s="139">
        <v>60000</v>
      </c>
      <c r="O10" s="139"/>
      <c r="P10" s="78"/>
      <c r="Q10" s="123">
        <f t="shared" ref="Q10:Q53" si="0">SUM(L10:P10)</f>
        <v>1210000</v>
      </c>
      <c r="R10" s="122" t="s">
        <v>265</v>
      </c>
      <c r="S10" s="162"/>
    </row>
    <row r="11" spans="1:19" s="79" customFormat="1" ht="23.45" customHeight="1">
      <c r="A11" s="299">
        <v>3</v>
      </c>
      <c r="B11" s="299" t="s">
        <v>210</v>
      </c>
      <c r="C11" s="236">
        <v>29</v>
      </c>
      <c r="D11" s="239" t="s">
        <v>133</v>
      </c>
      <c r="E11" s="236" t="s">
        <v>110</v>
      </c>
      <c r="F11" s="236"/>
      <c r="G11" s="240"/>
      <c r="H11" s="237">
        <v>31800</v>
      </c>
      <c r="I11" s="222">
        <v>393.37790000000001</v>
      </c>
      <c r="J11" s="285"/>
      <c r="K11" s="75"/>
      <c r="L11" s="76"/>
      <c r="M11" s="339">
        <v>650000</v>
      </c>
      <c r="N11" s="76"/>
      <c r="O11" s="76"/>
      <c r="P11" s="78"/>
      <c r="Q11" s="305">
        <f>SUM(L11:P13)</f>
        <v>1450000</v>
      </c>
      <c r="R11" s="241" t="s">
        <v>56</v>
      </c>
      <c r="S11" s="162"/>
    </row>
    <row r="12" spans="1:19" s="79" customFormat="1" ht="22.9" customHeight="1">
      <c r="A12" s="326"/>
      <c r="B12" s="326"/>
      <c r="C12" s="239">
        <v>15</v>
      </c>
      <c r="D12" s="239" t="s">
        <v>266</v>
      </c>
      <c r="E12" s="236" t="s">
        <v>97</v>
      </c>
      <c r="F12" s="236"/>
      <c r="G12" s="237"/>
      <c r="H12" s="237">
        <v>18400</v>
      </c>
      <c r="I12" s="237">
        <v>298.08</v>
      </c>
      <c r="J12" s="237"/>
      <c r="K12" s="140"/>
      <c r="L12" s="76"/>
      <c r="M12" s="340"/>
      <c r="N12" s="78"/>
      <c r="O12" s="78">
        <v>300000</v>
      </c>
      <c r="P12" s="78"/>
      <c r="Q12" s="329"/>
      <c r="R12" s="259" t="s">
        <v>267</v>
      </c>
      <c r="S12" s="162"/>
    </row>
    <row r="13" spans="1:19" s="79" customFormat="1" ht="22.9" customHeight="1">
      <c r="A13" s="300"/>
      <c r="B13" s="300"/>
      <c r="C13" s="236">
        <v>7</v>
      </c>
      <c r="D13" s="236" t="s">
        <v>177</v>
      </c>
      <c r="E13" s="236" t="s">
        <v>110</v>
      </c>
      <c r="F13" s="236"/>
      <c r="G13" s="240">
        <v>1020</v>
      </c>
      <c r="H13" s="237"/>
      <c r="I13" s="237"/>
      <c r="J13" s="237"/>
      <c r="K13" s="140"/>
      <c r="L13" s="76">
        <v>500000</v>
      </c>
      <c r="M13" s="208"/>
      <c r="N13" s="78"/>
      <c r="O13" s="76"/>
      <c r="P13" s="78"/>
      <c r="Q13" s="306"/>
      <c r="R13" s="242"/>
      <c r="S13" s="162"/>
    </row>
    <row r="14" spans="1:19" s="79" customFormat="1" ht="22.9" customHeight="1">
      <c r="A14" s="299">
        <v>4</v>
      </c>
      <c r="B14" s="299" t="s">
        <v>215</v>
      </c>
      <c r="C14" s="239" t="s">
        <v>268</v>
      </c>
      <c r="D14" s="239" t="s">
        <v>151</v>
      </c>
      <c r="E14" s="236" t="s">
        <v>67</v>
      </c>
      <c r="F14" s="236"/>
      <c r="G14" s="240"/>
      <c r="H14" s="237">
        <v>49500</v>
      </c>
      <c r="I14" s="237">
        <v>1051.7947999999999</v>
      </c>
      <c r="J14" s="237"/>
      <c r="K14" s="140"/>
      <c r="L14" s="76"/>
      <c r="M14" s="111">
        <v>1000000</v>
      </c>
      <c r="N14" s="76"/>
      <c r="O14" s="76"/>
      <c r="P14" s="78"/>
      <c r="Q14" s="305">
        <f>SUM(L14:P15)</f>
        <v>1200000</v>
      </c>
      <c r="R14" s="122" t="s">
        <v>56</v>
      </c>
      <c r="S14" s="162"/>
    </row>
    <row r="15" spans="1:19" s="79" customFormat="1" ht="22.9" customHeight="1">
      <c r="A15" s="300"/>
      <c r="B15" s="300"/>
      <c r="C15" s="236">
        <v>37</v>
      </c>
      <c r="D15" s="236" t="s">
        <v>109</v>
      </c>
      <c r="E15" s="236" t="s">
        <v>67</v>
      </c>
      <c r="F15" s="236"/>
      <c r="G15" s="240">
        <v>420</v>
      </c>
      <c r="H15" s="237"/>
      <c r="I15" s="237"/>
      <c r="J15" s="237"/>
      <c r="K15" s="75"/>
      <c r="L15" s="221">
        <v>200000</v>
      </c>
      <c r="M15" s="111"/>
      <c r="N15" s="78"/>
      <c r="O15" s="78"/>
      <c r="P15" s="78"/>
      <c r="Q15" s="306"/>
      <c r="R15" s="242"/>
      <c r="S15" s="162"/>
    </row>
    <row r="16" spans="1:19" s="79" customFormat="1" ht="22.9" customHeight="1">
      <c r="A16" s="299">
        <v>5</v>
      </c>
      <c r="B16" s="299" t="s">
        <v>216</v>
      </c>
      <c r="C16" s="239">
        <v>17</v>
      </c>
      <c r="D16" s="239" t="s">
        <v>148</v>
      </c>
      <c r="E16" s="236" t="s">
        <v>71</v>
      </c>
      <c r="F16" s="236"/>
      <c r="G16" s="240"/>
      <c r="H16" s="237">
        <v>20000</v>
      </c>
      <c r="I16" s="222">
        <v>520</v>
      </c>
      <c r="J16" s="285"/>
      <c r="K16" s="156"/>
      <c r="L16" s="221"/>
      <c r="M16" s="339">
        <v>1300000</v>
      </c>
      <c r="N16" s="76"/>
      <c r="O16" s="76"/>
      <c r="P16" s="78"/>
      <c r="Q16" s="305">
        <f>SUM(L16:P17)</f>
        <v>1300000</v>
      </c>
      <c r="R16" s="235"/>
      <c r="S16" s="162"/>
    </row>
    <row r="17" spans="1:19" s="79" customFormat="1" ht="22.9" customHeight="1">
      <c r="A17" s="300"/>
      <c r="B17" s="300"/>
      <c r="C17" s="236">
        <v>33</v>
      </c>
      <c r="D17" s="239" t="s">
        <v>133</v>
      </c>
      <c r="E17" s="236" t="s">
        <v>51</v>
      </c>
      <c r="F17" s="236"/>
      <c r="G17" s="240"/>
      <c r="H17" s="237">
        <v>58050</v>
      </c>
      <c r="I17" s="237">
        <v>715.78039999999999</v>
      </c>
      <c r="J17" s="237"/>
      <c r="K17" s="141"/>
      <c r="L17" s="111"/>
      <c r="M17" s="340"/>
      <c r="N17" s="76"/>
      <c r="O17" s="76"/>
      <c r="P17" s="78"/>
      <c r="Q17" s="306"/>
      <c r="R17" s="243"/>
      <c r="S17" s="162"/>
    </row>
    <row r="18" spans="1:19" s="79" customFormat="1" ht="25.15" customHeight="1">
      <c r="A18" s="75">
        <v>6</v>
      </c>
      <c r="B18" s="75" t="s">
        <v>217</v>
      </c>
      <c r="C18" s="236" t="s">
        <v>269</v>
      </c>
      <c r="D18" s="239" t="s">
        <v>95</v>
      </c>
      <c r="E18" s="236" t="s">
        <v>90</v>
      </c>
      <c r="F18" s="236"/>
      <c r="G18" s="240"/>
      <c r="H18" s="237">
        <v>107000</v>
      </c>
      <c r="I18" s="237">
        <v>1302.0150000000001</v>
      </c>
      <c r="J18" s="237"/>
      <c r="K18" s="197"/>
      <c r="L18" s="111"/>
      <c r="M18" s="111">
        <v>1150000</v>
      </c>
      <c r="N18" s="76"/>
      <c r="O18" s="76"/>
      <c r="P18" s="78"/>
      <c r="Q18" s="123">
        <f t="shared" si="0"/>
        <v>1150000</v>
      </c>
      <c r="R18" s="244" t="s">
        <v>56</v>
      </c>
      <c r="S18" s="162"/>
    </row>
    <row r="19" spans="1:19" s="79" customFormat="1" ht="25.15" customHeight="1">
      <c r="A19" s="75">
        <v>7</v>
      </c>
      <c r="B19" s="75" t="s">
        <v>220</v>
      </c>
      <c r="C19" s="236">
        <v>6</v>
      </c>
      <c r="D19" s="236" t="s">
        <v>85</v>
      </c>
      <c r="E19" s="236" t="s">
        <v>78</v>
      </c>
      <c r="F19" s="236"/>
      <c r="G19" s="240"/>
      <c r="H19" s="237">
        <v>29710</v>
      </c>
      <c r="I19" s="237">
        <v>751.43259999999998</v>
      </c>
      <c r="J19" s="237"/>
      <c r="K19" s="197"/>
      <c r="L19" s="111"/>
      <c r="M19" s="208">
        <v>1850000</v>
      </c>
      <c r="N19" s="76"/>
      <c r="O19" s="76">
        <f>100*500</f>
        <v>50000</v>
      </c>
      <c r="P19" s="78"/>
      <c r="Q19" s="123">
        <f t="shared" si="0"/>
        <v>1900000</v>
      </c>
      <c r="R19" s="244" t="s">
        <v>270</v>
      </c>
      <c r="S19" s="162"/>
    </row>
    <row r="20" spans="1:19" s="79" customFormat="1" ht="22.9" customHeight="1">
      <c r="A20" s="75">
        <v>8</v>
      </c>
      <c r="B20" s="75" t="s">
        <v>222</v>
      </c>
      <c r="C20" s="236">
        <v>43</v>
      </c>
      <c r="D20" s="236" t="s">
        <v>65</v>
      </c>
      <c r="E20" s="236" t="s">
        <v>51</v>
      </c>
      <c r="F20" s="236"/>
      <c r="G20" s="240"/>
      <c r="H20" s="237">
        <v>54400</v>
      </c>
      <c r="I20" s="222">
        <v>962.88</v>
      </c>
      <c r="J20" s="285"/>
      <c r="K20" s="197"/>
      <c r="L20" s="111"/>
      <c r="M20" s="76">
        <v>1100000</v>
      </c>
      <c r="N20" s="76"/>
      <c r="O20" s="76"/>
      <c r="P20" s="78"/>
      <c r="Q20" s="123">
        <f t="shared" si="0"/>
        <v>1100000</v>
      </c>
      <c r="R20" s="122"/>
      <c r="S20" s="162"/>
    </row>
    <row r="21" spans="1:19" s="79" customFormat="1" ht="22.9" customHeight="1">
      <c r="A21" s="75">
        <v>9</v>
      </c>
      <c r="B21" s="75" t="s">
        <v>224</v>
      </c>
      <c r="C21" s="236">
        <v>2</v>
      </c>
      <c r="D21" s="236" t="s">
        <v>176</v>
      </c>
      <c r="E21" s="236" t="s">
        <v>51</v>
      </c>
      <c r="F21" s="236"/>
      <c r="G21" s="240"/>
      <c r="H21" s="237">
        <v>66000</v>
      </c>
      <c r="I21" s="222">
        <v>396</v>
      </c>
      <c r="J21" s="285"/>
      <c r="K21" s="141"/>
      <c r="L21" s="111"/>
      <c r="M21" s="76">
        <v>1100000</v>
      </c>
      <c r="N21" s="76"/>
      <c r="O21" s="76"/>
      <c r="P21" s="78"/>
      <c r="Q21" s="123">
        <f t="shared" si="0"/>
        <v>1100000</v>
      </c>
      <c r="R21" s="122"/>
      <c r="S21" s="162"/>
    </row>
    <row r="22" spans="1:19" s="79" customFormat="1" ht="24.6" customHeight="1">
      <c r="A22" s="75">
        <v>10</v>
      </c>
      <c r="B22" s="75" t="s">
        <v>224</v>
      </c>
      <c r="C22" s="236">
        <v>19</v>
      </c>
      <c r="D22" s="239" t="s">
        <v>73</v>
      </c>
      <c r="E22" s="236" t="s">
        <v>66</v>
      </c>
      <c r="F22" s="240"/>
      <c r="G22" s="237">
        <v>2000</v>
      </c>
      <c r="H22" s="237"/>
      <c r="I22" s="237"/>
      <c r="J22" s="237"/>
      <c r="K22" s="141"/>
      <c r="L22" s="111">
        <v>1050000</v>
      </c>
      <c r="M22" s="76"/>
      <c r="N22" s="76"/>
      <c r="O22" s="76"/>
      <c r="P22" s="78"/>
      <c r="Q22" s="123">
        <f t="shared" si="0"/>
        <v>1050000</v>
      </c>
      <c r="R22" s="235" t="s">
        <v>58</v>
      </c>
      <c r="S22" s="162"/>
    </row>
    <row r="23" spans="1:19" s="79" customFormat="1" ht="22.9" customHeight="1">
      <c r="A23" s="299">
        <v>11</v>
      </c>
      <c r="B23" s="299" t="s">
        <v>225</v>
      </c>
      <c r="C23" s="239">
        <v>18</v>
      </c>
      <c r="D23" s="239" t="s">
        <v>133</v>
      </c>
      <c r="E23" s="236" t="s">
        <v>69</v>
      </c>
      <c r="F23" s="240"/>
      <c r="G23" s="237"/>
      <c r="H23" s="237">
        <v>28000</v>
      </c>
      <c r="I23" s="222">
        <v>469.98</v>
      </c>
      <c r="J23" s="285"/>
      <c r="K23" s="197"/>
      <c r="L23" s="111"/>
      <c r="M23" s="303">
        <v>1050000</v>
      </c>
      <c r="N23" s="76"/>
      <c r="O23" s="76"/>
      <c r="P23" s="78"/>
      <c r="Q23" s="305">
        <f>SUM(L23:P24)</f>
        <v>1050000</v>
      </c>
      <c r="R23" s="235"/>
      <c r="S23" s="162"/>
    </row>
    <row r="24" spans="1:19" s="79" customFormat="1" ht="24.6" customHeight="1">
      <c r="A24" s="300"/>
      <c r="B24" s="300"/>
      <c r="C24" s="239" t="s">
        <v>130</v>
      </c>
      <c r="D24" s="239" t="s">
        <v>105</v>
      </c>
      <c r="E24" s="236" t="s">
        <v>69</v>
      </c>
      <c r="F24" s="236"/>
      <c r="G24" s="237"/>
      <c r="H24" s="237">
        <v>73000</v>
      </c>
      <c r="I24" s="237">
        <v>736.94500000000005</v>
      </c>
      <c r="J24" s="237"/>
      <c r="K24" s="141"/>
      <c r="L24" s="111"/>
      <c r="M24" s="304"/>
      <c r="N24" s="76"/>
      <c r="O24" s="76"/>
      <c r="P24" s="78"/>
      <c r="Q24" s="306"/>
      <c r="R24" s="244"/>
      <c r="S24" s="162"/>
    </row>
    <row r="25" spans="1:19" s="79" customFormat="1" ht="22.9" customHeight="1">
      <c r="A25" s="299">
        <v>12</v>
      </c>
      <c r="B25" s="299" t="s">
        <v>227</v>
      </c>
      <c r="C25" s="239" t="s">
        <v>271</v>
      </c>
      <c r="D25" s="239" t="s">
        <v>129</v>
      </c>
      <c r="E25" s="236" t="s">
        <v>67</v>
      </c>
      <c r="F25" s="240"/>
      <c r="G25" s="237"/>
      <c r="H25" s="237">
        <f>3300+30500</f>
        <v>33800</v>
      </c>
      <c r="I25" s="222">
        <f>101.805+489.3566</f>
        <v>591.16160000000002</v>
      </c>
      <c r="J25" s="285"/>
      <c r="K25" s="141"/>
      <c r="L25" s="76"/>
      <c r="M25" s="303">
        <v>1300000</v>
      </c>
      <c r="N25" s="76"/>
      <c r="O25" s="76">
        <v>60000</v>
      </c>
      <c r="P25" s="78"/>
      <c r="Q25" s="305">
        <f>SUM(L25:P27)</f>
        <v>1420000</v>
      </c>
      <c r="R25" s="49" t="s">
        <v>102</v>
      </c>
      <c r="S25" s="162"/>
    </row>
    <row r="26" spans="1:19" s="79" customFormat="1" ht="22.9" customHeight="1">
      <c r="A26" s="326"/>
      <c r="B26" s="326"/>
      <c r="C26" s="239" t="s">
        <v>272</v>
      </c>
      <c r="D26" s="239" t="s">
        <v>103</v>
      </c>
      <c r="E26" s="236" t="s">
        <v>104</v>
      </c>
      <c r="F26" s="236"/>
      <c r="G26" s="237"/>
      <c r="H26" s="237">
        <f>2500+67950</f>
        <v>70450</v>
      </c>
      <c r="I26" s="222">
        <f>105+227.6486</f>
        <v>332.64859999999999</v>
      </c>
      <c r="J26" s="285"/>
      <c r="K26" s="142"/>
      <c r="L26" s="76"/>
      <c r="M26" s="328"/>
      <c r="N26" s="76"/>
      <c r="O26" s="76">
        <v>60000</v>
      </c>
      <c r="P26" s="78"/>
      <c r="Q26" s="329"/>
      <c r="R26" s="122" t="s">
        <v>102</v>
      </c>
      <c r="S26" s="162"/>
    </row>
    <row r="27" spans="1:19" s="79" customFormat="1" ht="22.9" customHeight="1">
      <c r="A27" s="300"/>
      <c r="B27" s="300"/>
      <c r="C27" s="236" t="s">
        <v>170</v>
      </c>
      <c r="D27" s="236" t="s">
        <v>133</v>
      </c>
      <c r="E27" s="236" t="s">
        <v>51</v>
      </c>
      <c r="F27" s="236"/>
      <c r="G27" s="240"/>
      <c r="H27" s="237">
        <v>20000</v>
      </c>
      <c r="I27" s="222">
        <v>345.63319999999999</v>
      </c>
      <c r="J27" s="285"/>
      <c r="K27" s="142"/>
      <c r="L27" s="76"/>
      <c r="M27" s="304"/>
      <c r="N27" s="76"/>
      <c r="O27" s="76"/>
      <c r="P27" s="78"/>
      <c r="Q27" s="306"/>
      <c r="R27" s="49" t="s">
        <v>56</v>
      </c>
      <c r="S27" s="162"/>
    </row>
    <row r="28" spans="1:19" s="79" customFormat="1" ht="26.45" customHeight="1">
      <c r="A28" s="75">
        <v>13</v>
      </c>
      <c r="B28" s="75" t="s">
        <v>229</v>
      </c>
      <c r="C28" s="236" t="s">
        <v>273</v>
      </c>
      <c r="D28" s="236" t="s">
        <v>221</v>
      </c>
      <c r="E28" s="236" t="s">
        <v>48</v>
      </c>
      <c r="F28" s="236"/>
      <c r="G28" s="240"/>
      <c r="H28" s="237">
        <f>24000+23700</f>
        <v>47700</v>
      </c>
      <c r="I28" s="237">
        <f>348+557.187</f>
        <v>905.18700000000001</v>
      </c>
      <c r="J28" s="237"/>
      <c r="K28" s="141"/>
      <c r="L28" s="76"/>
      <c r="M28" s="76">
        <v>1200000</v>
      </c>
      <c r="N28" s="76"/>
      <c r="O28" s="76">
        <v>60000</v>
      </c>
      <c r="P28" s="78"/>
      <c r="Q28" s="123">
        <f t="shared" si="0"/>
        <v>1260000</v>
      </c>
      <c r="R28" s="122" t="s">
        <v>140</v>
      </c>
      <c r="S28" s="162"/>
    </row>
    <row r="29" spans="1:19" s="79" customFormat="1" ht="25.9" customHeight="1">
      <c r="A29" s="299">
        <v>14</v>
      </c>
      <c r="B29" s="299" t="s">
        <v>231</v>
      </c>
      <c r="C29" s="239">
        <v>30</v>
      </c>
      <c r="D29" s="239" t="s">
        <v>132</v>
      </c>
      <c r="E29" s="236" t="s">
        <v>68</v>
      </c>
      <c r="F29" s="236"/>
      <c r="G29" s="240"/>
      <c r="H29" s="237"/>
      <c r="I29" s="230">
        <v>360</v>
      </c>
      <c r="J29" s="281"/>
      <c r="K29" s="141"/>
      <c r="L29" s="76"/>
      <c r="M29" s="303">
        <v>1250000</v>
      </c>
      <c r="N29" s="76"/>
      <c r="O29" s="76">
        <v>25000</v>
      </c>
      <c r="P29" s="78"/>
      <c r="Q29" s="305">
        <f>SUM(L29:P31)</f>
        <v>1275000</v>
      </c>
      <c r="R29" s="241" t="s">
        <v>118</v>
      </c>
      <c r="S29" s="162"/>
    </row>
    <row r="30" spans="1:19" s="79" customFormat="1" ht="25.15" customHeight="1">
      <c r="A30" s="326"/>
      <c r="B30" s="326"/>
      <c r="C30" s="239">
        <v>1</v>
      </c>
      <c r="D30" s="239" t="s">
        <v>274</v>
      </c>
      <c r="E30" s="236" t="s">
        <v>67</v>
      </c>
      <c r="F30" s="236"/>
      <c r="G30" s="240"/>
      <c r="H30" s="237">
        <v>20000</v>
      </c>
      <c r="I30" s="222">
        <v>217</v>
      </c>
      <c r="J30" s="285"/>
      <c r="K30" s="141"/>
      <c r="L30" s="76"/>
      <c r="M30" s="328"/>
      <c r="N30" s="76"/>
      <c r="O30" s="76"/>
      <c r="P30" s="78"/>
      <c r="Q30" s="329"/>
      <c r="R30" s="241"/>
      <c r="S30" s="162"/>
    </row>
    <row r="31" spans="1:19" s="79" customFormat="1" ht="25.15" customHeight="1">
      <c r="A31" s="300"/>
      <c r="B31" s="300"/>
      <c r="C31" s="239">
        <v>33</v>
      </c>
      <c r="D31" s="239" t="s">
        <v>158</v>
      </c>
      <c r="E31" s="236" t="s">
        <v>51</v>
      </c>
      <c r="F31" s="236"/>
      <c r="G31" s="240"/>
      <c r="H31" s="237">
        <v>28920</v>
      </c>
      <c r="I31" s="237">
        <v>415.70479999999998</v>
      </c>
      <c r="J31" s="237"/>
      <c r="K31" s="156"/>
      <c r="L31" s="76"/>
      <c r="M31" s="304"/>
      <c r="N31" s="76"/>
      <c r="O31" s="76"/>
      <c r="P31" s="78"/>
      <c r="Q31" s="306"/>
      <c r="R31" s="245"/>
      <c r="S31" s="162"/>
    </row>
    <row r="32" spans="1:19" s="79" customFormat="1" ht="22.9" customHeight="1">
      <c r="A32" s="75">
        <v>15</v>
      </c>
      <c r="B32" s="75" t="s">
        <v>231</v>
      </c>
      <c r="C32" s="239" t="s">
        <v>275</v>
      </c>
      <c r="D32" s="239" t="s">
        <v>65</v>
      </c>
      <c r="E32" s="236" t="s">
        <v>276</v>
      </c>
      <c r="F32" s="236"/>
      <c r="G32" s="240"/>
      <c r="H32" s="237">
        <v>42000</v>
      </c>
      <c r="I32" s="237">
        <v>971.11379999999997</v>
      </c>
      <c r="J32" s="237"/>
      <c r="K32" s="141"/>
      <c r="L32" s="76"/>
      <c r="M32" s="76">
        <v>1150000</v>
      </c>
      <c r="N32" s="76"/>
      <c r="O32" s="76">
        <v>200000</v>
      </c>
      <c r="P32" s="78"/>
      <c r="Q32" s="123">
        <f t="shared" si="0"/>
        <v>1350000</v>
      </c>
      <c r="R32" s="49" t="s">
        <v>108</v>
      </c>
      <c r="S32" s="162"/>
    </row>
    <row r="33" spans="1:19" s="79" customFormat="1" ht="22.9" customHeight="1">
      <c r="A33" s="75">
        <v>16</v>
      </c>
      <c r="B33" s="75" t="s">
        <v>232</v>
      </c>
      <c r="C33" s="239" t="s">
        <v>277</v>
      </c>
      <c r="D33" s="220" t="s">
        <v>65</v>
      </c>
      <c r="E33" s="236" t="s">
        <v>278</v>
      </c>
      <c r="F33" s="236"/>
      <c r="G33" s="237"/>
      <c r="H33" s="237">
        <f>68500+19730</f>
        <v>88230</v>
      </c>
      <c r="I33" s="237">
        <f>803.3491+309.9605</f>
        <v>1113.3096</v>
      </c>
      <c r="J33" s="237"/>
      <c r="K33" s="141"/>
      <c r="L33" s="76"/>
      <c r="M33" s="76">
        <v>1200000</v>
      </c>
      <c r="N33" s="76"/>
      <c r="O33" s="76"/>
      <c r="P33" s="78"/>
      <c r="Q33" s="123">
        <f t="shared" si="0"/>
        <v>1200000</v>
      </c>
      <c r="R33" s="122" t="s">
        <v>56</v>
      </c>
      <c r="S33" s="162"/>
    </row>
    <row r="34" spans="1:19" s="79" customFormat="1" ht="22.9" customHeight="1">
      <c r="A34" s="75">
        <v>17</v>
      </c>
      <c r="B34" s="75" t="s">
        <v>236</v>
      </c>
      <c r="C34" s="239" t="s">
        <v>279</v>
      </c>
      <c r="D34" s="239" t="s">
        <v>178</v>
      </c>
      <c r="E34" s="236" t="s">
        <v>76</v>
      </c>
      <c r="F34" s="236"/>
      <c r="G34" s="240"/>
      <c r="H34" s="237">
        <v>112900</v>
      </c>
      <c r="I34" s="237">
        <v>1272.4648</v>
      </c>
      <c r="J34" s="237"/>
      <c r="K34" s="141"/>
      <c r="L34" s="76"/>
      <c r="M34" s="76">
        <v>1150000</v>
      </c>
      <c r="N34" s="76"/>
      <c r="O34" s="76"/>
      <c r="P34" s="78"/>
      <c r="Q34" s="123">
        <f t="shared" si="0"/>
        <v>1150000</v>
      </c>
      <c r="R34" s="246" t="s">
        <v>56</v>
      </c>
      <c r="S34" s="162"/>
    </row>
    <row r="35" spans="1:19" s="79" customFormat="1" ht="22.9" customHeight="1">
      <c r="A35" s="75">
        <v>18</v>
      </c>
      <c r="B35" s="75" t="s">
        <v>237</v>
      </c>
      <c r="C35" s="12">
        <v>27</v>
      </c>
      <c r="D35" s="220" t="s">
        <v>180</v>
      </c>
      <c r="E35" s="12" t="s">
        <v>104</v>
      </c>
      <c r="F35" s="77"/>
      <c r="G35" s="222"/>
      <c r="H35" s="222">
        <v>68000</v>
      </c>
      <c r="I35" s="222">
        <v>408</v>
      </c>
      <c r="J35" s="285"/>
      <c r="K35" s="197"/>
      <c r="L35" s="76"/>
      <c r="M35" s="76">
        <v>1150000</v>
      </c>
      <c r="N35" s="76"/>
      <c r="O35" s="76"/>
      <c r="P35" s="78"/>
      <c r="Q35" s="123">
        <f t="shared" si="0"/>
        <v>1150000</v>
      </c>
      <c r="R35" s="235"/>
      <c r="S35" s="162"/>
    </row>
    <row r="36" spans="1:19" s="79" customFormat="1" ht="22.9" customHeight="1">
      <c r="A36" s="75">
        <v>19</v>
      </c>
      <c r="B36" s="75" t="s">
        <v>240</v>
      </c>
      <c r="C36" s="12">
        <v>39</v>
      </c>
      <c r="D36" s="12" t="s">
        <v>280</v>
      </c>
      <c r="E36" s="12" t="s">
        <v>71</v>
      </c>
      <c r="F36" s="12"/>
      <c r="G36" s="77"/>
      <c r="H36" s="222">
        <v>49600</v>
      </c>
      <c r="I36" s="222">
        <v>877.92</v>
      </c>
      <c r="J36" s="285"/>
      <c r="K36" s="141"/>
      <c r="L36" s="76"/>
      <c r="M36" s="76">
        <v>1150000</v>
      </c>
      <c r="N36" s="76"/>
      <c r="O36" s="76"/>
      <c r="P36" s="78"/>
      <c r="Q36" s="123">
        <f t="shared" si="0"/>
        <v>1150000</v>
      </c>
      <c r="R36" s="260"/>
      <c r="S36" s="196"/>
    </row>
    <row r="37" spans="1:19" s="79" customFormat="1" ht="23.45" customHeight="1">
      <c r="A37" s="75">
        <v>20</v>
      </c>
      <c r="B37" s="75" t="s">
        <v>240</v>
      </c>
      <c r="C37" s="12" t="s">
        <v>281</v>
      </c>
      <c r="D37" s="12" t="s">
        <v>65</v>
      </c>
      <c r="E37" s="12" t="s">
        <v>71</v>
      </c>
      <c r="F37" s="77"/>
      <c r="G37" s="222"/>
      <c r="H37" s="222">
        <f>118300+400</f>
        <v>118700</v>
      </c>
      <c r="I37" s="222">
        <f>1689.2075+9.0299</f>
        <v>1698.2374</v>
      </c>
      <c r="J37" s="285"/>
      <c r="K37" s="197"/>
      <c r="L37" s="76"/>
      <c r="M37" s="76">
        <v>1150000</v>
      </c>
      <c r="N37" s="76"/>
      <c r="O37" s="76">
        <v>200000</v>
      </c>
      <c r="P37" s="78"/>
      <c r="Q37" s="123">
        <f t="shared" si="0"/>
        <v>1350000</v>
      </c>
      <c r="R37" s="196" t="s">
        <v>185</v>
      </c>
      <c r="S37" s="162"/>
    </row>
    <row r="38" spans="1:19" s="79" customFormat="1" ht="22.9" customHeight="1">
      <c r="A38" s="299">
        <v>21</v>
      </c>
      <c r="B38" s="299" t="s">
        <v>241</v>
      </c>
      <c r="C38" s="12">
        <v>11</v>
      </c>
      <c r="D38" s="220" t="s">
        <v>63</v>
      </c>
      <c r="E38" s="12" t="s">
        <v>104</v>
      </c>
      <c r="F38" s="77"/>
      <c r="G38" s="222"/>
      <c r="H38" s="222">
        <v>48000</v>
      </c>
      <c r="I38" s="222">
        <v>979.44</v>
      </c>
      <c r="J38" s="285"/>
      <c r="K38" s="141"/>
      <c r="L38" s="76"/>
      <c r="M38" s="303">
        <v>1250000</v>
      </c>
      <c r="N38" s="76"/>
      <c r="O38" s="76"/>
      <c r="P38" s="78"/>
      <c r="Q38" s="305">
        <f>SUM(L38:P39)</f>
        <v>1250000</v>
      </c>
      <c r="R38" s="117" t="s">
        <v>56</v>
      </c>
      <c r="S38" s="162"/>
    </row>
    <row r="39" spans="1:19" s="79" customFormat="1" ht="22.9" customHeight="1">
      <c r="A39" s="300"/>
      <c r="B39" s="300"/>
      <c r="C39" s="12">
        <v>14</v>
      </c>
      <c r="D39" s="220" t="s">
        <v>54</v>
      </c>
      <c r="E39" s="12" t="s">
        <v>55</v>
      </c>
      <c r="F39" s="77"/>
      <c r="G39" s="222"/>
      <c r="H39" s="222">
        <v>15500</v>
      </c>
      <c r="I39" s="222">
        <v>481.976</v>
      </c>
      <c r="J39" s="285"/>
      <c r="K39" s="141"/>
      <c r="L39" s="76"/>
      <c r="M39" s="304"/>
      <c r="N39" s="76"/>
      <c r="O39" s="76"/>
      <c r="P39" s="78"/>
      <c r="Q39" s="306"/>
      <c r="R39" s="117"/>
      <c r="S39" s="162"/>
    </row>
    <row r="40" spans="1:19" s="79" customFormat="1" ht="22.9" customHeight="1">
      <c r="A40" s="75">
        <v>22</v>
      </c>
      <c r="B40" s="75" t="s">
        <v>241</v>
      </c>
      <c r="C40" s="12">
        <v>49</v>
      </c>
      <c r="D40" s="220" t="s">
        <v>133</v>
      </c>
      <c r="E40" s="12" t="s">
        <v>51</v>
      </c>
      <c r="F40" s="77"/>
      <c r="G40" s="222"/>
      <c r="H40" s="222">
        <v>100780</v>
      </c>
      <c r="I40" s="222">
        <v>1234.0264</v>
      </c>
      <c r="J40" s="285"/>
      <c r="K40" s="141"/>
      <c r="L40" s="76"/>
      <c r="M40" s="76">
        <v>1100000</v>
      </c>
      <c r="N40" s="76"/>
      <c r="O40" s="76">
        <v>200000</v>
      </c>
      <c r="P40" s="78"/>
      <c r="Q40" s="123">
        <f t="shared" si="0"/>
        <v>1300000</v>
      </c>
      <c r="R40" s="196" t="s">
        <v>185</v>
      </c>
      <c r="S40" s="162"/>
    </row>
    <row r="41" spans="1:19" s="79" customFormat="1" ht="27.6" customHeight="1">
      <c r="A41" s="75">
        <v>23</v>
      </c>
      <c r="B41" s="75" t="s">
        <v>245</v>
      </c>
      <c r="C41" s="12">
        <v>22</v>
      </c>
      <c r="D41" s="12" t="s">
        <v>282</v>
      </c>
      <c r="E41" s="12" t="s">
        <v>104</v>
      </c>
      <c r="F41" s="77"/>
      <c r="G41" s="222"/>
      <c r="H41" s="222">
        <v>109000</v>
      </c>
      <c r="I41" s="222">
        <v>1235.8032000000001</v>
      </c>
      <c r="J41" s="285"/>
      <c r="K41" s="141"/>
      <c r="L41" s="76"/>
      <c r="M41" s="76">
        <v>1150000</v>
      </c>
      <c r="N41" s="76"/>
      <c r="O41" s="76"/>
      <c r="P41" s="78"/>
      <c r="Q41" s="123">
        <f t="shared" si="0"/>
        <v>1150000</v>
      </c>
      <c r="R41" s="241"/>
      <c r="S41" s="162"/>
    </row>
    <row r="42" spans="1:19" s="79" customFormat="1" ht="24.6" customHeight="1">
      <c r="A42" s="75">
        <v>24</v>
      </c>
      <c r="B42" s="75" t="s">
        <v>248</v>
      </c>
      <c r="C42" s="220">
        <v>7</v>
      </c>
      <c r="D42" s="220" t="s">
        <v>283</v>
      </c>
      <c r="E42" s="12" t="s">
        <v>51</v>
      </c>
      <c r="F42" s="12"/>
      <c r="G42" s="77"/>
      <c r="H42" s="222">
        <v>96000</v>
      </c>
      <c r="I42" s="222">
        <v>835.2</v>
      </c>
      <c r="J42" s="285"/>
      <c r="K42" s="141"/>
      <c r="L42" s="76"/>
      <c r="M42" s="76">
        <v>1100000</v>
      </c>
      <c r="N42" s="76"/>
      <c r="O42" s="76"/>
      <c r="P42" s="78"/>
      <c r="Q42" s="123">
        <f t="shared" si="0"/>
        <v>1100000</v>
      </c>
      <c r="R42" s="122"/>
      <c r="S42" s="162"/>
    </row>
    <row r="43" spans="1:19" s="79" customFormat="1" ht="22.9" customHeight="1">
      <c r="A43" s="75">
        <v>25</v>
      </c>
      <c r="B43" s="75" t="s">
        <v>248</v>
      </c>
      <c r="C43" s="220">
        <v>39</v>
      </c>
      <c r="D43" s="220" t="s">
        <v>73</v>
      </c>
      <c r="E43" s="12" t="s">
        <v>66</v>
      </c>
      <c r="F43" s="12"/>
      <c r="G43" s="222">
        <v>2000</v>
      </c>
      <c r="H43" s="222"/>
      <c r="I43" s="222"/>
      <c r="J43" s="285"/>
      <c r="K43" s="141"/>
      <c r="L43" s="76">
        <v>1050000</v>
      </c>
      <c r="M43" s="76"/>
      <c r="N43" s="76"/>
      <c r="O43" s="76"/>
      <c r="P43" s="78"/>
      <c r="Q43" s="123">
        <f t="shared" si="0"/>
        <v>1050000</v>
      </c>
      <c r="R43" s="49" t="s">
        <v>58</v>
      </c>
      <c r="S43" s="162"/>
    </row>
    <row r="44" spans="1:19" s="79" customFormat="1" ht="34.9" customHeight="1">
      <c r="A44" s="75">
        <v>26</v>
      </c>
      <c r="B44" s="75" t="s">
        <v>250</v>
      </c>
      <c r="C44" s="12" t="s">
        <v>284</v>
      </c>
      <c r="D44" s="12" t="s">
        <v>65</v>
      </c>
      <c r="E44" s="12" t="s">
        <v>90</v>
      </c>
      <c r="F44" s="12"/>
      <c r="G44" s="77"/>
      <c r="H44" s="222">
        <v>36700</v>
      </c>
      <c r="I44" s="222">
        <v>1199.0069000000001</v>
      </c>
      <c r="J44" s="285"/>
      <c r="K44" s="141"/>
      <c r="L44" s="76"/>
      <c r="M44" s="76">
        <v>1150000</v>
      </c>
      <c r="N44" s="76"/>
      <c r="O44" s="76">
        <v>50000</v>
      </c>
      <c r="P44" s="78"/>
      <c r="Q44" s="123">
        <f t="shared" si="0"/>
        <v>1200000</v>
      </c>
      <c r="R44" s="199" t="s">
        <v>285</v>
      </c>
      <c r="S44" s="162"/>
    </row>
    <row r="45" spans="1:19" s="79" customFormat="1" ht="22.9" customHeight="1">
      <c r="A45" s="299">
        <v>27</v>
      </c>
      <c r="B45" s="299" t="s">
        <v>252</v>
      </c>
      <c r="C45" s="220">
        <v>22</v>
      </c>
      <c r="D45" s="220" t="s">
        <v>133</v>
      </c>
      <c r="E45" s="12" t="s">
        <v>51</v>
      </c>
      <c r="F45" s="12"/>
      <c r="G45" s="77"/>
      <c r="H45" s="222">
        <v>128500</v>
      </c>
      <c r="I45" s="222">
        <v>479.04</v>
      </c>
      <c r="J45" s="285"/>
      <c r="K45" s="141"/>
      <c r="L45" s="76"/>
      <c r="M45" s="303">
        <v>1150000</v>
      </c>
      <c r="N45" s="76"/>
      <c r="O45" s="76"/>
      <c r="P45" s="78"/>
      <c r="Q45" s="305">
        <f t="shared" si="0"/>
        <v>1150000</v>
      </c>
      <c r="R45" s="49"/>
      <c r="S45" s="162"/>
    </row>
    <row r="46" spans="1:19" s="79" customFormat="1" ht="22.9" customHeight="1">
      <c r="A46" s="300"/>
      <c r="B46" s="300"/>
      <c r="C46" s="12" t="s">
        <v>172</v>
      </c>
      <c r="D46" s="12" t="s">
        <v>132</v>
      </c>
      <c r="E46" s="12" t="s">
        <v>67</v>
      </c>
      <c r="F46" s="12"/>
      <c r="G46" s="77"/>
      <c r="H46" s="222">
        <f>50000+27000</f>
        <v>77000</v>
      </c>
      <c r="I46" s="222">
        <f>68.75+234.57</f>
        <v>303.32</v>
      </c>
      <c r="J46" s="285"/>
      <c r="K46" s="141"/>
      <c r="L46" s="76"/>
      <c r="M46" s="304"/>
      <c r="N46" s="76"/>
      <c r="O46" s="76"/>
      <c r="P46" s="78"/>
      <c r="Q46" s="306"/>
      <c r="R46" s="49"/>
      <c r="S46" s="162"/>
    </row>
    <row r="47" spans="1:19" s="79" customFormat="1" ht="22.9" customHeight="1">
      <c r="A47" s="75">
        <v>28</v>
      </c>
      <c r="B47" s="75" t="s">
        <v>254</v>
      </c>
      <c r="C47" s="12">
        <v>39</v>
      </c>
      <c r="D47" s="12" t="s">
        <v>136</v>
      </c>
      <c r="E47" s="12" t="s">
        <v>68</v>
      </c>
      <c r="F47" s="12"/>
      <c r="G47" s="77"/>
      <c r="H47" s="222">
        <v>157000</v>
      </c>
      <c r="I47" s="222">
        <v>737.11320000000001</v>
      </c>
      <c r="J47" s="285"/>
      <c r="K47" s="141"/>
      <c r="L47" s="76"/>
      <c r="M47" s="76">
        <v>1000000</v>
      </c>
      <c r="N47" s="76"/>
      <c r="O47" s="76"/>
      <c r="P47" s="78"/>
      <c r="Q47" s="123">
        <f t="shared" si="0"/>
        <v>1000000</v>
      </c>
      <c r="R47" s="117"/>
      <c r="S47" s="162"/>
    </row>
    <row r="48" spans="1:19" s="79" customFormat="1" ht="22.9" customHeight="1">
      <c r="A48" s="75">
        <v>29</v>
      </c>
      <c r="B48" s="75" t="s">
        <v>254</v>
      </c>
      <c r="C48" s="220">
        <v>22</v>
      </c>
      <c r="D48" s="220" t="s">
        <v>70</v>
      </c>
      <c r="E48" s="12" t="s">
        <v>71</v>
      </c>
      <c r="F48" s="12"/>
      <c r="G48" s="77">
        <v>2200</v>
      </c>
      <c r="H48" s="222"/>
      <c r="I48" s="222"/>
      <c r="J48" s="285"/>
      <c r="K48" s="141"/>
      <c r="L48" s="76">
        <v>1100000</v>
      </c>
      <c r="M48" s="76"/>
      <c r="N48" s="76"/>
      <c r="O48" s="76"/>
      <c r="P48" s="78"/>
      <c r="Q48" s="123">
        <f t="shared" si="0"/>
        <v>1100000</v>
      </c>
      <c r="R48" s="117" t="s">
        <v>58</v>
      </c>
      <c r="S48" s="162"/>
    </row>
    <row r="49" spans="1:19" s="79" customFormat="1" ht="22.9" customHeight="1">
      <c r="A49" s="299">
        <v>30</v>
      </c>
      <c r="B49" s="299" t="s">
        <v>256</v>
      </c>
      <c r="C49" s="12">
        <v>30</v>
      </c>
      <c r="D49" s="12" t="s">
        <v>173</v>
      </c>
      <c r="E49" s="12" t="s">
        <v>48</v>
      </c>
      <c r="F49" s="12"/>
      <c r="G49" s="77">
        <v>1200</v>
      </c>
      <c r="H49" s="222"/>
      <c r="I49" s="222"/>
      <c r="J49" s="285"/>
      <c r="K49" s="141"/>
      <c r="L49" s="303">
        <v>750000</v>
      </c>
      <c r="M49" s="76"/>
      <c r="N49" s="76"/>
      <c r="O49" s="76"/>
      <c r="P49" s="78"/>
      <c r="Q49" s="305">
        <f>SUM(L49:P51)</f>
        <v>1300000</v>
      </c>
      <c r="R49" s="117" t="s">
        <v>56</v>
      </c>
      <c r="S49" s="162"/>
    </row>
    <row r="50" spans="1:19" s="79" customFormat="1" ht="22.9" customHeight="1">
      <c r="A50" s="326"/>
      <c r="B50" s="326"/>
      <c r="C50" s="220">
        <v>10</v>
      </c>
      <c r="D50" s="220" t="s">
        <v>139</v>
      </c>
      <c r="E50" s="12" t="s">
        <v>51</v>
      </c>
      <c r="F50" s="12"/>
      <c r="G50" s="222">
        <v>95</v>
      </c>
      <c r="H50" s="222"/>
      <c r="I50" s="222"/>
      <c r="J50" s="285"/>
      <c r="K50" s="141"/>
      <c r="L50" s="304"/>
      <c r="M50" s="76"/>
      <c r="N50" s="76"/>
      <c r="O50" s="76"/>
      <c r="P50" s="78"/>
      <c r="Q50" s="329"/>
      <c r="R50" s="117"/>
      <c r="S50" s="162"/>
    </row>
    <row r="51" spans="1:19" s="79" customFormat="1" ht="22.9" customHeight="1">
      <c r="A51" s="300"/>
      <c r="B51" s="300"/>
      <c r="C51" s="220">
        <v>11</v>
      </c>
      <c r="D51" s="220" t="s">
        <v>63</v>
      </c>
      <c r="E51" s="12" t="s">
        <v>71</v>
      </c>
      <c r="F51" s="12"/>
      <c r="G51" s="77"/>
      <c r="H51" s="222">
        <v>58000</v>
      </c>
      <c r="I51" s="222">
        <v>624.07320000000004</v>
      </c>
      <c r="J51" s="285"/>
      <c r="K51" s="141"/>
      <c r="L51" s="76"/>
      <c r="M51" s="76">
        <v>550000</v>
      </c>
      <c r="N51" s="76"/>
      <c r="O51" s="76"/>
      <c r="P51" s="78"/>
      <c r="Q51" s="306"/>
      <c r="R51" s="117"/>
      <c r="S51" s="162"/>
    </row>
    <row r="52" spans="1:19" s="79" customFormat="1" ht="22.9" customHeight="1">
      <c r="A52" s="75">
        <v>31</v>
      </c>
      <c r="B52" s="75" t="s">
        <v>256</v>
      </c>
      <c r="C52" s="220" t="s">
        <v>286</v>
      </c>
      <c r="D52" s="220" t="s">
        <v>282</v>
      </c>
      <c r="E52" s="12" t="s">
        <v>104</v>
      </c>
      <c r="F52" s="12"/>
      <c r="G52" s="77"/>
      <c r="H52" s="222">
        <v>102000</v>
      </c>
      <c r="I52" s="230">
        <f>676.5766+489.72</f>
        <v>1166.2966000000001</v>
      </c>
      <c r="J52" s="281"/>
      <c r="K52" s="141"/>
      <c r="L52" s="76"/>
      <c r="M52" s="76">
        <v>1100000</v>
      </c>
      <c r="N52" s="76"/>
      <c r="O52" s="76">
        <v>200000</v>
      </c>
      <c r="P52" s="78"/>
      <c r="Q52" s="123">
        <f t="shared" si="0"/>
        <v>1300000</v>
      </c>
      <c r="R52" s="196" t="s">
        <v>108</v>
      </c>
      <c r="S52" s="162"/>
    </row>
    <row r="53" spans="1:19" s="79" customFormat="1" ht="48" customHeight="1">
      <c r="A53" s="75">
        <v>32</v>
      </c>
      <c r="B53" s="75" t="s">
        <v>260</v>
      </c>
      <c r="C53" s="12" t="s">
        <v>168</v>
      </c>
      <c r="D53" s="12" t="s">
        <v>72</v>
      </c>
      <c r="E53" s="12" t="s">
        <v>68</v>
      </c>
      <c r="F53" s="12"/>
      <c r="G53" s="77"/>
      <c r="H53" s="222">
        <v>136000</v>
      </c>
      <c r="I53" s="222">
        <v>1719.1</v>
      </c>
      <c r="J53" s="285"/>
      <c r="K53" s="141"/>
      <c r="L53" s="76"/>
      <c r="M53" s="76">
        <v>1050000</v>
      </c>
      <c r="N53" s="76"/>
      <c r="O53" s="76">
        <v>300000</v>
      </c>
      <c r="P53" s="78"/>
      <c r="Q53" s="123">
        <f t="shared" si="0"/>
        <v>1350000</v>
      </c>
      <c r="R53" s="199" t="s">
        <v>287</v>
      </c>
      <c r="S53" s="162"/>
    </row>
    <row r="54" spans="1:19" s="79" customFormat="1" ht="22.9" customHeight="1">
      <c r="A54" s="299">
        <v>33</v>
      </c>
      <c r="B54" s="299" t="s">
        <v>263</v>
      </c>
      <c r="C54" s="220">
        <v>42</v>
      </c>
      <c r="D54" s="220" t="s">
        <v>50</v>
      </c>
      <c r="E54" s="12" t="s">
        <v>66</v>
      </c>
      <c r="F54" s="12"/>
      <c r="G54" s="77"/>
      <c r="H54" s="222">
        <v>19200</v>
      </c>
      <c r="I54" s="230">
        <v>441.6</v>
      </c>
      <c r="J54" s="281"/>
      <c r="K54" s="141"/>
      <c r="L54" s="76"/>
      <c r="M54" s="303">
        <v>1250000</v>
      </c>
      <c r="N54" s="76"/>
      <c r="O54" s="76"/>
      <c r="P54" s="78"/>
      <c r="Q54" s="305">
        <f>SUM(L54:P56)</f>
        <v>1250000</v>
      </c>
      <c r="R54" s="196" t="s">
        <v>56</v>
      </c>
      <c r="S54" s="162"/>
    </row>
    <row r="55" spans="1:19" s="79" customFormat="1" ht="22.9" customHeight="1">
      <c r="A55" s="326"/>
      <c r="B55" s="326"/>
      <c r="C55" s="220" t="s">
        <v>153</v>
      </c>
      <c r="D55" s="220" t="s">
        <v>132</v>
      </c>
      <c r="E55" s="12" t="s">
        <v>68</v>
      </c>
      <c r="F55" s="12"/>
      <c r="G55" s="222"/>
      <c r="H55" s="222">
        <v>16300</v>
      </c>
      <c r="I55" s="222">
        <v>343.58499999999998</v>
      </c>
      <c r="J55" s="285"/>
      <c r="K55" s="141"/>
      <c r="L55" s="76"/>
      <c r="M55" s="328"/>
      <c r="N55" s="76"/>
      <c r="O55" s="76"/>
      <c r="P55" s="78"/>
      <c r="Q55" s="329"/>
      <c r="R55" s="256"/>
      <c r="S55" s="162"/>
    </row>
    <row r="56" spans="1:19" s="79" customFormat="1" ht="22.9" customHeight="1">
      <c r="A56" s="300"/>
      <c r="B56" s="300"/>
      <c r="C56" s="12">
        <v>26</v>
      </c>
      <c r="D56" s="12" t="s">
        <v>288</v>
      </c>
      <c r="E56" s="12" t="s">
        <v>155</v>
      </c>
      <c r="F56" s="12"/>
      <c r="G56" s="77"/>
      <c r="H56" s="222">
        <v>40000</v>
      </c>
      <c r="I56" s="222">
        <v>228.8</v>
      </c>
      <c r="J56" s="285"/>
      <c r="K56" s="141"/>
      <c r="L56" s="76"/>
      <c r="M56" s="304"/>
      <c r="N56" s="76"/>
      <c r="O56" s="76"/>
      <c r="P56" s="78"/>
      <c r="Q56" s="306"/>
      <c r="R56" s="256"/>
      <c r="S56" s="162"/>
    </row>
    <row r="57" spans="1:19" s="79" customFormat="1" ht="25.9" customHeight="1">
      <c r="A57" s="299">
        <v>34</v>
      </c>
      <c r="B57" s="299" t="s">
        <v>263</v>
      </c>
      <c r="C57" s="220">
        <v>12</v>
      </c>
      <c r="D57" s="220" t="s">
        <v>146</v>
      </c>
      <c r="E57" s="12" t="s">
        <v>59</v>
      </c>
      <c r="F57" s="77"/>
      <c r="G57" s="222"/>
      <c r="H57" s="222">
        <v>24400</v>
      </c>
      <c r="I57" s="222">
        <v>584.76</v>
      </c>
      <c r="J57" s="285"/>
      <c r="K57" s="141"/>
      <c r="L57" s="76"/>
      <c r="M57" s="303">
        <v>950000</v>
      </c>
      <c r="N57" s="76"/>
      <c r="O57" s="76"/>
      <c r="P57" s="78"/>
      <c r="Q57" s="305">
        <f>SUM(L57:P58)</f>
        <v>950000</v>
      </c>
      <c r="R57" s="137" t="s">
        <v>56</v>
      </c>
      <c r="S57" s="162"/>
    </row>
    <row r="58" spans="1:19" s="79" customFormat="1" ht="26.45" customHeight="1">
      <c r="A58" s="300"/>
      <c r="B58" s="300"/>
      <c r="C58" s="12">
        <v>35</v>
      </c>
      <c r="D58" s="220" t="s">
        <v>133</v>
      </c>
      <c r="E58" s="12" t="s">
        <v>34</v>
      </c>
      <c r="F58" s="77"/>
      <c r="G58" s="222"/>
      <c r="H58" s="222">
        <v>30600</v>
      </c>
      <c r="I58" s="222">
        <v>645.048</v>
      </c>
      <c r="J58" s="285"/>
      <c r="K58" s="141"/>
      <c r="L58" s="76"/>
      <c r="M58" s="304"/>
      <c r="N58" s="76"/>
      <c r="O58" s="76"/>
      <c r="P58" s="78"/>
      <c r="Q58" s="306"/>
      <c r="R58" s="201"/>
      <c r="S58" s="162"/>
    </row>
    <row r="59" spans="1:19" s="23" customFormat="1" ht="22.15" customHeight="1">
      <c r="A59" s="338" t="s">
        <v>20</v>
      </c>
      <c r="B59" s="338"/>
      <c r="C59" s="338"/>
      <c r="D59" s="338"/>
      <c r="E59" s="338"/>
      <c r="F59" s="338"/>
      <c r="G59" s="22">
        <f t="shared" ref="G59:P59" si="1">SUM(G8:G58)</f>
        <v>10975</v>
      </c>
      <c r="H59" s="22">
        <f t="shared" si="1"/>
        <v>2478790</v>
      </c>
      <c r="I59" s="22">
        <f t="shared" si="1"/>
        <v>31414.509099999988</v>
      </c>
      <c r="J59" s="22"/>
      <c r="K59" s="22">
        <f t="shared" si="1"/>
        <v>0</v>
      </c>
      <c r="L59" s="80">
        <f t="shared" si="1"/>
        <v>5800000</v>
      </c>
      <c r="M59" s="115">
        <f t="shared" si="1"/>
        <v>33750000</v>
      </c>
      <c r="N59" s="22">
        <f t="shared" si="1"/>
        <v>60000</v>
      </c>
      <c r="O59" s="22">
        <f t="shared" si="1"/>
        <v>1720000</v>
      </c>
      <c r="P59" s="22">
        <f t="shared" si="1"/>
        <v>0</v>
      </c>
      <c r="Q59" s="144">
        <f>SUM(Q8:Q58)</f>
        <v>41330000</v>
      </c>
      <c r="R59" s="145"/>
      <c r="S59" s="261"/>
    </row>
    <row r="60" spans="1:19" s="59" customFormat="1" ht="20.45" customHeight="1">
      <c r="A60" s="335" t="s">
        <v>21</v>
      </c>
      <c r="B60" s="335"/>
      <c r="C60" s="335"/>
      <c r="D60" s="335"/>
      <c r="E60" s="335"/>
      <c r="F60" s="335"/>
      <c r="G60" s="56"/>
      <c r="H60" s="56"/>
      <c r="I60" s="56"/>
      <c r="J60" s="56"/>
      <c r="K60" s="57"/>
      <c r="L60" s="56"/>
      <c r="M60" s="95"/>
      <c r="N60" s="56"/>
      <c r="O60" s="56"/>
      <c r="P60" s="56"/>
      <c r="Q60" s="58">
        <f>8%*Q59</f>
        <v>3306400</v>
      </c>
      <c r="R60" s="83"/>
      <c r="S60" s="185"/>
    </row>
    <row r="61" spans="1:19" s="23" customFormat="1" ht="20.45" customHeight="1">
      <c r="A61" s="336" t="s">
        <v>22</v>
      </c>
      <c r="B61" s="336"/>
      <c r="C61" s="336"/>
      <c r="D61" s="336"/>
      <c r="E61" s="336"/>
      <c r="F61" s="336"/>
      <c r="G61" s="22"/>
      <c r="H61" s="22"/>
      <c r="I61" s="22"/>
      <c r="J61" s="22"/>
      <c r="K61" s="22"/>
      <c r="L61" s="22"/>
      <c r="M61" s="96"/>
      <c r="N61" s="22"/>
      <c r="O61" s="22"/>
      <c r="P61" s="22"/>
      <c r="Q61" s="60">
        <f>Q60+Q59</f>
        <v>44636400</v>
      </c>
      <c r="R61" s="66"/>
      <c r="S61" s="121"/>
    </row>
    <row r="62" spans="1:19" s="23" customFormat="1" ht="10.9" customHeight="1">
      <c r="A62" s="25"/>
      <c r="B62" s="105"/>
      <c r="C62" s="25"/>
      <c r="D62" s="25"/>
      <c r="E62" s="25"/>
      <c r="F62" s="25"/>
      <c r="G62" s="26"/>
      <c r="H62" s="26"/>
      <c r="I62" s="26"/>
      <c r="J62" s="26"/>
      <c r="K62" s="26"/>
      <c r="L62" s="26"/>
      <c r="M62" s="97"/>
      <c r="N62" s="26"/>
      <c r="O62" s="26"/>
      <c r="P62" s="26"/>
      <c r="Q62" s="61"/>
      <c r="R62" s="50"/>
      <c r="S62" s="186"/>
    </row>
    <row r="63" spans="1:19" s="23" customFormat="1" ht="16.149999999999999" customHeight="1">
      <c r="A63" s="337" t="s">
        <v>23</v>
      </c>
      <c r="B63" s="337"/>
      <c r="C63" s="337"/>
      <c r="D63" s="337"/>
      <c r="E63" s="337"/>
      <c r="F63" s="337"/>
      <c r="G63" s="29">
        <f>G59</f>
        <v>10975</v>
      </c>
      <c r="H63" s="29"/>
      <c r="I63" s="29"/>
      <c r="J63" s="29"/>
      <c r="K63" s="30">
        <f>G59+I59</f>
        <v>42389.509099999988</v>
      </c>
      <c r="L63" s="29"/>
      <c r="M63" s="10"/>
      <c r="N63" s="29"/>
      <c r="O63" s="29"/>
      <c r="P63" s="29"/>
      <c r="Q63" s="62">
        <f>L59+N59</f>
        <v>5860000</v>
      </c>
      <c r="R63" s="70">
        <f>Q63/G63</f>
        <v>533.94077448747157</v>
      </c>
      <c r="S63" s="187"/>
    </row>
    <row r="64" spans="1:19" s="23" customFormat="1" ht="16.149999999999999" customHeight="1">
      <c r="A64" s="337" t="s">
        <v>24</v>
      </c>
      <c r="B64" s="337"/>
      <c r="C64" s="337"/>
      <c r="D64" s="337"/>
      <c r="E64" s="337"/>
      <c r="F64" s="337"/>
      <c r="G64" s="29"/>
      <c r="H64" s="29"/>
      <c r="I64" s="29">
        <f>I59</f>
        <v>31414.509099999988</v>
      </c>
      <c r="J64" s="29"/>
      <c r="K64" s="29"/>
      <c r="L64" s="29"/>
      <c r="M64" s="10"/>
      <c r="N64" s="29"/>
      <c r="O64" s="29"/>
      <c r="P64" s="29"/>
      <c r="Q64" s="62">
        <f>M59+O59</f>
        <v>35470000</v>
      </c>
      <c r="R64" s="70">
        <f>Q64/I64</f>
        <v>1129.0961092879218</v>
      </c>
      <c r="S64" s="187"/>
    </row>
    <row r="65" spans="1:19" s="23" customFormat="1" ht="16.149999999999999" customHeight="1">
      <c r="A65" s="337" t="s">
        <v>25</v>
      </c>
      <c r="B65" s="337"/>
      <c r="C65" s="337"/>
      <c r="D65" s="337"/>
      <c r="E65" s="337"/>
      <c r="F65" s="337"/>
      <c r="G65" s="29"/>
      <c r="H65" s="29"/>
      <c r="I65" s="29"/>
      <c r="J65" s="29"/>
      <c r="K65" s="29"/>
      <c r="L65" s="29"/>
      <c r="M65" s="10"/>
      <c r="N65" s="29"/>
      <c r="O65" s="29"/>
      <c r="P65" s="29">
        <f>S59</f>
        <v>0</v>
      </c>
      <c r="Q65" s="62">
        <f>P59</f>
        <v>0</v>
      </c>
      <c r="R65" s="84" t="e">
        <f>Q65/P65</f>
        <v>#DIV/0!</v>
      </c>
      <c r="S65" s="187"/>
    </row>
    <row r="66" spans="1:19" ht="16.149999999999999" customHeight="1">
      <c r="A66" s="33"/>
      <c r="B66" s="106"/>
      <c r="C66" s="3" t="s">
        <v>27</v>
      </c>
      <c r="D66" s="34"/>
      <c r="E66" s="35"/>
      <c r="F66" s="35"/>
      <c r="G66" s="36" t="s">
        <v>264</v>
      </c>
      <c r="I66" s="37"/>
      <c r="J66" s="37"/>
      <c r="K66" s="38"/>
      <c r="L66" s="1"/>
      <c r="M66" s="1"/>
      <c r="N66" s="1"/>
      <c r="O66" s="1"/>
      <c r="P66" s="1"/>
      <c r="Q66" s="146" t="s">
        <v>28</v>
      </c>
    </row>
    <row r="67" spans="1:19" ht="16.149999999999999" customHeight="1">
      <c r="B67" s="106"/>
      <c r="D67" s="34"/>
      <c r="E67" s="39"/>
      <c r="F67" s="39"/>
      <c r="G67" s="40"/>
      <c r="H67" s="36"/>
      <c r="I67" s="34"/>
      <c r="J67" s="34"/>
      <c r="K67" s="34"/>
      <c r="Q67" s="147"/>
    </row>
    <row r="68" spans="1:19" s="8" customFormat="1" ht="16.149999999999999" customHeight="1">
      <c r="A68" s="1"/>
      <c r="B68" s="106"/>
      <c r="C68" s="3"/>
      <c r="D68" s="3"/>
      <c r="E68" s="3"/>
      <c r="F68" s="3"/>
      <c r="G68" s="41"/>
      <c r="H68" s="4"/>
      <c r="M68" s="1"/>
      <c r="Q68" s="148"/>
      <c r="R68" s="3"/>
      <c r="S68" s="121"/>
    </row>
    <row r="69" spans="1:19" ht="4.1500000000000004" customHeight="1">
      <c r="B69" s="106"/>
      <c r="E69" s="39"/>
      <c r="F69" s="39"/>
      <c r="G69" s="40"/>
      <c r="H69" s="36"/>
      <c r="I69" s="34"/>
      <c r="J69" s="34"/>
      <c r="K69" s="34"/>
      <c r="Q69" s="147"/>
    </row>
    <row r="70" spans="1:19" ht="7.15" customHeight="1">
      <c r="H70" s="36"/>
      <c r="Q70" s="147"/>
    </row>
    <row r="71" spans="1:19">
      <c r="C71" s="47"/>
      <c r="G71" s="36" t="str">
        <f>'[1]A VIEN'!G66</f>
        <v>Đặng Thị Mỹ Tin</v>
      </c>
      <c r="H71" s="36"/>
      <c r="Q71" s="147" t="s">
        <v>35</v>
      </c>
    </row>
    <row r="74" spans="1:19">
      <c r="R74" s="51" t="e">
        <f>+Q59+#REF!+#REF!+#REF!+#REF!+#REF!+#REF!+#REF!+#REF!</f>
        <v>#REF!</v>
      </c>
    </row>
  </sheetData>
  <mergeCells count="72">
    <mergeCell ref="M29:M31"/>
    <mergeCell ref="Q29:Q31"/>
    <mergeCell ref="M38:M39"/>
    <mergeCell ref="Q38:Q39"/>
    <mergeCell ref="M45:M46"/>
    <mergeCell ref="Q45:Q46"/>
    <mergeCell ref="A1:R1"/>
    <mergeCell ref="A2:R2"/>
    <mergeCell ref="A3:R3"/>
    <mergeCell ref="A4:D4"/>
    <mergeCell ref="A5:A7"/>
    <mergeCell ref="B5:B7"/>
    <mergeCell ref="C5:C7"/>
    <mergeCell ref="D5:D7"/>
    <mergeCell ref="E5:F5"/>
    <mergeCell ref="G5:I5"/>
    <mergeCell ref="K5:K7"/>
    <mergeCell ref="L5:M6"/>
    <mergeCell ref="E6:E7"/>
    <mergeCell ref="F6:F7"/>
    <mergeCell ref="H6:I6"/>
    <mergeCell ref="N5:O6"/>
    <mergeCell ref="R5:R7"/>
    <mergeCell ref="P5:P7"/>
    <mergeCell ref="Q5:Q7"/>
    <mergeCell ref="A29:A31"/>
    <mergeCell ref="B29:B31"/>
    <mergeCell ref="Q16:Q17"/>
    <mergeCell ref="M23:M24"/>
    <mergeCell ref="A25:A27"/>
    <mergeCell ref="B25:B27"/>
    <mergeCell ref="M25:M27"/>
    <mergeCell ref="Q25:Q27"/>
    <mergeCell ref="A16:A17"/>
    <mergeCell ref="B16:B17"/>
    <mergeCell ref="A23:A24"/>
    <mergeCell ref="B23:B24"/>
    <mergeCell ref="Q23:Q24"/>
    <mergeCell ref="A38:A39"/>
    <mergeCell ref="B38:B39"/>
    <mergeCell ref="A45:A46"/>
    <mergeCell ref="B45:B46"/>
    <mergeCell ref="Q8:Q9"/>
    <mergeCell ref="A11:A13"/>
    <mergeCell ref="B11:B13"/>
    <mergeCell ref="Q11:Q13"/>
    <mergeCell ref="A14:A15"/>
    <mergeCell ref="B14:B15"/>
    <mergeCell ref="Q14:Q15"/>
    <mergeCell ref="A8:A9"/>
    <mergeCell ref="B8:B9"/>
    <mergeCell ref="M11:M12"/>
    <mergeCell ref="M8:M9"/>
    <mergeCell ref="M16:M17"/>
    <mergeCell ref="L49:L50"/>
    <mergeCell ref="Q49:Q51"/>
    <mergeCell ref="A54:A56"/>
    <mergeCell ref="B54:B56"/>
    <mergeCell ref="M54:M56"/>
    <mergeCell ref="Q54:Q56"/>
    <mergeCell ref="A49:A51"/>
    <mergeCell ref="B49:B51"/>
    <mergeCell ref="A57:A58"/>
    <mergeCell ref="B57:B58"/>
    <mergeCell ref="M57:M58"/>
    <mergeCell ref="Q57:Q58"/>
    <mergeCell ref="A59:F59"/>
    <mergeCell ref="A60:F60"/>
    <mergeCell ref="A61:F61"/>
    <mergeCell ref="A63:F63"/>
    <mergeCell ref="A64:F64"/>
    <mergeCell ref="A65:F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9"/>
  <sheetViews>
    <sheetView zoomScale="85" zoomScaleNormal="85" workbookViewId="0">
      <selection activeCell="K8" sqref="K8"/>
    </sheetView>
  </sheetViews>
  <sheetFormatPr defaultColWidth="9.140625" defaultRowHeight="15"/>
  <cols>
    <col min="1" max="1" width="8.140625" style="1" customWidth="1"/>
    <col min="2" max="2" width="14.28515625" style="107" customWidth="1"/>
    <col min="3" max="3" width="14.28515625" style="3" customWidth="1"/>
    <col min="4" max="4" width="23.140625" style="3" customWidth="1"/>
    <col min="5" max="5" width="17.140625" style="43" customWidth="1"/>
    <col min="6" max="6" width="14.28515625" style="44" customWidth="1"/>
    <col min="7" max="7" width="16.5703125" style="37" customWidth="1"/>
    <col min="8" max="8" width="16.85546875" style="37" customWidth="1"/>
    <col min="9" max="10" width="12.28515625" style="46" customWidth="1"/>
    <col min="11" max="11" width="17.140625" style="7" customWidth="1"/>
    <col min="12" max="13" width="16.42578125" style="7" customWidth="1"/>
    <col min="14" max="15" width="16.85546875" style="7" customWidth="1"/>
    <col min="16" max="16" width="14.7109375" style="7" customWidth="1"/>
    <col min="17" max="17" width="19.42578125" style="120" customWidth="1"/>
    <col min="18" max="18" width="45.28515625" style="8" customWidth="1"/>
    <col min="19" max="19" width="16.5703125" style="1" customWidth="1"/>
    <col min="20" max="16384" width="9.140625" style="1"/>
  </cols>
  <sheetData>
    <row r="1" spans="1:18">
      <c r="A1" s="307" t="str">
        <f>'[1]A VIEN'!A1:Q1</f>
        <v xml:space="preserve">2025年09销路运费 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8" ht="18.75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</row>
    <row r="3" spans="1:18">
      <c r="A3" s="307" t="str">
        <f>'[1]A VIEN'!A3:Q3</f>
        <v xml:space="preserve"> THÁNG 09 NĂM 2025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</row>
    <row r="4" spans="1:18">
      <c r="A4" s="52" t="s">
        <v>29</v>
      </c>
      <c r="B4" s="149"/>
      <c r="C4" s="2"/>
      <c r="D4" s="2"/>
      <c r="E4" s="3"/>
      <c r="F4" s="3"/>
      <c r="G4" s="4"/>
      <c r="H4" s="4"/>
      <c r="I4" s="6"/>
      <c r="J4" s="6"/>
    </row>
    <row r="5" spans="1:18" s="9" customFormat="1" ht="29.25" customHeight="1">
      <c r="A5" s="344" t="s">
        <v>1</v>
      </c>
      <c r="B5" s="345" t="s">
        <v>2</v>
      </c>
      <c r="C5" s="295" t="s">
        <v>3</v>
      </c>
      <c r="D5" s="295" t="s">
        <v>4</v>
      </c>
      <c r="E5" s="311" t="s">
        <v>5</v>
      </c>
      <c r="F5" s="312"/>
      <c r="G5" s="313" t="s">
        <v>6</v>
      </c>
      <c r="H5" s="314"/>
      <c r="I5" s="315"/>
      <c r="J5" s="395"/>
      <c r="K5" s="316" t="s">
        <v>7</v>
      </c>
      <c r="L5" s="319" t="s">
        <v>8</v>
      </c>
      <c r="M5" s="320"/>
      <c r="N5" s="319" t="s">
        <v>9</v>
      </c>
      <c r="O5" s="320"/>
      <c r="P5" s="323" t="s">
        <v>10</v>
      </c>
      <c r="Q5" s="323" t="s">
        <v>11</v>
      </c>
      <c r="R5" s="353" t="s">
        <v>12</v>
      </c>
    </row>
    <row r="6" spans="1:18" s="9" customFormat="1" ht="23.25" customHeight="1">
      <c r="A6" s="344"/>
      <c r="B6" s="345"/>
      <c r="C6" s="310"/>
      <c r="D6" s="310"/>
      <c r="E6" s="295" t="s">
        <v>13</v>
      </c>
      <c r="F6" s="295" t="s">
        <v>14</v>
      </c>
      <c r="G6" s="233" t="s">
        <v>15</v>
      </c>
      <c r="H6" s="313" t="s">
        <v>16</v>
      </c>
      <c r="I6" s="315"/>
      <c r="J6" s="396"/>
      <c r="K6" s="317"/>
      <c r="L6" s="321"/>
      <c r="M6" s="322"/>
      <c r="N6" s="321"/>
      <c r="O6" s="322"/>
      <c r="P6" s="324"/>
      <c r="Q6" s="324"/>
      <c r="R6" s="354"/>
    </row>
    <row r="7" spans="1:18" s="9" customFormat="1" ht="22.5" customHeight="1">
      <c r="A7" s="344"/>
      <c r="B7" s="345"/>
      <c r="C7" s="296"/>
      <c r="D7" s="296"/>
      <c r="E7" s="296"/>
      <c r="F7" s="296"/>
      <c r="G7" s="233" t="s">
        <v>18</v>
      </c>
      <c r="H7" s="233" t="s">
        <v>19</v>
      </c>
      <c r="I7" s="232" t="s">
        <v>18</v>
      </c>
      <c r="J7" s="397"/>
      <c r="K7" s="318"/>
      <c r="L7" s="233" t="s">
        <v>15</v>
      </c>
      <c r="M7" s="10" t="s">
        <v>16</v>
      </c>
      <c r="N7" s="233" t="s">
        <v>15</v>
      </c>
      <c r="O7" s="93" t="s">
        <v>16</v>
      </c>
      <c r="P7" s="325"/>
      <c r="Q7" s="325"/>
      <c r="R7" s="355"/>
    </row>
    <row r="8" spans="1:18" s="9" customFormat="1" ht="24.6" customHeight="1">
      <c r="A8" s="226">
        <v>1</v>
      </c>
      <c r="B8" s="138" t="s">
        <v>208</v>
      </c>
      <c r="C8" s="239" t="s">
        <v>130</v>
      </c>
      <c r="D8" s="239" t="s">
        <v>96</v>
      </c>
      <c r="E8" s="236" t="s">
        <v>48</v>
      </c>
      <c r="F8" s="236"/>
      <c r="G8" s="240"/>
      <c r="H8" s="237">
        <v>136600</v>
      </c>
      <c r="I8" s="237">
        <v>1545.4462000000001</v>
      </c>
      <c r="J8" s="237"/>
      <c r="K8" s="237"/>
      <c r="L8" s="262"/>
      <c r="M8" s="262">
        <v>1150000</v>
      </c>
      <c r="N8" s="263"/>
      <c r="O8" s="76"/>
      <c r="P8" s="78"/>
      <c r="Q8" s="123">
        <f>SUM(L8:P8)</f>
        <v>1150000</v>
      </c>
      <c r="R8" s="137"/>
    </row>
    <row r="9" spans="1:18" s="9" customFormat="1" ht="24.6" customHeight="1">
      <c r="A9" s="226">
        <v>2</v>
      </c>
      <c r="B9" s="138" t="s">
        <v>210</v>
      </c>
      <c r="C9" s="236">
        <v>1</v>
      </c>
      <c r="D9" s="236" t="s">
        <v>159</v>
      </c>
      <c r="E9" s="236" t="s">
        <v>67</v>
      </c>
      <c r="F9" s="236"/>
      <c r="G9" s="240"/>
      <c r="H9" s="237">
        <v>320000</v>
      </c>
      <c r="I9" s="237">
        <v>1696</v>
      </c>
      <c r="J9" s="237"/>
      <c r="K9" s="75"/>
      <c r="L9" s="85"/>
      <c r="M9" s="76">
        <v>1100000</v>
      </c>
      <c r="N9" s="76"/>
      <c r="O9" s="76"/>
      <c r="P9" s="78"/>
      <c r="Q9" s="123">
        <f t="shared" ref="Q9:Q53" si="0">SUM(L9:P9)</f>
        <v>1100000</v>
      </c>
      <c r="R9" s="137"/>
    </row>
    <row r="10" spans="1:18" s="9" customFormat="1" ht="24.6" customHeight="1">
      <c r="A10" s="299">
        <v>3</v>
      </c>
      <c r="B10" s="351" t="s">
        <v>210</v>
      </c>
      <c r="C10" s="236">
        <v>26</v>
      </c>
      <c r="D10" s="239" t="s">
        <v>133</v>
      </c>
      <c r="E10" s="236" t="s">
        <v>104</v>
      </c>
      <c r="F10" s="240"/>
      <c r="G10" s="237"/>
      <c r="H10" s="237">
        <v>27050</v>
      </c>
      <c r="I10" s="237">
        <v>549.63139999999999</v>
      </c>
      <c r="J10" s="237"/>
      <c r="K10" s="75"/>
      <c r="L10" s="111"/>
      <c r="M10" s="303">
        <v>1150000</v>
      </c>
      <c r="N10" s="167"/>
      <c r="O10" s="167">
        <v>260000</v>
      </c>
      <c r="P10" s="167"/>
      <c r="Q10" s="305">
        <f>SUM(L10:P11)</f>
        <v>1410000</v>
      </c>
      <c r="R10" s="137" t="s">
        <v>289</v>
      </c>
    </row>
    <row r="11" spans="1:18" s="9" customFormat="1" ht="25.9" customHeight="1">
      <c r="A11" s="300"/>
      <c r="B11" s="352"/>
      <c r="C11" s="236">
        <v>7</v>
      </c>
      <c r="D11" s="239" t="s">
        <v>133</v>
      </c>
      <c r="E11" s="236" t="s">
        <v>51</v>
      </c>
      <c r="F11" s="236"/>
      <c r="G11" s="240"/>
      <c r="H11" s="237">
        <v>38000</v>
      </c>
      <c r="I11" s="222">
        <v>456.4966</v>
      </c>
      <c r="J11" s="285"/>
      <c r="K11" s="75"/>
      <c r="L11" s="111"/>
      <c r="M11" s="304"/>
      <c r="N11" s="167"/>
      <c r="O11" s="167"/>
      <c r="P11" s="167"/>
      <c r="Q11" s="306"/>
      <c r="R11" s="201" t="s">
        <v>58</v>
      </c>
    </row>
    <row r="12" spans="1:18" s="9" customFormat="1" ht="24.6" customHeight="1">
      <c r="A12" s="75">
        <v>4</v>
      </c>
      <c r="B12" s="138" t="s">
        <v>215</v>
      </c>
      <c r="C12" s="236">
        <v>18</v>
      </c>
      <c r="D12" s="239" t="s">
        <v>154</v>
      </c>
      <c r="E12" s="236" t="s">
        <v>59</v>
      </c>
      <c r="F12" s="240"/>
      <c r="G12" s="237"/>
      <c r="H12" s="237">
        <v>106920</v>
      </c>
      <c r="I12" s="222">
        <v>1154.7360000000001</v>
      </c>
      <c r="J12" s="285"/>
      <c r="K12" s="75"/>
      <c r="L12" s="111"/>
      <c r="M12" s="76">
        <v>950000</v>
      </c>
      <c r="N12" s="76"/>
      <c r="O12" s="76"/>
      <c r="P12" s="78"/>
      <c r="Q12" s="123">
        <f t="shared" si="0"/>
        <v>950000</v>
      </c>
      <c r="R12" s="137"/>
    </row>
    <row r="13" spans="1:18" s="9" customFormat="1" ht="24.6" customHeight="1">
      <c r="A13" s="299">
        <v>5</v>
      </c>
      <c r="B13" s="351" t="s">
        <v>216</v>
      </c>
      <c r="C13" s="236">
        <v>22</v>
      </c>
      <c r="D13" s="239" t="s">
        <v>72</v>
      </c>
      <c r="E13" s="236" t="s">
        <v>68</v>
      </c>
      <c r="F13" s="236"/>
      <c r="G13" s="240"/>
      <c r="H13" s="237">
        <v>26400</v>
      </c>
      <c r="I13" s="222">
        <v>568.72810000000004</v>
      </c>
      <c r="J13" s="285"/>
      <c r="K13" s="140"/>
      <c r="L13" s="76"/>
      <c r="M13" s="303">
        <v>1150000</v>
      </c>
      <c r="N13" s="76"/>
      <c r="O13" s="76"/>
      <c r="P13" s="78"/>
      <c r="Q13" s="305">
        <f>SUM(L13:P14)</f>
        <v>1150000</v>
      </c>
      <c r="R13" s="137"/>
    </row>
    <row r="14" spans="1:18" s="9" customFormat="1" ht="24.6" customHeight="1">
      <c r="A14" s="300"/>
      <c r="B14" s="352"/>
      <c r="C14" s="236" t="s">
        <v>290</v>
      </c>
      <c r="D14" s="239" t="s">
        <v>63</v>
      </c>
      <c r="E14" s="236" t="s">
        <v>66</v>
      </c>
      <c r="F14" s="236"/>
      <c r="G14" s="240"/>
      <c r="H14" s="237">
        <v>29250</v>
      </c>
      <c r="I14" s="222">
        <v>620.97990000000004</v>
      </c>
      <c r="J14" s="285"/>
      <c r="K14" s="139"/>
      <c r="L14" s="76"/>
      <c r="M14" s="304"/>
      <c r="N14" s="76"/>
      <c r="O14" s="76"/>
      <c r="P14" s="78"/>
      <c r="Q14" s="306"/>
      <c r="R14" s="213"/>
    </row>
    <row r="15" spans="1:18" s="9" customFormat="1" ht="24.6" customHeight="1">
      <c r="A15" s="75">
        <v>6</v>
      </c>
      <c r="B15" s="138" t="s">
        <v>216</v>
      </c>
      <c r="C15" s="239">
        <v>37</v>
      </c>
      <c r="D15" s="239" t="s">
        <v>192</v>
      </c>
      <c r="E15" s="236" t="s">
        <v>59</v>
      </c>
      <c r="F15" s="236"/>
      <c r="G15" s="237"/>
      <c r="H15" s="237">
        <v>37230</v>
      </c>
      <c r="I15" s="237">
        <v>961.88549999999998</v>
      </c>
      <c r="J15" s="237"/>
      <c r="K15" s="139"/>
      <c r="L15" s="76"/>
      <c r="M15" s="111">
        <v>900000</v>
      </c>
      <c r="N15" s="76"/>
      <c r="O15" s="76"/>
      <c r="P15" s="78"/>
      <c r="Q15" s="123">
        <f t="shared" si="0"/>
        <v>900000</v>
      </c>
      <c r="R15" s="117" t="s">
        <v>58</v>
      </c>
    </row>
    <row r="16" spans="1:18" s="9" customFormat="1" ht="24.6" customHeight="1">
      <c r="A16" s="140">
        <v>7</v>
      </c>
      <c r="B16" s="138" t="s">
        <v>217</v>
      </c>
      <c r="C16" s="236">
        <v>8</v>
      </c>
      <c r="D16" s="239" t="s">
        <v>154</v>
      </c>
      <c r="E16" s="236" t="s">
        <v>59</v>
      </c>
      <c r="F16" s="236"/>
      <c r="G16" s="240"/>
      <c r="H16" s="237">
        <v>106920</v>
      </c>
      <c r="I16" s="237">
        <v>1154.7360000000001</v>
      </c>
      <c r="J16" s="237"/>
      <c r="K16" s="197"/>
      <c r="L16" s="76"/>
      <c r="M16" s="111">
        <v>950000</v>
      </c>
      <c r="N16" s="76"/>
      <c r="O16" s="76"/>
      <c r="P16" s="78"/>
      <c r="Q16" s="123">
        <f t="shared" si="0"/>
        <v>950000</v>
      </c>
      <c r="R16" s="137"/>
    </row>
    <row r="17" spans="1:19" s="9" customFormat="1" ht="24.6" customHeight="1">
      <c r="A17" s="299">
        <v>8</v>
      </c>
      <c r="B17" s="351" t="s">
        <v>220</v>
      </c>
      <c r="C17" s="239">
        <v>35</v>
      </c>
      <c r="D17" s="239" t="s">
        <v>65</v>
      </c>
      <c r="E17" s="236" t="s">
        <v>51</v>
      </c>
      <c r="F17" s="236"/>
      <c r="G17" s="237"/>
      <c r="H17" s="237">
        <v>15000</v>
      </c>
      <c r="I17" s="222">
        <v>390</v>
      </c>
      <c r="J17" s="285"/>
      <c r="K17" s="75"/>
      <c r="L17" s="75"/>
      <c r="M17" s="339">
        <v>1150000</v>
      </c>
      <c r="N17" s="76"/>
      <c r="O17" s="76">
        <v>24000</v>
      </c>
      <c r="P17" s="78"/>
      <c r="Q17" s="305">
        <f>SUM(L17:P18)</f>
        <v>1174000</v>
      </c>
      <c r="R17" s="137" t="s">
        <v>102</v>
      </c>
      <c r="S17" s="81"/>
    </row>
    <row r="18" spans="1:19" s="9" customFormat="1" ht="24.6" customHeight="1">
      <c r="A18" s="300"/>
      <c r="B18" s="352"/>
      <c r="C18" s="236">
        <v>36</v>
      </c>
      <c r="D18" s="239" t="s">
        <v>65</v>
      </c>
      <c r="E18" s="236" t="s">
        <v>90</v>
      </c>
      <c r="F18" s="240"/>
      <c r="G18" s="237"/>
      <c r="H18" s="237">
        <v>47600</v>
      </c>
      <c r="I18" s="222">
        <v>1032.92</v>
      </c>
      <c r="J18" s="285"/>
      <c r="K18" s="156"/>
      <c r="L18" s="111"/>
      <c r="M18" s="340"/>
      <c r="N18" s="76"/>
      <c r="O18" s="76"/>
      <c r="P18" s="78"/>
      <c r="Q18" s="306"/>
      <c r="R18" s="82"/>
    </row>
    <row r="19" spans="1:19" s="9" customFormat="1" ht="24.6" customHeight="1">
      <c r="A19" s="75">
        <v>9</v>
      </c>
      <c r="B19" s="138" t="s">
        <v>222</v>
      </c>
      <c r="C19" s="236">
        <v>9</v>
      </c>
      <c r="D19" s="239" t="s">
        <v>159</v>
      </c>
      <c r="E19" s="236" t="s">
        <v>67</v>
      </c>
      <c r="F19" s="236"/>
      <c r="G19" s="240"/>
      <c r="H19" s="237">
        <v>320000</v>
      </c>
      <c r="I19" s="237">
        <v>1696</v>
      </c>
      <c r="J19" s="237"/>
      <c r="K19" s="140"/>
      <c r="L19" s="221"/>
      <c r="M19" s="111">
        <v>1100000</v>
      </c>
      <c r="N19" s="76"/>
      <c r="O19" s="76"/>
      <c r="P19" s="78"/>
      <c r="Q19" s="123">
        <f t="shared" si="0"/>
        <v>1100000</v>
      </c>
      <c r="R19" s="137"/>
    </row>
    <row r="20" spans="1:19" s="9" customFormat="1" ht="24.6" customHeight="1">
      <c r="A20" s="299">
        <v>10</v>
      </c>
      <c r="B20" s="351" t="s">
        <v>224</v>
      </c>
      <c r="C20" s="236">
        <v>27</v>
      </c>
      <c r="D20" s="239" t="s">
        <v>133</v>
      </c>
      <c r="E20" s="236" t="s">
        <v>69</v>
      </c>
      <c r="F20" s="240"/>
      <c r="G20" s="237"/>
      <c r="H20" s="237">
        <v>67830</v>
      </c>
      <c r="I20" s="237">
        <v>1072.6555000000001</v>
      </c>
      <c r="J20" s="237"/>
      <c r="K20" s="140"/>
      <c r="L20" s="85"/>
      <c r="M20" s="303">
        <v>1100000</v>
      </c>
      <c r="N20" s="143"/>
      <c r="O20" s="143"/>
      <c r="P20" s="167"/>
      <c r="Q20" s="305">
        <f>SUM(L20:P22)</f>
        <v>1100000</v>
      </c>
      <c r="R20" s="137"/>
    </row>
    <row r="21" spans="1:19" s="9" customFormat="1" ht="24.6" customHeight="1">
      <c r="A21" s="326"/>
      <c r="B21" s="356"/>
      <c r="C21" s="236">
        <v>23</v>
      </c>
      <c r="D21" s="239" t="s">
        <v>132</v>
      </c>
      <c r="E21" s="236" t="s">
        <v>68</v>
      </c>
      <c r="F21" s="240"/>
      <c r="G21" s="237"/>
      <c r="H21" s="237">
        <v>15800</v>
      </c>
      <c r="I21" s="222">
        <v>253.71600000000001</v>
      </c>
      <c r="J21" s="285"/>
      <c r="K21" s="75"/>
      <c r="L21" s="76"/>
      <c r="M21" s="328"/>
      <c r="N21" s="76"/>
      <c r="O21" s="76"/>
      <c r="P21" s="78"/>
      <c r="Q21" s="329"/>
      <c r="R21" s="259"/>
      <c r="S21" s="259"/>
    </row>
    <row r="22" spans="1:19" s="9" customFormat="1" ht="24.6" customHeight="1">
      <c r="A22" s="300"/>
      <c r="B22" s="352"/>
      <c r="C22" s="239">
        <v>33</v>
      </c>
      <c r="D22" s="239" t="s">
        <v>72</v>
      </c>
      <c r="E22" s="236" t="s">
        <v>68</v>
      </c>
      <c r="F22" s="236"/>
      <c r="G22" s="237"/>
      <c r="H22" s="237">
        <v>6000</v>
      </c>
      <c r="I22" s="237">
        <v>108</v>
      </c>
      <c r="J22" s="237"/>
      <c r="K22" s="197"/>
      <c r="L22" s="76"/>
      <c r="M22" s="304"/>
      <c r="N22" s="76"/>
      <c r="O22" s="76"/>
      <c r="P22" s="78"/>
      <c r="Q22" s="306"/>
      <c r="R22" s="137"/>
    </row>
    <row r="23" spans="1:19" s="9" customFormat="1" ht="24.6" customHeight="1">
      <c r="A23" s="299">
        <v>11</v>
      </c>
      <c r="B23" s="351" t="s">
        <v>225</v>
      </c>
      <c r="C23" s="236">
        <v>17</v>
      </c>
      <c r="D23" s="239" t="s">
        <v>63</v>
      </c>
      <c r="E23" s="236" t="s">
        <v>104</v>
      </c>
      <c r="F23" s="240"/>
      <c r="G23" s="237"/>
      <c r="H23" s="237">
        <v>33600</v>
      </c>
      <c r="I23" s="222">
        <v>764.4</v>
      </c>
      <c r="J23" s="285"/>
      <c r="K23" s="197"/>
      <c r="L23" s="76"/>
      <c r="M23" s="303">
        <v>1200000</v>
      </c>
      <c r="N23" s="76"/>
      <c r="O23" s="76"/>
      <c r="P23" s="78"/>
      <c r="Q23" s="305">
        <f>SUM(L23:P24)</f>
        <v>1200000</v>
      </c>
      <c r="R23" s="117"/>
    </row>
    <row r="24" spans="1:19" s="9" customFormat="1" ht="24.6" customHeight="1">
      <c r="A24" s="300"/>
      <c r="B24" s="352"/>
      <c r="C24" s="239">
        <v>9</v>
      </c>
      <c r="D24" s="239" t="s">
        <v>132</v>
      </c>
      <c r="E24" s="236" t="s">
        <v>67</v>
      </c>
      <c r="F24" s="236"/>
      <c r="G24" s="237"/>
      <c r="H24" s="237">
        <v>30000</v>
      </c>
      <c r="I24" s="222">
        <v>365.3503</v>
      </c>
      <c r="J24" s="285"/>
      <c r="K24" s="140"/>
      <c r="L24" s="76"/>
      <c r="M24" s="304"/>
      <c r="N24" s="76"/>
      <c r="O24" s="76"/>
      <c r="P24" s="78"/>
      <c r="Q24" s="306"/>
      <c r="R24" s="137"/>
    </row>
    <row r="25" spans="1:19" s="9" customFormat="1" ht="24.6" customHeight="1">
      <c r="A25" s="299">
        <v>12</v>
      </c>
      <c r="B25" s="351" t="s">
        <v>227</v>
      </c>
      <c r="C25" s="239">
        <v>7</v>
      </c>
      <c r="D25" s="239" t="s">
        <v>54</v>
      </c>
      <c r="E25" s="236" t="s">
        <v>55</v>
      </c>
      <c r="F25" s="240"/>
      <c r="G25" s="237"/>
      <c r="H25" s="237">
        <v>19000</v>
      </c>
      <c r="I25" s="237">
        <v>472.54</v>
      </c>
      <c r="J25" s="237"/>
      <c r="K25" s="168"/>
      <c r="L25" s="76"/>
      <c r="M25" s="303">
        <v>1200000</v>
      </c>
      <c r="N25" s="76"/>
      <c r="O25" s="76"/>
      <c r="P25" s="78"/>
      <c r="Q25" s="305">
        <f>SUM(L25:P26)</f>
        <v>1218000</v>
      </c>
      <c r="R25" s="259" t="s">
        <v>56</v>
      </c>
      <c r="S25" s="259"/>
    </row>
    <row r="26" spans="1:19" s="9" customFormat="1" ht="24.6" customHeight="1">
      <c r="A26" s="300"/>
      <c r="B26" s="352"/>
      <c r="C26" s="236">
        <v>14</v>
      </c>
      <c r="D26" s="239" t="s">
        <v>63</v>
      </c>
      <c r="E26" s="236" t="s">
        <v>68</v>
      </c>
      <c r="F26" s="240"/>
      <c r="G26" s="237"/>
      <c r="H26" s="237">
        <v>24000</v>
      </c>
      <c r="I26" s="237">
        <v>520.79999999999995</v>
      </c>
      <c r="J26" s="237"/>
      <c r="K26" s="168"/>
      <c r="L26" s="76"/>
      <c r="M26" s="304"/>
      <c r="N26" s="76"/>
      <c r="O26" s="76">
        <v>18000</v>
      </c>
      <c r="P26" s="78"/>
      <c r="Q26" s="306"/>
      <c r="R26" s="117" t="s">
        <v>102</v>
      </c>
    </row>
    <row r="27" spans="1:19" s="9" customFormat="1" ht="24.6" customHeight="1">
      <c r="A27" s="75">
        <v>13</v>
      </c>
      <c r="B27" s="138" t="s">
        <v>229</v>
      </c>
      <c r="C27" s="239" t="s">
        <v>170</v>
      </c>
      <c r="D27" s="239" t="s">
        <v>94</v>
      </c>
      <c r="E27" s="236" t="s">
        <v>53</v>
      </c>
      <c r="F27" s="240"/>
      <c r="G27" s="237"/>
      <c r="H27" s="237">
        <v>40000</v>
      </c>
      <c r="I27" s="222">
        <v>392.88650000000001</v>
      </c>
      <c r="J27" s="285"/>
      <c r="K27" s="170"/>
      <c r="L27" s="76"/>
      <c r="M27" s="76">
        <v>600000</v>
      </c>
      <c r="N27" s="76"/>
      <c r="O27" s="76"/>
      <c r="P27" s="78"/>
      <c r="Q27" s="123">
        <f t="shared" si="0"/>
        <v>600000</v>
      </c>
      <c r="R27" s="117" t="s">
        <v>291</v>
      </c>
    </row>
    <row r="28" spans="1:19" s="9" customFormat="1" ht="24.6" customHeight="1">
      <c r="A28" s="75">
        <v>14</v>
      </c>
      <c r="B28" s="138" t="s">
        <v>229</v>
      </c>
      <c r="C28" s="239">
        <v>5</v>
      </c>
      <c r="D28" s="239" t="s">
        <v>92</v>
      </c>
      <c r="E28" s="236" t="s">
        <v>93</v>
      </c>
      <c r="F28" s="236"/>
      <c r="G28" s="240"/>
      <c r="H28" s="237">
        <v>5100</v>
      </c>
      <c r="I28" s="237">
        <v>606.9</v>
      </c>
      <c r="J28" s="237"/>
      <c r="K28" s="170"/>
      <c r="L28" s="76"/>
      <c r="M28" s="76">
        <v>300000</v>
      </c>
      <c r="N28" s="167"/>
      <c r="O28" s="167"/>
      <c r="P28" s="167"/>
      <c r="Q28" s="123">
        <f t="shared" si="0"/>
        <v>300000</v>
      </c>
      <c r="R28" s="117"/>
    </row>
    <row r="29" spans="1:19" s="9" customFormat="1" ht="24.6" customHeight="1">
      <c r="A29" s="75">
        <v>15</v>
      </c>
      <c r="B29" s="138" t="s">
        <v>231</v>
      </c>
      <c r="C29" s="239">
        <v>48</v>
      </c>
      <c r="D29" s="239" t="s">
        <v>136</v>
      </c>
      <c r="E29" s="236" t="s">
        <v>68</v>
      </c>
      <c r="F29" s="236"/>
      <c r="G29" s="240"/>
      <c r="H29" s="237">
        <v>89000</v>
      </c>
      <c r="I29" s="222">
        <v>677.82</v>
      </c>
      <c r="J29" s="285"/>
      <c r="K29" s="168"/>
      <c r="L29" s="221"/>
      <c r="M29" s="76">
        <v>1000000</v>
      </c>
      <c r="N29" s="221"/>
      <c r="O29" s="76"/>
      <c r="P29" s="76"/>
      <c r="Q29" s="123">
        <f t="shared" si="0"/>
        <v>1000000</v>
      </c>
      <c r="R29" s="82"/>
    </row>
    <row r="30" spans="1:19" s="9" customFormat="1" ht="24.6" customHeight="1">
      <c r="A30" s="75">
        <v>16</v>
      </c>
      <c r="B30" s="138" t="s">
        <v>231</v>
      </c>
      <c r="C30" s="239" t="s">
        <v>292</v>
      </c>
      <c r="D30" s="239" t="s">
        <v>50</v>
      </c>
      <c r="E30" s="236" t="s">
        <v>66</v>
      </c>
      <c r="F30" s="236"/>
      <c r="G30" s="240"/>
      <c r="H30" s="237">
        <f>10230+30600</f>
        <v>40830</v>
      </c>
      <c r="I30" s="237">
        <f>315.5955+703.8</f>
        <v>1019.3955</v>
      </c>
      <c r="J30" s="237"/>
      <c r="K30" s="76"/>
      <c r="L30" s="221"/>
      <c r="M30" s="76">
        <v>1050000</v>
      </c>
      <c r="N30" s="76"/>
      <c r="O30" s="76"/>
      <c r="P30" s="78"/>
      <c r="Q30" s="123">
        <f t="shared" si="0"/>
        <v>1050000</v>
      </c>
      <c r="R30" s="82" t="s">
        <v>58</v>
      </c>
    </row>
    <row r="31" spans="1:19" s="9" customFormat="1" ht="24.6" customHeight="1">
      <c r="A31" s="234">
        <v>17</v>
      </c>
      <c r="B31" s="138" t="s">
        <v>232</v>
      </c>
      <c r="C31" s="239" t="s">
        <v>181</v>
      </c>
      <c r="D31" s="239" t="s">
        <v>151</v>
      </c>
      <c r="E31" s="236" t="s">
        <v>67</v>
      </c>
      <c r="F31" s="236"/>
      <c r="G31" s="240"/>
      <c r="H31" s="237">
        <v>67500</v>
      </c>
      <c r="I31" s="222">
        <v>1064.25</v>
      </c>
      <c r="J31" s="285"/>
      <c r="K31" s="191"/>
      <c r="L31" s="85"/>
      <c r="M31" s="76">
        <v>1150000</v>
      </c>
      <c r="N31" s="76"/>
      <c r="O31" s="76"/>
      <c r="P31" s="78"/>
      <c r="Q31" s="123">
        <f t="shared" si="0"/>
        <v>1150000</v>
      </c>
      <c r="R31" s="137" t="s">
        <v>56</v>
      </c>
    </row>
    <row r="32" spans="1:19" s="9" customFormat="1" ht="24.6" customHeight="1">
      <c r="A32" s="234">
        <v>18</v>
      </c>
      <c r="B32" s="138" t="s">
        <v>232</v>
      </c>
      <c r="C32" s="236">
        <v>16</v>
      </c>
      <c r="D32" s="239" t="s">
        <v>63</v>
      </c>
      <c r="E32" s="236" t="s">
        <v>71</v>
      </c>
      <c r="F32" s="236"/>
      <c r="G32" s="237"/>
      <c r="H32" s="237">
        <v>90600</v>
      </c>
      <c r="I32" s="237">
        <v>764.47680000000003</v>
      </c>
      <c r="J32" s="237"/>
      <c r="K32" s="191"/>
      <c r="L32" s="208"/>
      <c r="M32" s="76">
        <v>1100000</v>
      </c>
      <c r="N32" s="76"/>
      <c r="O32" s="76">
        <v>65000</v>
      </c>
      <c r="P32" s="78"/>
      <c r="Q32" s="123">
        <f t="shared" si="0"/>
        <v>1165000</v>
      </c>
      <c r="R32" s="201" t="s">
        <v>150</v>
      </c>
    </row>
    <row r="33" spans="1:20" s="9" customFormat="1" ht="24.6" customHeight="1">
      <c r="A33" s="75">
        <v>19</v>
      </c>
      <c r="B33" s="138" t="s">
        <v>236</v>
      </c>
      <c r="C33" s="239" t="s">
        <v>130</v>
      </c>
      <c r="D33" s="220" t="s">
        <v>65</v>
      </c>
      <c r="E33" s="236" t="s">
        <v>90</v>
      </c>
      <c r="F33" s="236"/>
      <c r="G33" s="237"/>
      <c r="H33" s="237">
        <v>72100</v>
      </c>
      <c r="I33" s="237">
        <v>1213.8137999999999</v>
      </c>
      <c r="J33" s="237"/>
      <c r="K33" s="191"/>
      <c r="L33" s="85"/>
      <c r="M33" s="76">
        <v>1100000</v>
      </c>
      <c r="N33" s="76"/>
      <c r="O33" s="76"/>
      <c r="P33" s="78"/>
      <c r="Q33" s="123">
        <f t="shared" si="0"/>
        <v>1100000</v>
      </c>
      <c r="R33" s="137"/>
      <c r="S33" s="81"/>
    </row>
    <row r="34" spans="1:20" s="9" customFormat="1" ht="23.45" customHeight="1">
      <c r="A34" s="299">
        <v>20</v>
      </c>
      <c r="B34" s="351" t="s">
        <v>236</v>
      </c>
      <c r="C34" s="236" t="s">
        <v>204</v>
      </c>
      <c r="D34" s="239" t="s">
        <v>147</v>
      </c>
      <c r="E34" s="236" t="s">
        <v>68</v>
      </c>
      <c r="F34" s="240"/>
      <c r="G34" s="237"/>
      <c r="H34" s="237">
        <v>11800</v>
      </c>
      <c r="I34" s="237">
        <v>198.78</v>
      </c>
      <c r="J34" s="237"/>
      <c r="K34" s="237"/>
      <c r="L34" s="85"/>
      <c r="M34" s="303">
        <v>1000000</v>
      </c>
      <c r="N34" s="76"/>
      <c r="O34" s="76">
        <v>200000</v>
      </c>
      <c r="P34" s="78"/>
      <c r="Q34" s="305">
        <f>SUM(L34:P35)</f>
        <v>1200000</v>
      </c>
      <c r="R34" s="137" t="s">
        <v>156</v>
      </c>
    </row>
    <row r="35" spans="1:20" s="9" customFormat="1" ht="22.9" customHeight="1">
      <c r="A35" s="300"/>
      <c r="B35" s="352"/>
      <c r="C35" s="239">
        <v>50</v>
      </c>
      <c r="D35" s="239" t="s">
        <v>183</v>
      </c>
      <c r="E35" s="236" t="s">
        <v>59</v>
      </c>
      <c r="F35" s="236"/>
      <c r="G35" s="237"/>
      <c r="H35" s="237">
        <v>45400</v>
      </c>
      <c r="I35" s="237">
        <v>912.26</v>
      </c>
      <c r="J35" s="237"/>
      <c r="K35" s="237"/>
      <c r="L35" s="85"/>
      <c r="M35" s="304"/>
      <c r="N35" s="76"/>
      <c r="O35" s="76"/>
      <c r="P35" s="78"/>
      <c r="Q35" s="306"/>
      <c r="R35" s="137" t="s">
        <v>58</v>
      </c>
    </row>
    <row r="36" spans="1:20" s="9" customFormat="1" ht="24.6" customHeight="1">
      <c r="A36" s="140">
        <v>21</v>
      </c>
      <c r="B36" s="138" t="s">
        <v>237</v>
      </c>
      <c r="C36" s="220">
        <v>53</v>
      </c>
      <c r="D36" s="220" t="s">
        <v>94</v>
      </c>
      <c r="E36" s="12" t="s">
        <v>53</v>
      </c>
      <c r="F36" s="12"/>
      <c r="G36" s="222"/>
      <c r="H36" s="222">
        <v>40000</v>
      </c>
      <c r="I36" s="222">
        <v>317.98200000000003</v>
      </c>
      <c r="J36" s="285"/>
      <c r="K36" s="165"/>
      <c r="L36" s="85"/>
      <c r="M36" s="76">
        <v>550000</v>
      </c>
      <c r="N36" s="76"/>
      <c r="O36" s="76"/>
      <c r="P36" s="78"/>
      <c r="Q36" s="123">
        <f t="shared" si="0"/>
        <v>550000</v>
      </c>
      <c r="R36" s="264" t="s">
        <v>261</v>
      </c>
    </row>
    <row r="37" spans="1:20" s="9" customFormat="1" ht="24" customHeight="1">
      <c r="A37" s="299">
        <v>22</v>
      </c>
      <c r="B37" s="351" t="s">
        <v>240</v>
      </c>
      <c r="C37" s="12">
        <v>4</v>
      </c>
      <c r="D37" s="220" t="s">
        <v>114</v>
      </c>
      <c r="E37" s="12" t="s">
        <v>82</v>
      </c>
      <c r="F37" s="77"/>
      <c r="G37" s="222"/>
      <c r="H37" s="222">
        <v>64000</v>
      </c>
      <c r="I37" s="222">
        <v>329</v>
      </c>
      <c r="J37" s="285"/>
      <c r="K37" s="165"/>
      <c r="L37" s="85"/>
      <c r="M37" s="303">
        <v>1400000</v>
      </c>
      <c r="N37" s="76"/>
      <c r="O37" s="76"/>
      <c r="P37" s="78"/>
      <c r="Q37" s="305">
        <f>SUM(L37:P39)</f>
        <v>1465000</v>
      </c>
      <c r="R37" s="264" t="s">
        <v>56</v>
      </c>
    </row>
    <row r="38" spans="1:20" s="9" customFormat="1" ht="24.6" customHeight="1">
      <c r="A38" s="326"/>
      <c r="B38" s="356"/>
      <c r="C38" s="12">
        <v>2</v>
      </c>
      <c r="D38" s="220" t="s">
        <v>63</v>
      </c>
      <c r="E38" s="12" t="s">
        <v>71</v>
      </c>
      <c r="F38" s="77"/>
      <c r="G38" s="222"/>
      <c r="H38" s="222">
        <v>30600</v>
      </c>
      <c r="I38" s="222">
        <v>624.39300000000003</v>
      </c>
      <c r="J38" s="285"/>
      <c r="K38" s="165"/>
      <c r="L38" s="85"/>
      <c r="M38" s="328"/>
      <c r="N38" s="76"/>
      <c r="O38" s="76">
        <v>65000</v>
      </c>
      <c r="P38" s="78"/>
      <c r="Q38" s="329"/>
      <c r="R38" s="235" t="s">
        <v>102</v>
      </c>
      <c r="T38" s="247"/>
    </row>
    <row r="39" spans="1:20" s="9" customFormat="1" ht="24.6" customHeight="1">
      <c r="A39" s="300"/>
      <c r="B39" s="352"/>
      <c r="C39" s="220" t="s">
        <v>293</v>
      </c>
      <c r="D39" s="220" t="s">
        <v>116</v>
      </c>
      <c r="E39" s="12" t="s">
        <v>51</v>
      </c>
      <c r="F39" s="12"/>
      <c r="G39" s="222"/>
      <c r="H39" s="222">
        <v>62000</v>
      </c>
      <c r="I39" s="222">
        <v>785.69799999999998</v>
      </c>
      <c r="J39" s="285"/>
      <c r="K39" s="165"/>
      <c r="L39" s="85"/>
      <c r="M39" s="304"/>
      <c r="N39" s="76"/>
      <c r="O39" s="76"/>
      <c r="P39" s="78"/>
      <c r="Q39" s="306"/>
      <c r="R39" s="53"/>
    </row>
    <row r="40" spans="1:20" s="9" customFormat="1" ht="24.6" customHeight="1">
      <c r="A40" s="75">
        <v>23</v>
      </c>
      <c r="B40" s="138" t="s">
        <v>241</v>
      </c>
      <c r="C40" s="12" t="s">
        <v>204</v>
      </c>
      <c r="D40" s="220" t="s">
        <v>149</v>
      </c>
      <c r="E40" s="12" t="s">
        <v>82</v>
      </c>
      <c r="F40" s="77"/>
      <c r="G40" s="222"/>
      <c r="H40" s="222">
        <v>126000</v>
      </c>
      <c r="I40" s="222">
        <v>1390.35</v>
      </c>
      <c r="J40" s="285"/>
      <c r="K40" s="165"/>
      <c r="L40" s="85"/>
      <c r="M40" s="76">
        <v>1250000</v>
      </c>
      <c r="N40" s="76"/>
      <c r="O40" s="76"/>
      <c r="P40" s="78"/>
      <c r="Q40" s="123">
        <f t="shared" si="0"/>
        <v>1250000</v>
      </c>
      <c r="R40" s="265"/>
    </row>
    <row r="41" spans="1:20" s="9" customFormat="1" ht="24.6" customHeight="1">
      <c r="A41" s="75">
        <v>24</v>
      </c>
      <c r="B41" s="138" t="s">
        <v>245</v>
      </c>
      <c r="C41" s="12">
        <v>25</v>
      </c>
      <c r="D41" s="220" t="s">
        <v>136</v>
      </c>
      <c r="E41" s="12" t="s">
        <v>68</v>
      </c>
      <c r="F41" s="77"/>
      <c r="G41" s="222"/>
      <c r="H41" s="222">
        <v>70000</v>
      </c>
      <c r="I41" s="222">
        <v>420</v>
      </c>
      <c r="J41" s="285"/>
      <c r="K41" s="165"/>
      <c r="L41" s="85"/>
      <c r="M41" s="76">
        <v>1000000</v>
      </c>
      <c r="N41" s="76"/>
      <c r="O41" s="76"/>
      <c r="P41" s="78"/>
      <c r="Q41" s="123">
        <f t="shared" si="0"/>
        <v>1000000</v>
      </c>
      <c r="R41" s="53"/>
    </row>
    <row r="42" spans="1:20" s="9" customFormat="1" ht="24.6" customHeight="1">
      <c r="A42" s="75">
        <v>25</v>
      </c>
      <c r="B42" s="138" t="s">
        <v>245</v>
      </c>
      <c r="C42" s="220" t="s">
        <v>294</v>
      </c>
      <c r="D42" s="220" t="s">
        <v>151</v>
      </c>
      <c r="E42" s="12" t="s">
        <v>67</v>
      </c>
      <c r="F42" s="12"/>
      <c r="G42" s="77"/>
      <c r="H42" s="222">
        <f>40600+24600</f>
        <v>65200</v>
      </c>
      <c r="I42" s="222">
        <f>869.033+418.2682</f>
        <v>1287.3011999999999</v>
      </c>
      <c r="J42" s="285"/>
      <c r="K42" s="165"/>
      <c r="L42" s="85"/>
      <c r="M42" s="76">
        <v>1050000</v>
      </c>
      <c r="N42" s="76"/>
      <c r="O42" s="76"/>
      <c r="P42" s="78"/>
      <c r="Q42" s="123">
        <f t="shared" si="0"/>
        <v>1050000</v>
      </c>
      <c r="R42" s="102" t="s">
        <v>58</v>
      </c>
    </row>
    <row r="43" spans="1:20" s="9" customFormat="1" ht="31.9" customHeight="1">
      <c r="A43" s="140">
        <v>26</v>
      </c>
      <c r="B43" s="138" t="s">
        <v>248</v>
      </c>
      <c r="C43" s="220">
        <v>4</v>
      </c>
      <c r="D43" s="220" t="s">
        <v>159</v>
      </c>
      <c r="E43" s="12" t="s">
        <v>67</v>
      </c>
      <c r="F43" s="12"/>
      <c r="G43" s="77"/>
      <c r="H43" s="222">
        <v>320000</v>
      </c>
      <c r="I43" s="222">
        <v>1842.9760000000001</v>
      </c>
      <c r="J43" s="285"/>
      <c r="K43" s="165"/>
      <c r="L43" s="85"/>
      <c r="M43" s="76">
        <v>1100000</v>
      </c>
      <c r="N43" s="76"/>
      <c r="O43" s="76"/>
      <c r="P43" s="78"/>
      <c r="Q43" s="123">
        <f t="shared" si="0"/>
        <v>1100000</v>
      </c>
      <c r="R43" s="102"/>
    </row>
    <row r="44" spans="1:20" s="9" customFormat="1" ht="24.6" customHeight="1">
      <c r="A44" s="140">
        <v>27</v>
      </c>
      <c r="B44" s="138" t="s">
        <v>250</v>
      </c>
      <c r="C44" s="266" t="s">
        <v>295</v>
      </c>
      <c r="D44" s="220" t="s">
        <v>63</v>
      </c>
      <c r="E44" s="12" t="s">
        <v>66</v>
      </c>
      <c r="F44" s="12"/>
      <c r="G44" s="77"/>
      <c r="H44" s="222">
        <f>23460+1500+3600+10000+4800+2400+13000</f>
        <v>58760</v>
      </c>
      <c r="I44" s="222">
        <f>590.7228+30.3+84.1392+38.04+82+42.48+109.0315</f>
        <v>976.71349999999984</v>
      </c>
      <c r="J44" s="285"/>
      <c r="K44" s="165"/>
      <c r="L44" s="85"/>
      <c r="M44" s="76">
        <v>1150000</v>
      </c>
      <c r="N44" s="76"/>
      <c r="O44" s="76">
        <v>50000</v>
      </c>
      <c r="P44" s="78"/>
      <c r="Q44" s="123">
        <f t="shared" si="0"/>
        <v>1200000</v>
      </c>
      <c r="R44" s="102" t="s">
        <v>296</v>
      </c>
    </row>
    <row r="45" spans="1:20" s="9" customFormat="1" ht="24.6" customHeight="1">
      <c r="A45" s="299">
        <v>28</v>
      </c>
      <c r="B45" s="351" t="s">
        <v>252</v>
      </c>
      <c r="C45" s="220">
        <v>46</v>
      </c>
      <c r="D45" s="220" t="s">
        <v>297</v>
      </c>
      <c r="E45" s="12" t="s">
        <v>48</v>
      </c>
      <c r="F45" s="12"/>
      <c r="G45" s="77"/>
      <c r="H45" s="222">
        <v>40000</v>
      </c>
      <c r="I45" s="222">
        <v>868</v>
      </c>
      <c r="J45" s="285"/>
      <c r="K45" s="165"/>
      <c r="L45" s="85"/>
      <c r="M45" s="303">
        <v>1250000</v>
      </c>
      <c r="N45" s="76"/>
      <c r="O45" s="76">
        <v>60000</v>
      </c>
      <c r="P45" s="78"/>
      <c r="Q45" s="305">
        <f>SUM(L45:P46)</f>
        <v>1310000</v>
      </c>
      <c r="R45" s="102" t="s">
        <v>140</v>
      </c>
    </row>
    <row r="46" spans="1:20" s="9" customFormat="1" ht="24.6" customHeight="1">
      <c r="A46" s="300"/>
      <c r="B46" s="352"/>
      <c r="C46" s="220" t="s">
        <v>298</v>
      </c>
      <c r="D46" s="220" t="s">
        <v>151</v>
      </c>
      <c r="E46" s="12" t="s">
        <v>67</v>
      </c>
      <c r="F46" s="12"/>
      <c r="G46" s="222"/>
      <c r="H46" s="222">
        <f>34995+24600</f>
        <v>59595</v>
      </c>
      <c r="I46" s="222">
        <f>439.3525+418.2682</f>
        <v>857.62069999999994</v>
      </c>
      <c r="J46" s="285"/>
      <c r="K46" s="165"/>
      <c r="L46" s="85"/>
      <c r="M46" s="304"/>
      <c r="N46" s="76"/>
      <c r="O46" s="76"/>
      <c r="P46" s="78"/>
      <c r="Q46" s="306"/>
      <c r="R46" s="223"/>
      <c r="S46" s="267"/>
    </row>
    <row r="47" spans="1:20" s="9" customFormat="1" ht="24.6" customHeight="1">
      <c r="A47" s="75">
        <v>29</v>
      </c>
      <c r="B47" s="138" t="s">
        <v>254</v>
      </c>
      <c r="C47" s="266">
        <v>2</v>
      </c>
      <c r="D47" s="220" t="s">
        <v>299</v>
      </c>
      <c r="E47" s="12" t="s">
        <v>51</v>
      </c>
      <c r="F47" s="12"/>
      <c r="G47" s="77"/>
      <c r="H47" s="222">
        <v>190000</v>
      </c>
      <c r="I47" s="222">
        <v>741</v>
      </c>
      <c r="J47" s="285"/>
      <c r="K47" s="165"/>
      <c r="L47" s="85"/>
      <c r="M47" s="76">
        <v>1100000</v>
      </c>
      <c r="N47" s="76"/>
      <c r="O47" s="76"/>
      <c r="P47" s="78"/>
      <c r="Q47" s="123">
        <f t="shared" si="0"/>
        <v>1100000</v>
      </c>
      <c r="R47" s="102"/>
    </row>
    <row r="48" spans="1:20" s="9" customFormat="1" ht="24.6" customHeight="1">
      <c r="A48" s="299">
        <v>30</v>
      </c>
      <c r="B48" s="351" t="s">
        <v>256</v>
      </c>
      <c r="C48" s="220" t="s">
        <v>300</v>
      </c>
      <c r="D48" s="220" t="s">
        <v>105</v>
      </c>
      <c r="E48" s="12" t="s">
        <v>69</v>
      </c>
      <c r="F48" s="12"/>
      <c r="G48" s="77"/>
      <c r="H48" s="222">
        <v>51000</v>
      </c>
      <c r="I48" s="222">
        <v>553.35</v>
      </c>
      <c r="J48" s="285"/>
      <c r="K48" s="165"/>
      <c r="L48" s="85"/>
      <c r="M48" s="303">
        <v>1050000</v>
      </c>
      <c r="N48" s="76"/>
      <c r="O48" s="76"/>
      <c r="P48" s="78"/>
      <c r="Q48" s="305">
        <f>SUM(L48:P49)</f>
        <v>1050000</v>
      </c>
      <c r="R48" s="102"/>
    </row>
    <row r="49" spans="1:19" s="9" customFormat="1" ht="24.6" customHeight="1">
      <c r="A49" s="300"/>
      <c r="B49" s="352"/>
      <c r="C49" s="220">
        <v>12</v>
      </c>
      <c r="D49" s="220" t="s">
        <v>133</v>
      </c>
      <c r="E49" s="12" t="s">
        <v>69</v>
      </c>
      <c r="F49" s="12"/>
      <c r="G49" s="222"/>
      <c r="H49" s="222">
        <v>252000</v>
      </c>
      <c r="I49" s="222">
        <v>742.10640000000001</v>
      </c>
      <c r="J49" s="285"/>
      <c r="K49" s="165"/>
      <c r="L49" s="85"/>
      <c r="M49" s="304"/>
      <c r="N49" s="76"/>
      <c r="O49" s="76"/>
      <c r="P49" s="78"/>
      <c r="Q49" s="306"/>
      <c r="R49" s="102"/>
    </row>
    <row r="50" spans="1:19" s="9" customFormat="1" ht="24.6" customHeight="1">
      <c r="A50" s="75">
        <v>31</v>
      </c>
      <c r="B50" s="138" t="s">
        <v>256</v>
      </c>
      <c r="C50" s="220">
        <v>21</v>
      </c>
      <c r="D50" s="220" t="s">
        <v>133</v>
      </c>
      <c r="E50" s="12" t="s">
        <v>104</v>
      </c>
      <c r="F50" s="12"/>
      <c r="G50" s="77"/>
      <c r="H50" s="222">
        <v>66150</v>
      </c>
      <c r="I50" s="230">
        <v>1169.4435000000001</v>
      </c>
      <c r="J50" s="281"/>
      <c r="K50" s="165"/>
      <c r="L50" s="85"/>
      <c r="M50" s="76">
        <v>1100000</v>
      </c>
      <c r="N50" s="76"/>
      <c r="O50" s="76">
        <v>260000</v>
      </c>
      <c r="P50" s="78"/>
      <c r="Q50" s="123">
        <f t="shared" si="0"/>
        <v>1360000</v>
      </c>
      <c r="R50" s="196" t="s">
        <v>301</v>
      </c>
    </row>
    <row r="51" spans="1:19" s="9" customFormat="1" ht="24.6" customHeight="1">
      <c r="A51" s="75">
        <v>32</v>
      </c>
      <c r="B51" s="138" t="s">
        <v>260</v>
      </c>
      <c r="C51" s="12" t="s">
        <v>302</v>
      </c>
      <c r="D51" s="220" t="s">
        <v>96</v>
      </c>
      <c r="E51" s="12" t="s">
        <v>48</v>
      </c>
      <c r="F51" s="77"/>
      <c r="G51" s="222"/>
      <c r="H51" s="222">
        <f>63950+6570</f>
        <v>70520</v>
      </c>
      <c r="I51" s="222">
        <f>837.8691+159.7815</f>
        <v>997.65059999999994</v>
      </c>
      <c r="J51" s="285"/>
      <c r="K51" s="165"/>
      <c r="L51" s="85"/>
      <c r="M51" s="76">
        <v>1150000</v>
      </c>
      <c r="N51" s="76"/>
      <c r="O51" s="76"/>
      <c r="P51" s="78"/>
      <c r="Q51" s="123">
        <f t="shared" si="0"/>
        <v>1150000</v>
      </c>
      <c r="R51" s="171"/>
    </row>
    <row r="52" spans="1:19" s="9" customFormat="1" ht="24.6" customHeight="1">
      <c r="A52" s="75">
        <v>33</v>
      </c>
      <c r="B52" s="138" t="s">
        <v>263</v>
      </c>
      <c r="C52" s="12" t="s">
        <v>303</v>
      </c>
      <c r="D52" s="12" t="s">
        <v>304</v>
      </c>
      <c r="E52" s="12" t="s">
        <v>51</v>
      </c>
      <c r="F52" s="12"/>
      <c r="G52" s="77"/>
      <c r="H52" s="222">
        <v>110040</v>
      </c>
      <c r="I52" s="222">
        <v>1215.5507</v>
      </c>
      <c r="J52" s="285"/>
      <c r="K52" s="165"/>
      <c r="L52" s="85"/>
      <c r="M52" s="76">
        <v>1100000</v>
      </c>
      <c r="N52" s="76"/>
      <c r="O52" s="76"/>
      <c r="P52" s="78"/>
      <c r="Q52" s="123">
        <f t="shared" si="0"/>
        <v>1100000</v>
      </c>
      <c r="R52" s="171"/>
    </row>
    <row r="53" spans="1:19" s="9" customFormat="1" ht="24.6" customHeight="1">
      <c r="A53" s="75">
        <v>34</v>
      </c>
      <c r="B53" s="138" t="s">
        <v>263</v>
      </c>
      <c r="C53" s="12">
        <v>35</v>
      </c>
      <c r="D53" s="12" t="s">
        <v>133</v>
      </c>
      <c r="E53" s="12" t="s">
        <v>51</v>
      </c>
      <c r="F53" s="12"/>
      <c r="G53" s="77"/>
      <c r="H53" s="222">
        <v>67950</v>
      </c>
      <c r="I53" s="230">
        <v>645.048</v>
      </c>
      <c r="J53" s="281"/>
      <c r="K53" s="165"/>
      <c r="L53" s="85"/>
      <c r="M53" s="76">
        <v>1050000</v>
      </c>
      <c r="N53" s="76"/>
      <c r="O53" s="76">
        <v>200000</v>
      </c>
      <c r="P53" s="78"/>
      <c r="Q53" s="123">
        <f t="shared" si="0"/>
        <v>1250000</v>
      </c>
      <c r="R53" s="196" t="s">
        <v>305</v>
      </c>
    </row>
    <row r="54" spans="1:19" s="23" customFormat="1" ht="24.6" customHeight="1">
      <c r="A54" s="360" t="s">
        <v>20</v>
      </c>
      <c r="B54" s="361"/>
      <c r="C54" s="361"/>
      <c r="D54" s="361"/>
      <c r="E54" s="361"/>
      <c r="F54" s="362"/>
      <c r="G54" s="22">
        <f t="shared" ref="G54:Q54" si="1">SUM(G8:G53)</f>
        <v>0</v>
      </c>
      <c r="H54" s="22">
        <f t="shared" si="1"/>
        <v>3613345</v>
      </c>
      <c r="I54" s="22">
        <f t="shared" si="1"/>
        <v>37999.787700000001</v>
      </c>
      <c r="J54" s="22"/>
      <c r="K54" s="22">
        <f t="shared" si="1"/>
        <v>0</v>
      </c>
      <c r="L54" s="22">
        <f t="shared" si="1"/>
        <v>0</v>
      </c>
      <c r="M54" s="22">
        <f t="shared" si="1"/>
        <v>35700000</v>
      </c>
      <c r="N54" s="22">
        <f t="shared" si="1"/>
        <v>0</v>
      </c>
      <c r="O54" s="22">
        <f t="shared" si="1"/>
        <v>1202000</v>
      </c>
      <c r="P54" s="22">
        <f t="shared" si="1"/>
        <v>0</v>
      </c>
      <c r="Q54" s="150">
        <f t="shared" si="1"/>
        <v>36902000</v>
      </c>
      <c r="R54" s="114"/>
      <c r="S54" s="268"/>
    </row>
    <row r="55" spans="1:19" s="23" customFormat="1" ht="24.6" customHeight="1">
      <c r="A55" s="357" t="s">
        <v>21</v>
      </c>
      <c r="B55" s="358"/>
      <c r="C55" s="358"/>
      <c r="D55" s="358"/>
      <c r="E55" s="358"/>
      <c r="F55" s="359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>
        <f>8%*Q54</f>
        <v>2952160</v>
      </c>
      <c r="R55" s="24"/>
      <c r="S55" s="231"/>
    </row>
    <row r="56" spans="1:19" s="23" customFormat="1" ht="24.6" customHeight="1">
      <c r="A56" s="357" t="s">
        <v>22</v>
      </c>
      <c r="B56" s="358"/>
      <c r="C56" s="358"/>
      <c r="D56" s="358"/>
      <c r="E56" s="358"/>
      <c r="F56" s="359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>
        <f>Q55+Q54</f>
        <v>39854160</v>
      </c>
      <c r="R56" s="22"/>
    </row>
    <row r="57" spans="1:19" s="23" customFormat="1" ht="22.9" customHeight="1">
      <c r="A57" s="25"/>
      <c r="B57" s="105"/>
      <c r="C57" s="25"/>
      <c r="D57" s="25"/>
      <c r="E57" s="25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7"/>
      <c r="S57" s="28"/>
    </row>
    <row r="58" spans="1:19" s="23" customFormat="1" ht="24.6" customHeight="1">
      <c r="A58" s="289" t="s">
        <v>23</v>
      </c>
      <c r="B58" s="290"/>
      <c r="C58" s="290"/>
      <c r="D58" s="290"/>
      <c r="E58" s="290"/>
      <c r="F58" s="291"/>
      <c r="G58" s="29">
        <f>G54</f>
        <v>0</v>
      </c>
      <c r="H58" s="29"/>
      <c r="I58" s="29"/>
      <c r="J58" s="29"/>
      <c r="K58" s="30">
        <f>G54+I54</f>
        <v>37999.787700000001</v>
      </c>
      <c r="L58" s="29"/>
      <c r="M58" s="29"/>
      <c r="N58" s="29"/>
      <c r="O58" s="29"/>
      <c r="P58" s="29"/>
      <c r="Q58" s="29">
        <f>L54+N54</f>
        <v>0</v>
      </c>
      <c r="R58" s="31"/>
      <c r="S58" s="32"/>
    </row>
    <row r="59" spans="1:19" s="23" customFormat="1" ht="24.6" customHeight="1">
      <c r="A59" s="289" t="s">
        <v>24</v>
      </c>
      <c r="B59" s="290"/>
      <c r="C59" s="290"/>
      <c r="D59" s="290"/>
      <c r="E59" s="290"/>
      <c r="F59" s="291"/>
      <c r="G59" s="29"/>
      <c r="H59" s="29"/>
      <c r="I59" s="29">
        <f>I54</f>
        <v>37999.787700000001</v>
      </c>
      <c r="J59" s="29"/>
      <c r="K59" s="29"/>
      <c r="L59" s="29"/>
      <c r="M59" s="29"/>
      <c r="N59" s="29"/>
      <c r="O59" s="29"/>
      <c r="P59" s="29"/>
      <c r="Q59" s="29">
        <f>M54+O54</f>
        <v>36902000</v>
      </c>
      <c r="R59" s="31"/>
      <c r="S59" s="32"/>
    </row>
    <row r="60" spans="1:19" s="23" customFormat="1" ht="24.6" customHeight="1">
      <c r="A60" s="289" t="s">
        <v>25</v>
      </c>
      <c r="B60" s="290"/>
      <c r="C60" s="290"/>
      <c r="D60" s="290"/>
      <c r="E60" s="290"/>
      <c r="F60" s="291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>
        <f>P54</f>
        <v>0</v>
      </c>
      <c r="R60" s="113"/>
      <c r="S60" s="32"/>
    </row>
    <row r="61" spans="1:19">
      <c r="A61" s="33"/>
      <c r="B61" s="106"/>
      <c r="C61" s="3" t="s">
        <v>27</v>
      </c>
      <c r="D61" s="34"/>
      <c r="E61" s="35"/>
      <c r="F61" s="35"/>
      <c r="G61" s="36" t="s">
        <v>264</v>
      </c>
      <c r="I61" s="37"/>
      <c r="J61" s="37"/>
      <c r="K61" s="38"/>
      <c r="L61" s="1"/>
      <c r="M61" s="1"/>
      <c r="N61" s="1"/>
      <c r="O61" s="1"/>
      <c r="P61" s="1"/>
      <c r="Q61" s="151" t="s">
        <v>28</v>
      </c>
    </row>
    <row r="62" spans="1:19" ht="18" customHeight="1">
      <c r="B62" s="106"/>
      <c r="D62" s="34"/>
      <c r="E62" s="39"/>
      <c r="F62" s="39"/>
      <c r="G62" s="40"/>
      <c r="H62" s="36"/>
      <c r="I62" s="34"/>
      <c r="J62" s="34"/>
      <c r="K62" s="34"/>
    </row>
    <row r="63" spans="1:19" s="8" customFormat="1" ht="18" customHeight="1">
      <c r="A63" s="1"/>
      <c r="B63" s="106"/>
      <c r="C63" s="3"/>
      <c r="D63" s="3"/>
      <c r="E63" s="3"/>
      <c r="F63" s="3"/>
      <c r="G63" s="41"/>
      <c r="H63" s="4"/>
      <c r="Q63" s="133"/>
    </row>
    <row r="64" spans="1:19">
      <c r="B64" s="106"/>
      <c r="E64" s="39"/>
      <c r="F64" s="39"/>
      <c r="G64" s="40"/>
      <c r="H64" s="36"/>
      <c r="I64" s="34"/>
      <c r="J64" s="34"/>
      <c r="K64" s="34"/>
    </row>
    <row r="65" spans="3:18">
      <c r="H65" s="36"/>
      <c r="Q65" s="134"/>
    </row>
    <row r="66" spans="3:18">
      <c r="C66" s="47"/>
      <c r="G66" s="36" t="str">
        <f>'[1]A VIEN'!G66</f>
        <v>Đặng Thị Mỹ Tin</v>
      </c>
      <c r="H66" s="36"/>
      <c r="Q66" s="152" t="s">
        <v>36</v>
      </c>
    </row>
    <row r="69" spans="3:18">
      <c r="R69" s="41" t="e">
        <f>+Q54+#REF!+#REF!+#REF!+#REF!+#REF!+#REF!+#REF!+#REF!</f>
        <v>#REF!</v>
      </c>
    </row>
  </sheetData>
  <mergeCells count="64">
    <mergeCell ref="A45:A46"/>
    <mergeCell ref="B45:B46"/>
    <mergeCell ref="M45:M46"/>
    <mergeCell ref="Q45:Q46"/>
    <mergeCell ref="A48:A49"/>
    <mergeCell ref="B48:B49"/>
    <mergeCell ref="M48:M49"/>
    <mergeCell ref="Q48:Q49"/>
    <mergeCell ref="A60:F60"/>
    <mergeCell ref="A56:F56"/>
    <mergeCell ref="A59:F59"/>
    <mergeCell ref="A58:F58"/>
    <mergeCell ref="A54:F54"/>
    <mergeCell ref="A55:F55"/>
    <mergeCell ref="A25:A26"/>
    <mergeCell ref="B25:B26"/>
    <mergeCell ref="M25:M26"/>
    <mergeCell ref="Q25:Q26"/>
    <mergeCell ref="A37:A39"/>
    <mergeCell ref="B37:B39"/>
    <mergeCell ref="M37:M39"/>
    <mergeCell ref="Q37:Q39"/>
    <mergeCell ref="Q20:Q22"/>
    <mergeCell ref="A23:A24"/>
    <mergeCell ref="B23:B24"/>
    <mergeCell ref="M23:M24"/>
    <mergeCell ref="Q23:Q24"/>
    <mergeCell ref="B10:B11"/>
    <mergeCell ref="M10:M11"/>
    <mergeCell ref="A20:A22"/>
    <mergeCell ref="B20:B22"/>
    <mergeCell ref="M20:M22"/>
    <mergeCell ref="R5:R7"/>
    <mergeCell ref="E6:E7"/>
    <mergeCell ref="A1:R1"/>
    <mergeCell ref="A2:R2"/>
    <mergeCell ref="A3:R3"/>
    <mergeCell ref="A5:A7"/>
    <mergeCell ref="B5:B7"/>
    <mergeCell ref="C5:C7"/>
    <mergeCell ref="D5:D7"/>
    <mergeCell ref="E5:F5"/>
    <mergeCell ref="G5:I5"/>
    <mergeCell ref="K5:K7"/>
    <mergeCell ref="L5:M6"/>
    <mergeCell ref="N5:O6"/>
    <mergeCell ref="F6:F7"/>
    <mergeCell ref="H6:I6"/>
    <mergeCell ref="P5:P7"/>
    <mergeCell ref="Q5:Q7"/>
    <mergeCell ref="A34:A35"/>
    <mergeCell ref="B34:B35"/>
    <mergeCell ref="M34:M35"/>
    <mergeCell ref="Q34:Q35"/>
    <mergeCell ref="A13:A14"/>
    <mergeCell ref="B13:B14"/>
    <mergeCell ref="M13:M14"/>
    <mergeCell ref="Q13:Q14"/>
    <mergeCell ref="Q10:Q11"/>
    <mergeCell ref="A17:A18"/>
    <mergeCell ref="B17:B18"/>
    <mergeCell ref="M17:M18"/>
    <mergeCell ref="Q17:Q18"/>
    <mergeCell ref="A10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5"/>
  <sheetViews>
    <sheetView zoomScale="85" zoomScaleNormal="85" workbookViewId="0">
      <selection activeCell="S40" sqref="S1:S1048576"/>
    </sheetView>
  </sheetViews>
  <sheetFormatPr defaultColWidth="9.140625" defaultRowHeight="15"/>
  <cols>
    <col min="1" max="1" width="8.7109375" style="1" customWidth="1"/>
    <col min="2" max="2" width="14.140625" style="107" customWidth="1"/>
    <col min="3" max="3" width="15.85546875" style="3" customWidth="1"/>
    <col min="4" max="4" width="22.28515625" style="3" customWidth="1"/>
    <col min="5" max="5" width="17.28515625" style="43" customWidth="1"/>
    <col min="6" max="6" width="17.85546875" style="44" customWidth="1"/>
    <col min="7" max="7" width="15.85546875" style="37" customWidth="1"/>
    <col min="8" max="8" width="14.28515625" style="48" customWidth="1"/>
    <col min="9" max="9" width="12.42578125" style="46" customWidth="1"/>
    <col min="10" max="10" width="11.28515625" style="46" customWidth="1"/>
    <col min="11" max="11" width="12.85546875" style="7" customWidth="1"/>
    <col min="12" max="13" width="15.85546875" style="7" customWidth="1"/>
    <col min="14" max="15" width="15" style="7" customWidth="1"/>
    <col min="16" max="16" width="14.28515625" style="7" customWidth="1"/>
    <col min="17" max="17" width="17" style="120" customWidth="1"/>
    <col min="18" max="18" width="35.42578125" style="8" customWidth="1"/>
    <col min="19" max="19" width="21.7109375" style="3" customWidth="1"/>
    <col min="20" max="16384" width="9.140625" style="1"/>
  </cols>
  <sheetData>
    <row r="1" spans="1:19">
      <c r="A1" s="307" t="str">
        <f>'[1]A VIEN'!A1:Q1</f>
        <v xml:space="preserve">2025年09销路运费 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9" ht="18.75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</row>
    <row r="3" spans="1:19">
      <c r="A3" s="307" t="str">
        <f>'[1]A VIEN'!A3:Q3</f>
        <v xml:space="preserve"> THÁNG 09 NĂM 2025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</row>
    <row r="4" spans="1:19">
      <c r="A4" s="371" t="s">
        <v>126</v>
      </c>
      <c r="B4" s="371"/>
      <c r="C4" s="371"/>
      <c r="D4" s="2"/>
      <c r="E4" s="3"/>
      <c r="F4" s="3"/>
      <c r="G4" s="4"/>
      <c r="H4" s="5"/>
      <c r="I4" s="6"/>
      <c r="J4" s="6"/>
    </row>
    <row r="5" spans="1:19" s="9" customFormat="1" ht="21" customHeight="1">
      <c r="A5" s="344" t="s">
        <v>1</v>
      </c>
      <c r="B5" s="345" t="s">
        <v>2</v>
      </c>
      <c r="C5" s="344" t="s">
        <v>3</v>
      </c>
      <c r="D5" s="344" t="s">
        <v>4</v>
      </c>
      <c r="E5" s="344" t="s">
        <v>5</v>
      </c>
      <c r="F5" s="344"/>
      <c r="G5" s="346" t="s">
        <v>6</v>
      </c>
      <c r="H5" s="346"/>
      <c r="I5" s="346"/>
      <c r="J5" s="346"/>
      <c r="K5" s="347" t="s">
        <v>7</v>
      </c>
      <c r="L5" s="319" t="s">
        <v>8</v>
      </c>
      <c r="M5" s="320"/>
      <c r="N5" s="350" t="s">
        <v>9</v>
      </c>
      <c r="O5" s="350"/>
      <c r="P5" s="323" t="s">
        <v>10</v>
      </c>
      <c r="Q5" s="350" t="s">
        <v>11</v>
      </c>
      <c r="R5" s="372" t="s">
        <v>12</v>
      </c>
      <c r="S5" s="81"/>
    </row>
    <row r="6" spans="1:19" s="9" customFormat="1" ht="21" customHeight="1">
      <c r="A6" s="344"/>
      <c r="B6" s="345"/>
      <c r="C6" s="344"/>
      <c r="D6" s="344"/>
      <c r="E6" s="344" t="s">
        <v>13</v>
      </c>
      <c r="F6" s="344" t="s">
        <v>14</v>
      </c>
      <c r="G6" s="233" t="s">
        <v>15</v>
      </c>
      <c r="H6" s="346" t="s">
        <v>16</v>
      </c>
      <c r="I6" s="346"/>
      <c r="J6" s="232" t="s">
        <v>17</v>
      </c>
      <c r="K6" s="347"/>
      <c r="L6" s="348"/>
      <c r="M6" s="349"/>
      <c r="N6" s="350"/>
      <c r="O6" s="350"/>
      <c r="P6" s="324"/>
      <c r="Q6" s="350"/>
      <c r="R6" s="372"/>
      <c r="S6" s="81"/>
    </row>
    <row r="7" spans="1:19" s="9" customFormat="1" ht="21" customHeight="1">
      <c r="A7" s="344"/>
      <c r="B7" s="345"/>
      <c r="C7" s="344"/>
      <c r="D7" s="344"/>
      <c r="E7" s="344"/>
      <c r="F7" s="344"/>
      <c r="G7" s="233" t="s">
        <v>18</v>
      </c>
      <c r="H7" s="228" t="s">
        <v>19</v>
      </c>
      <c r="I7" s="232" t="s">
        <v>18</v>
      </c>
      <c r="J7" s="232" t="s">
        <v>18</v>
      </c>
      <c r="K7" s="347"/>
      <c r="L7" s="233" t="s">
        <v>15</v>
      </c>
      <c r="M7" s="10" t="s">
        <v>16</v>
      </c>
      <c r="N7" s="233" t="s">
        <v>15</v>
      </c>
      <c r="O7" s="93" t="s">
        <v>16</v>
      </c>
      <c r="P7" s="325"/>
      <c r="Q7" s="350"/>
      <c r="R7" s="372"/>
      <c r="S7" s="81"/>
    </row>
    <row r="8" spans="1:19" s="9" customFormat="1" ht="26.45" customHeight="1">
      <c r="A8" s="223">
        <v>1</v>
      </c>
      <c r="B8" s="224" t="s">
        <v>208</v>
      </c>
      <c r="C8" s="239">
        <v>3</v>
      </c>
      <c r="D8" s="239" t="s">
        <v>106</v>
      </c>
      <c r="E8" s="236"/>
      <c r="F8" s="236" t="s">
        <v>49</v>
      </c>
      <c r="G8" s="240">
        <v>4175</v>
      </c>
      <c r="H8" s="77"/>
      <c r="I8" s="77"/>
      <c r="J8" s="10"/>
      <c r="K8" s="234"/>
      <c r="L8" s="14">
        <v>1300000</v>
      </c>
      <c r="M8" s="14"/>
      <c r="N8" s="14"/>
      <c r="O8" s="14"/>
      <c r="P8" s="18"/>
      <c r="Q8" s="123">
        <f>SUM(L8:P8)</f>
        <v>1300000</v>
      </c>
      <c r="R8" s="137"/>
      <c r="S8" s="81"/>
    </row>
    <row r="9" spans="1:19" s="9" customFormat="1" ht="26.45" customHeight="1">
      <c r="A9" s="223">
        <v>2</v>
      </c>
      <c r="B9" s="224" t="s">
        <v>208</v>
      </c>
      <c r="C9" s="239" t="s">
        <v>306</v>
      </c>
      <c r="D9" s="239" t="s">
        <v>73</v>
      </c>
      <c r="E9" s="236"/>
      <c r="F9" s="236" t="s">
        <v>66</v>
      </c>
      <c r="G9" s="240">
        <v>2500</v>
      </c>
      <c r="H9" s="77"/>
      <c r="I9" s="77"/>
      <c r="J9" s="10">
        <v>696</v>
      </c>
      <c r="K9" s="234"/>
      <c r="L9" s="14">
        <v>1100000</v>
      </c>
      <c r="M9" s="14"/>
      <c r="N9" s="14"/>
      <c r="O9" s="14"/>
      <c r="P9" s="18">
        <f>J9*400</f>
        <v>278400</v>
      </c>
      <c r="Q9" s="123">
        <f t="shared" ref="Q9:Q50" si="0">SUM(L9:P9)</f>
        <v>1378400</v>
      </c>
      <c r="R9" s="82" t="s">
        <v>307</v>
      </c>
      <c r="S9" s="81"/>
    </row>
    <row r="10" spans="1:19" s="9" customFormat="1" ht="26.45" customHeight="1">
      <c r="A10" s="363">
        <v>3</v>
      </c>
      <c r="B10" s="301" t="s">
        <v>210</v>
      </c>
      <c r="C10" s="236">
        <v>4</v>
      </c>
      <c r="D10" s="239" t="s">
        <v>77</v>
      </c>
      <c r="E10" s="236"/>
      <c r="F10" s="236" t="s">
        <v>82</v>
      </c>
      <c r="G10" s="240">
        <v>1000</v>
      </c>
      <c r="H10" s="237"/>
      <c r="I10" s="237"/>
      <c r="J10" s="116"/>
      <c r="K10" s="234"/>
      <c r="L10" s="14">
        <v>350000</v>
      </c>
      <c r="M10" s="14"/>
      <c r="N10" s="14"/>
      <c r="O10" s="14"/>
      <c r="P10" s="21"/>
      <c r="Q10" s="305">
        <f>SUM(L10:P12)</f>
        <v>1660000</v>
      </c>
      <c r="R10" s="137" t="s">
        <v>56</v>
      </c>
      <c r="S10" s="81"/>
    </row>
    <row r="11" spans="1:19" s="9" customFormat="1" ht="26.45" customHeight="1">
      <c r="A11" s="364"/>
      <c r="B11" s="327"/>
      <c r="C11" s="236">
        <v>3</v>
      </c>
      <c r="D11" s="239" t="s">
        <v>114</v>
      </c>
      <c r="E11" s="236"/>
      <c r="F11" s="236" t="s">
        <v>82</v>
      </c>
      <c r="G11" s="237"/>
      <c r="H11" s="237">
        <v>50000</v>
      </c>
      <c r="I11" s="237">
        <v>260</v>
      </c>
      <c r="J11" s="116"/>
      <c r="K11" s="234"/>
      <c r="L11" s="20"/>
      <c r="M11" s="366">
        <v>1310000</v>
      </c>
      <c r="N11" s="14"/>
      <c r="O11" s="14"/>
      <c r="P11" s="18"/>
      <c r="Q11" s="329"/>
      <c r="R11" s="137"/>
      <c r="S11" s="81"/>
    </row>
    <row r="12" spans="1:19" s="9" customFormat="1" ht="26.45" customHeight="1">
      <c r="A12" s="365"/>
      <c r="B12" s="302"/>
      <c r="C12" s="236">
        <v>22</v>
      </c>
      <c r="D12" s="239" t="s">
        <v>83</v>
      </c>
      <c r="E12" s="236"/>
      <c r="F12" s="236" t="s">
        <v>51</v>
      </c>
      <c r="G12" s="237"/>
      <c r="H12" s="237">
        <v>68000</v>
      </c>
      <c r="I12" s="222">
        <v>681.14980000000003</v>
      </c>
      <c r="J12" s="116"/>
      <c r="K12" s="234"/>
      <c r="L12" s="20"/>
      <c r="M12" s="368"/>
      <c r="N12" s="14"/>
      <c r="O12" s="14"/>
      <c r="P12" s="18"/>
      <c r="Q12" s="306"/>
      <c r="R12" s="214"/>
      <c r="S12" s="81"/>
    </row>
    <row r="13" spans="1:19" s="9" customFormat="1" ht="26.45" customHeight="1">
      <c r="A13" s="223">
        <v>4</v>
      </c>
      <c r="B13" s="224" t="s">
        <v>215</v>
      </c>
      <c r="C13" s="239">
        <v>13</v>
      </c>
      <c r="D13" s="239" t="s">
        <v>106</v>
      </c>
      <c r="E13" s="236"/>
      <c r="F13" s="236" t="s">
        <v>49</v>
      </c>
      <c r="G13" s="240">
        <v>3719</v>
      </c>
      <c r="H13" s="77"/>
      <c r="I13" s="77"/>
      <c r="J13" s="10">
        <v>1060</v>
      </c>
      <c r="K13" s="223"/>
      <c r="L13" s="17">
        <v>1200000</v>
      </c>
      <c r="M13" s="14"/>
      <c r="N13" s="14"/>
      <c r="O13" s="14"/>
      <c r="P13" s="18">
        <f>J13*500</f>
        <v>530000</v>
      </c>
      <c r="Q13" s="123">
        <f t="shared" si="0"/>
        <v>1730000</v>
      </c>
      <c r="R13" s="259" t="s">
        <v>308</v>
      </c>
      <c r="S13" s="81"/>
    </row>
    <row r="14" spans="1:19" s="9" customFormat="1" ht="26.45" customHeight="1">
      <c r="A14" s="223">
        <v>5</v>
      </c>
      <c r="B14" s="224" t="s">
        <v>215</v>
      </c>
      <c r="C14" s="236">
        <v>10</v>
      </c>
      <c r="D14" s="239" t="s">
        <v>202</v>
      </c>
      <c r="E14" s="236"/>
      <c r="F14" s="236" t="s">
        <v>59</v>
      </c>
      <c r="G14" s="240"/>
      <c r="H14" s="237">
        <v>200000</v>
      </c>
      <c r="I14" s="222">
        <v>712.5</v>
      </c>
      <c r="J14" s="10"/>
      <c r="K14" s="14"/>
      <c r="L14" s="20"/>
      <c r="M14" s="14">
        <v>1100000</v>
      </c>
      <c r="N14" s="14"/>
      <c r="O14" s="14"/>
      <c r="P14" s="18"/>
      <c r="Q14" s="123">
        <f t="shared" si="0"/>
        <v>1100000</v>
      </c>
      <c r="R14" s="262"/>
      <c r="S14" s="81"/>
    </row>
    <row r="15" spans="1:19" s="9" customFormat="1" ht="26.45" customHeight="1">
      <c r="A15" s="363">
        <v>6</v>
      </c>
      <c r="B15" s="301" t="s">
        <v>216</v>
      </c>
      <c r="C15" s="236" t="s">
        <v>309</v>
      </c>
      <c r="D15" s="239" t="s">
        <v>147</v>
      </c>
      <c r="E15" s="236"/>
      <c r="F15" s="236" t="s">
        <v>68</v>
      </c>
      <c r="G15" s="237"/>
      <c r="H15" s="237">
        <f>38000+4000</f>
        <v>42000</v>
      </c>
      <c r="I15" s="237">
        <f>267.7047+40</f>
        <v>307.7047</v>
      </c>
      <c r="J15" s="10"/>
      <c r="K15" s="14"/>
      <c r="L15" s="20"/>
      <c r="M15" s="366">
        <v>1490000</v>
      </c>
      <c r="N15" s="19"/>
      <c r="O15" s="19"/>
      <c r="P15" s="19"/>
      <c r="Q15" s="305">
        <f>SUM(L15:P18)</f>
        <v>1490000</v>
      </c>
      <c r="R15" s="201" t="s">
        <v>56</v>
      </c>
      <c r="S15" s="81"/>
    </row>
    <row r="16" spans="1:19" s="9" customFormat="1" ht="26.45" customHeight="1">
      <c r="A16" s="364"/>
      <c r="B16" s="327"/>
      <c r="C16" s="236">
        <v>12</v>
      </c>
      <c r="D16" s="239" t="s">
        <v>103</v>
      </c>
      <c r="E16" s="236"/>
      <c r="F16" s="236" t="s">
        <v>68</v>
      </c>
      <c r="G16" s="240"/>
      <c r="H16" s="237">
        <v>29230</v>
      </c>
      <c r="I16" s="237">
        <v>887.95349999999996</v>
      </c>
      <c r="J16" s="10"/>
      <c r="K16" s="223"/>
      <c r="L16" s="20"/>
      <c r="M16" s="367"/>
      <c r="N16" s="14"/>
      <c r="O16" s="14"/>
      <c r="P16" s="18"/>
      <c r="Q16" s="329"/>
      <c r="R16" s="117"/>
      <c r="S16" s="81"/>
    </row>
    <row r="17" spans="1:19" s="9" customFormat="1" ht="26.45" customHeight="1">
      <c r="A17" s="364"/>
      <c r="B17" s="327"/>
      <c r="C17" s="239">
        <v>20</v>
      </c>
      <c r="D17" s="239" t="s">
        <v>63</v>
      </c>
      <c r="E17" s="236"/>
      <c r="F17" s="236" t="s">
        <v>68</v>
      </c>
      <c r="G17" s="240"/>
      <c r="H17" s="237">
        <v>26000</v>
      </c>
      <c r="I17" s="237">
        <v>676</v>
      </c>
      <c r="J17" s="10"/>
      <c r="K17" s="223"/>
      <c r="L17" s="223"/>
      <c r="M17" s="367"/>
      <c r="N17" s="14"/>
      <c r="O17" s="14"/>
      <c r="P17" s="18"/>
      <c r="Q17" s="329"/>
      <c r="R17" s="117"/>
      <c r="S17" s="81"/>
    </row>
    <row r="18" spans="1:19" s="9" customFormat="1" ht="26.45" customHeight="1">
      <c r="A18" s="365"/>
      <c r="B18" s="302"/>
      <c r="C18" s="239">
        <v>18</v>
      </c>
      <c r="D18" s="239" t="s">
        <v>54</v>
      </c>
      <c r="E18" s="236"/>
      <c r="F18" s="236" t="s">
        <v>59</v>
      </c>
      <c r="G18" s="240"/>
      <c r="H18" s="237">
        <v>11000</v>
      </c>
      <c r="I18" s="237">
        <v>374.7</v>
      </c>
      <c r="J18" s="10"/>
      <c r="K18" s="188"/>
      <c r="L18" s="188"/>
      <c r="M18" s="368"/>
      <c r="N18" s="14"/>
      <c r="O18" s="14"/>
      <c r="P18" s="18"/>
      <c r="Q18" s="306"/>
      <c r="R18" s="201"/>
      <c r="S18" s="81"/>
    </row>
    <row r="19" spans="1:19" s="9" customFormat="1" ht="27" customHeight="1">
      <c r="A19" s="223">
        <v>7</v>
      </c>
      <c r="B19" s="224" t="s">
        <v>217</v>
      </c>
      <c r="C19" s="239">
        <v>2</v>
      </c>
      <c r="D19" s="239" t="s">
        <v>52</v>
      </c>
      <c r="E19" s="236"/>
      <c r="F19" s="236" t="s">
        <v>93</v>
      </c>
      <c r="G19" s="240"/>
      <c r="H19" s="237">
        <v>153840</v>
      </c>
      <c r="I19" s="237">
        <v>697.41539999999998</v>
      </c>
      <c r="J19" s="181"/>
      <c r="K19" s="12"/>
      <c r="L19" s="87"/>
      <c r="M19" s="14">
        <v>600000</v>
      </c>
      <c r="N19" s="77"/>
      <c r="O19" s="14"/>
      <c r="P19" s="18"/>
      <c r="Q19" s="123">
        <f t="shared" si="0"/>
        <v>600000</v>
      </c>
      <c r="R19" s="137"/>
      <c r="S19" s="81"/>
    </row>
    <row r="20" spans="1:19" s="9" customFormat="1" ht="27" customHeight="1">
      <c r="A20" s="363">
        <v>8</v>
      </c>
      <c r="B20" s="301" t="s">
        <v>220</v>
      </c>
      <c r="C20" s="236">
        <v>8</v>
      </c>
      <c r="D20" s="239" t="s">
        <v>70</v>
      </c>
      <c r="E20" s="236"/>
      <c r="F20" s="236" t="s">
        <v>71</v>
      </c>
      <c r="G20" s="237">
        <v>900</v>
      </c>
      <c r="H20" s="237"/>
      <c r="I20" s="237"/>
      <c r="J20" s="116"/>
      <c r="K20" s="234"/>
      <c r="L20" s="373">
        <v>1100000</v>
      </c>
      <c r="M20" s="14"/>
      <c r="N20" s="21"/>
      <c r="O20" s="19"/>
      <c r="P20" s="19"/>
      <c r="Q20" s="305">
        <f>SUM(L20:P22)</f>
        <v>1560000</v>
      </c>
      <c r="R20" s="137" t="s">
        <v>56</v>
      </c>
      <c r="S20" s="81"/>
    </row>
    <row r="21" spans="1:19" s="9" customFormat="1" ht="27" customHeight="1">
      <c r="A21" s="364"/>
      <c r="B21" s="327"/>
      <c r="C21" s="236">
        <v>9</v>
      </c>
      <c r="D21" s="239" t="s">
        <v>128</v>
      </c>
      <c r="E21" s="236"/>
      <c r="F21" s="236" t="s">
        <v>71</v>
      </c>
      <c r="G21" s="240">
        <v>1560</v>
      </c>
      <c r="H21" s="237"/>
      <c r="I21" s="237"/>
      <c r="J21" s="116"/>
      <c r="K21" s="234"/>
      <c r="L21" s="374"/>
      <c r="M21" s="14"/>
      <c r="N21" s="19"/>
      <c r="O21" s="19"/>
      <c r="P21" s="19"/>
      <c r="Q21" s="329"/>
      <c r="R21" s="137"/>
      <c r="S21" s="81"/>
    </row>
    <row r="22" spans="1:19" s="9" customFormat="1" ht="27" customHeight="1">
      <c r="A22" s="365"/>
      <c r="B22" s="302"/>
      <c r="C22" s="239">
        <v>38</v>
      </c>
      <c r="D22" s="239" t="s">
        <v>147</v>
      </c>
      <c r="E22" s="236"/>
      <c r="F22" s="236" t="s">
        <v>51</v>
      </c>
      <c r="G22" s="240"/>
      <c r="H22" s="237">
        <v>18000</v>
      </c>
      <c r="I22" s="222">
        <v>462.6</v>
      </c>
      <c r="J22" s="10"/>
      <c r="K22" s="234"/>
      <c r="L22" s="14"/>
      <c r="M22" s="14">
        <v>460000</v>
      </c>
      <c r="N22" s="14"/>
      <c r="O22" s="14"/>
      <c r="P22" s="18"/>
      <c r="Q22" s="306"/>
      <c r="R22" s="137"/>
      <c r="S22" s="81"/>
    </row>
    <row r="23" spans="1:19" s="9" customFormat="1" ht="27" customHeight="1">
      <c r="A23" s="363">
        <v>9</v>
      </c>
      <c r="B23" s="301" t="s">
        <v>222</v>
      </c>
      <c r="C23" s="236">
        <v>3</v>
      </c>
      <c r="D23" s="239" t="s">
        <v>116</v>
      </c>
      <c r="E23" s="236"/>
      <c r="F23" s="236" t="s">
        <v>51</v>
      </c>
      <c r="G23" s="237"/>
      <c r="H23" s="237">
        <v>20000</v>
      </c>
      <c r="I23" s="237">
        <v>192</v>
      </c>
      <c r="J23" s="10"/>
      <c r="K23" s="234"/>
      <c r="L23" s="14"/>
      <c r="M23" s="366">
        <v>1310000</v>
      </c>
      <c r="N23" s="14"/>
      <c r="O23" s="14"/>
      <c r="P23" s="18"/>
      <c r="Q23" s="305">
        <f>SUM(L23:P25)</f>
        <v>1560000</v>
      </c>
      <c r="R23" s="137" t="s">
        <v>56</v>
      </c>
      <c r="S23" s="81"/>
    </row>
    <row r="24" spans="1:19" s="9" customFormat="1" ht="27" customHeight="1">
      <c r="A24" s="364"/>
      <c r="B24" s="327"/>
      <c r="C24" s="236" t="s">
        <v>310</v>
      </c>
      <c r="D24" s="239" t="s">
        <v>83</v>
      </c>
      <c r="E24" s="236"/>
      <c r="F24" s="236" t="s">
        <v>71</v>
      </c>
      <c r="G24" s="240"/>
      <c r="H24" s="237">
        <f>15000+60000</f>
        <v>75000</v>
      </c>
      <c r="I24" s="237">
        <f>12+663.6117</f>
        <v>675.61170000000004</v>
      </c>
      <c r="J24" s="10"/>
      <c r="K24" s="153"/>
      <c r="L24" s="14"/>
      <c r="M24" s="368"/>
      <c r="N24" s="14"/>
      <c r="O24" s="14"/>
      <c r="P24" s="18"/>
      <c r="Q24" s="329"/>
      <c r="R24" s="137"/>
      <c r="S24" s="81"/>
    </row>
    <row r="25" spans="1:19" s="9" customFormat="1" ht="27" customHeight="1">
      <c r="A25" s="365"/>
      <c r="B25" s="302"/>
      <c r="C25" s="239">
        <v>11</v>
      </c>
      <c r="D25" s="239" t="s">
        <v>70</v>
      </c>
      <c r="E25" s="236"/>
      <c r="F25" s="236" t="s">
        <v>71</v>
      </c>
      <c r="G25" s="240">
        <v>1097.5</v>
      </c>
      <c r="H25" s="237"/>
      <c r="I25" s="237"/>
      <c r="J25" s="10"/>
      <c r="K25" s="153"/>
      <c r="L25" s="14">
        <v>250000</v>
      </c>
      <c r="M25" s="20"/>
      <c r="N25" s="12"/>
      <c r="O25" s="12"/>
      <c r="P25" s="77"/>
      <c r="Q25" s="306"/>
      <c r="R25" s="137"/>
      <c r="S25" s="248"/>
    </row>
    <row r="26" spans="1:19" s="9" customFormat="1" ht="34.9" customHeight="1">
      <c r="A26" s="223">
        <v>10</v>
      </c>
      <c r="B26" s="224" t="s">
        <v>224</v>
      </c>
      <c r="C26" s="239">
        <v>20</v>
      </c>
      <c r="D26" s="239" t="s">
        <v>205</v>
      </c>
      <c r="E26" s="236"/>
      <c r="F26" s="236" t="s">
        <v>121</v>
      </c>
      <c r="G26" s="240"/>
      <c r="H26" s="237">
        <v>144000</v>
      </c>
      <c r="I26" s="237">
        <v>1310.4000000000001</v>
      </c>
      <c r="J26" s="10"/>
      <c r="K26" s="86"/>
      <c r="L26" s="87"/>
      <c r="M26" s="20">
        <v>1750000</v>
      </c>
      <c r="N26" s="14"/>
      <c r="O26" s="14">
        <v>100000</v>
      </c>
      <c r="P26" s="18"/>
      <c r="Q26" s="123">
        <f t="shared" si="0"/>
        <v>1850000</v>
      </c>
      <c r="R26" s="269" t="s">
        <v>311</v>
      </c>
      <c r="S26" s="81"/>
    </row>
    <row r="27" spans="1:19" s="9" customFormat="1" ht="27" customHeight="1">
      <c r="A27" s="223">
        <v>11</v>
      </c>
      <c r="B27" s="224" t="s">
        <v>225</v>
      </c>
      <c r="C27" s="239">
        <v>9</v>
      </c>
      <c r="D27" s="239" t="s">
        <v>107</v>
      </c>
      <c r="E27" s="236"/>
      <c r="F27" s="236" t="s">
        <v>78</v>
      </c>
      <c r="G27" s="240"/>
      <c r="H27" s="237">
        <v>36000</v>
      </c>
      <c r="I27" s="237">
        <v>727.2</v>
      </c>
      <c r="J27" s="10"/>
      <c r="K27" s="86"/>
      <c r="L27" s="14"/>
      <c r="M27" s="20">
        <v>1950000</v>
      </c>
      <c r="N27" s="14"/>
      <c r="O27" s="14"/>
      <c r="P27" s="14"/>
      <c r="Q27" s="123">
        <f t="shared" si="0"/>
        <v>1950000</v>
      </c>
      <c r="R27" s="215"/>
      <c r="S27" s="81"/>
    </row>
    <row r="28" spans="1:19" s="9" customFormat="1" ht="27" customHeight="1">
      <c r="A28" s="363">
        <v>12</v>
      </c>
      <c r="B28" s="301" t="s">
        <v>227</v>
      </c>
      <c r="C28" s="239">
        <v>1</v>
      </c>
      <c r="D28" s="239" t="s">
        <v>114</v>
      </c>
      <c r="E28" s="236"/>
      <c r="F28" s="236" t="s">
        <v>51</v>
      </c>
      <c r="G28" s="240"/>
      <c r="H28" s="237">
        <v>100000</v>
      </c>
      <c r="I28" s="237">
        <v>764</v>
      </c>
      <c r="J28" s="10"/>
      <c r="K28" s="153"/>
      <c r="L28" s="14"/>
      <c r="M28" s="366">
        <v>1380000</v>
      </c>
      <c r="N28" s="14"/>
      <c r="O28" s="14"/>
      <c r="P28" s="14"/>
      <c r="Q28" s="305">
        <f>SUM(L28:P29)</f>
        <v>1380000</v>
      </c>
      <c r="R28" s="82"/>
      <c r="S28" s="81"/>
    </row>
    <row r="29" spans="1:19" s="9" customFormat="1" ht="27" customHeight="1">
      <c r="A29" s="365"/>
      <c r="B29" s="302"/>
      <c r="C29" s="239">
        <v>33</v>
      </c>
      <c r="D29" s="239" t="s">
        <v>133</v>
      </c>
      <c r="E29" s="236"/>
      <c r="F29" s="236" t="s">
        <v>49</v>
      </c>
      <c r="G29" s="240"/>
      <c r="H29" s="237">
        <v>48200</v>
      </c>
      <c r="I29" s="222">
        <v>1105.7915</v>
      </c>
      <c r="J29" s="10"/>
      <c r="K29" s="153"/>
      <c r="L29" s="14"/>
      <c r="M29" s="368"/>
      <c r="N29" s="14"/>
      <c r="O29" s="14"/>
      <c r="P29" s="14"/>
      <c r="Q29" s="306"/>
      <c r="R29" s="117"/>
      <c r="S29" s="81"/>
    </row>
    <row r="30" spans="1:19" s="9" customFormat="1" ht="27" customHeight="1">
      <c r="A30" s="363">
        <v>13</v>
      </c>
      <c r="B30" s="301" t="s">
        <v>229</v>
      </c>
      <c r="C30" s="239">
        <v>10</v>
      </c>
      <c r="D30" s="239" t="s">
        <v>128</v>
      </c>
      <c r="E30" s="236"/>
      <c r="F30" s="236" t="s">
        <v>71</v>
      </c>
      <c r="G30" s="240">
        <v>2040</v>
      </c>
      <c r="H30" s="237"/>
      <c r="I30" s="237"/>
      <c r="J30" s="10"/>
      <c r="K30" s="153"/>
      <c r="L30" s="14">
        <v>1000000</v>
      </c>
      <c r="M30" s="14"/>
      <c r="N30" s="14"/>
      <c r="O30" s="14"/>
      <c r="P30" s="18"/>
      <c r="Q30" s="305">
        <f>SUM(L30:P31)</f>
        <v>1580000</v>
      </c>
      <c r="R30" s="82" t="s">
        <v>56</v>
      </c>
      <c r="S30" s="81"/>
    </row>
    <row r="31" spans="1:19" s="9" customFormat="1" ht="27" customHeight="1">
      <c r="A31" s="365"/>
      <c r="B31" s="302"/>
      <c r="C31" s="239">
        <v>2</v>
      </c>
      <c r="D31" s="239" t="s">
        <v>114</v>
      </c>
      <c r="E31" s="236"/>
      <c r="F31" s="236" t="s">
        <v>82</v>
      </c>
      <c r="G31" s="240"/>
      <c r="H31" s="237">
        <v>80400</v>
      </c>
      <c r="I31" s="237">
        <v>597.44000000000005</v>
      </c>
      <c r="J31" s="181"/>
      <c r="K31" s="55"/>
      <c r="L31" s="14"/>
      <c r="M31" s="14">
        <v>580000</v>
      </c>
      <c r="N31" s="87"/>
      <c r="O31" s="99"/>
      <c r="P31" s="98"/>
      <c r="Q31" s="306"/>
      <c r="R31" s="137"/>
      <c r="S31" s="81"/>
    </row>
    <row r="32" spans="1:19" s="9" customFormat="1" ht="27" customHeight="1">
      <c r="A32" s="223">
        <v>14</v>
      </c>
      <c r="B32" s="224" t="s">
        <v>231</v>
      </c>
      <c r="C32" s="239" t="s">
        <v>312</v>
      </c>
      <c r="D32" s="239" t="s">
        <v>87</v>
      </c>
      <c r="E32" s="236"/>
      <c r="F32" s="236" t="s">
        <v>71</v>
      </c>
      <c r="G32" s="240"/>
      <c r="H32" s="237">
        <f>40000+19200+75000</f>
        <v>134200</v>
      </c>
      <c r="I32" s="222">
        <f>552+255.168+1221.0831</f>
        <v>2028.2511</v>
      </c>
      <c r="J32" s="116"/>
      <c r="K32" s="234"/>
      <c r="L32" s="14"/>
      <c r="M32" s="100">
        <v>1400000</v>
      </c>
      <c r="N32" s="87"/>
      <c r="O32" s="87"/>
      <c r="P32" s="98"/>
      <c r="Q32" s="123">
        <f t="shared" si="0"/>
        <v>1400000</v>
      </c>
      <c r="R32" s="137" t="s">
        <v>56</v>
      </c>
      <c r="S32" s="81"/>
    </row>
    <row r="33" spans="1:19" s="9" customFormat="1" ht="27" customHeight="1">
      <c r="A33" s="363">
        <v>15</v>
      </c>
      <c r="B33" s="301" t="s">
        <v>241</v>
      </c>
      <c r="C33" s="220">
        <v>28</v>
      </c>
      <c r="D33" s="220" t="s">
        <v>194</v>
      </c>
      <c r="E33" s="12"/>
      <c r="F33" s="12" t="s">
        <v>69</v>
      </c>
      <c r="G33" s="222"/>
      <c r="H33" s="222">
        <v>56300</v>
      </c>
      <c r="I33" s="222">
        <v>1657.865</v>
      </c>
      <c r="J33" s="116"/>
      <c r="K33" s="234"/>
      <c r="L33" s="11"/>
      <c r="M33" s="369">
        <v>1280000</v>
      </c>
      <c r="N33" s="87"/>
      <c r="O33" s="87"/>
      <c r="P33" s="98"/>
      <c r="Q33" s="305">
        <f>SUM(L33:P34)</f>
        <v>1280000</v>
      </c>
      <c r="R33" s="137"/>
      <c r="S33" s="81"/>
    </row>
    <row r="34" spans="1:19" s="9" customFormat="1" ht="27" customHeight="1">
      <c r="A34" s="365"/>
      <c r="B34" s="302"/>
      <c r="C34" s="220">
        <v>3</v>
      </c>
      <c r="D34" s="220" t="s">
        <v>63</v>
      </c>
      <c r="E34" s="12"/>
      <c r="F34" s="12" t="s">
        <v>313</v>
      </c>
      <c r="G34" s="230"/>
      <c r="H34" s="222">
        <v>30600</v>
      </c>
      <c r="I34" s="222">
        <v>624.39300000000003</v>
      </c>
      <c r="J34" s="116"/>
      <c r="K34" s="234"/>
      <c r="L34" s="14"/>
      <c r="M34" s="370"/>
      <c r="N34" s="87"/>
      <c r="O34" s="87"/>
      <c r="P34" s="98"/>
      <c r="Q34" s="306"/>
      <c r="R34" s="137"/>
      <c r="S34" s="81"/>
    </row>
    <row r="35" spans="1:19" s="9" customFormat="1" ht="27" customHeight="1">
      <c r="A35" s="363">
        <v>16</v>
      </c>
      <c r="B35" s="301" t="s">
        <v>245</v>
      </c>
      <c r="C35" s="220">
        <v>56</v>
      </c>
      <c r="D35" s="220" t="s">
        <v>199</v>
      </c>
      <c r="E35" s="12"/>
      <c r="F35" s="12" t="s">
        <v>76</v>
      </c>
      <c r="G35" s="77">
        <v>2089</v>
      </c>
      <c r="H35" s="222"/>
      <c r="I35" s="222"/>
      <c r="J35" s="116">
        <v>120</v>
      </c>
      <c r="K35" s="234"/>
      <c r="L35" s="366">
        <v>1200000</v>
      </c>
      <c r="M35" s="100"/>
      <c r="N35" s="87"/>
      <c r="O35" s="87"/>
      <c r="P35" s="98">
        <f>120*1000+80000</f>
        <v>200000</v>
      </c>
      <c r="Q35" s="305">
        <f>SUM(L35:P37)</f>
        <v>1660000</v>
      </c>
      <c r="R35" s="82" t="s">
        <v>314</v>
      </c>
      <c r="S35" s="81"/>
    </row>
    <row r="36" spans="1:19" s="9" customFormat="1" ht="27" customHeight="1">
      <c r="A36" s="364"/>
      <c r="B36" s="327"/>
      <c r="C36" s="220">
        <v>28</v>
      </c>
      <c r="D36" s="220" t="s">
        <v>315</v>
      </c>
      <c r="E36" s="12"/>
      <c r="F36" s="12" t="s">
        <v>76</v>
      </c>
      <c r="G36" s="222">
        <v>1000</v>
      </c>
      <c r="H36" s="222"/>
      <c r="I36" s="222"/>
      <c r="J36" s="116"/>
      <c r="K36" s="234"/>
      <c r="L36" s="368"/>
      <c r="M36" s="100"/>
      <c r="N36" s="87"/>
      <c r="O36" s="87"/>
      <c r="P36" s="98"/>
      <c r="Q36" s="329"/>
      <c r="R36" s="82"/>
      <c r="S36" s="81"/>
    </row>
    <row r="37" spans="1:19" s="9" customFormat="1" ht="27" customHeight="1">
      <c r="A37" s="365"/>
      <c r="B37" s="302"/>
      <c r="C37" s="220">
        <v>7</v>
      </c>
      <c r="D37" s="220" t="s">
        <v>119</v>
      </c>
      <c r="E37" s="12"/>
      <c r="F37" s="12" t="s">
        <v>68</v>
      </c>
      <c r="G37" s="230"/>
      <c r="H37" s="222">
        <v>28600</v>
      </c>
      <c r="I37" s="222">
        <v>262.53649999999999</v>
      </c>
      <c r="J37" s="116"/>
      <c r="K37" s="234"/>
      <c r="L37" s="14"/>
      <c r="M37" s="100">
        <v>260000</v>
      </c>
      <c r="N37" s="87"/>
      <c r="O37" s="87"/>
      <c r="P37" s="98"/>
      <c r="Q37" s="306"/>
      <c r="R37" s="82"/>
      <c r="S37" s="81"/>
    </row>
    <row r="38" spans="1:19" s="9" customFormat="1" ht="27" customHeight="1">
      <c r="A38" s="363">
        <v>17</v>
      </c>
      <c r="B38" s="301" t="s">
        <v>248</v>
      </c>
      <c r="C38" s="220">
        <v>8</v>
      </c>
      <c r="D38" s="220" t="s">
        <v>99</v>
      </c>
      <c r="E38" s="12"/>
      <c r="F38" s="12" t="s">
        <v>49</v>
      </c>
      <c r="G38" s="77"/>
      <c r="H38" s="222">
        <v>68800</v>
      </c>
      <c r="I38" s="222">
        <v>1912.6128000000001</v>
      </c>
      <c r="J38" s="116"/>
      <c r="K38" s="234"/>
      <c r="L38" s="14"/>
      <c r="M38" s="369">
        <v>1280000</v>
      </c>
      <c r="N38" s="87"/>
      <c r="O38" s="87"/>
      <c r="P38" s="98"/>
      <c r="Q38" s="305">
        <f>SUM(L38:P39)</f>
        <v>1280000</v>
      </c>
      <c r="R38" s="82"/>
      <c r="S38" s="81"/>
    </row>
    <row r="39" spans="1:19" s="9" customFormat="1" ht="27" customHeight="1">
      <c r="A39" s="365"/>
      <c r="B39" s="302"/>
      <c r="C39" s="220">
        <v>36</v>
      </c>
      <c r="D39" s="220" t="s">
        <v>133</v>
      </c>
      <c r="E39" s="12"/>
      <c r="F39" s="12" t="s">
        <v>69</v>
      </c>
      <c r="G39" s="230"/>
      <c r="H39" s="222">
        <v>25200</v>
      </c>
      <c r="I39" s="222">
        <v>560.91600000000005</v>
      </c>
      <c r="J39" s="116"/>
      <c r="K39" s="234"/>
      <c r="L39" s="14"/>
      <c r="M39" s="370"/>
      <c r="N39" s="11"/>
      <c r="O39" s="87"/>
      <c r="P39" s="98"/>
      <c r="Q39" s="306"/>
      <c r="R39" s="82"/>
      <c r="S39" s="81"/>
    </row>
    <row r="40" spans="1:19" s="9" customFormat="1" ht="27" customHeight="1">
      <c r="A40" s="363">
        <v>18</v>
      </c>
      <c r="B40" s="301" t="s">
        <v>250</v>
      </c>
      <c r="C40" s="220">
        <v>40</v>
      </c>
      <c r="D40" s="220" t="s">
        <v>98</v>
      </c>
      <c r="E40" s="12"/>
      <c r="F40" s="12" t="s">
        <v>71</v>
      </c>
      <c r="G40" s="77"/>
      <c r="H40" s="222">
        <v>30000</v>
      </c>
      <c r="I40" s="222">
        <v>325.5</v>
      </c>
      <c r="J40" s="116"/>
      <c r="K40" s="234"/>
      <c r="L40" s="14"/>
      <c r="M40" s="375">
        <v>1340000</v>
      </c>
      <c r="N40" s="87"/>
      <c r="O40" s="87"/>
      <c r="P40" s="98"/>
      <c r="Q40" s="305">
        <f>SUM(L40:P43)</f>
        <v>1640000</v>
      </c>
      <c r="R40" s="216" t="s">
        <v>56</v>
      </c>
      <c r="S40" s="81"/>
    </row>
    <row r="41" spans="1:19" s="9" customFormat="1" ht="27" customHeight="1">
      <c r="A41" s="364"/>
      <c r="B41" s="327"/>
      <c r="C41" s="220" t="s">
        <v>316</v>
      </c>
      <c r="D41" s="220" t="s">
        <v>83</v>
      </c>
      <c r="E41" s="12"/>
      <c r="F41" s="12" t="s">
        <v>71</v>
      </c>
      <c r="G41" s="230"/>
      <c r="H41" s="222">
        <v>130300</v>
      </c>
      <c r="I41" s="222">
        <v>1362.9949999999999</v>
      </c>
      <c r="J41" s="10"/>
      <c r="K41" s="234"/>
      <c r="L41" s="14"/>
      <c r="M41" s="376"/>
      <c r="N41" s="87"/>
      <c r="O41" s="87"/>
      <c r="P41" s="98"/>
      <c r="Q41" s="329"/>
      <c r="R41" s="216"/>
      <c r="S41" s="81"/>
    </row>
    <row r="42" spans="1:19" s="9" customFormat="1" ht="27" customHeight="1">
      <c r="A42" s="364"/>
      <c r="B42" s="327"/>
      <c r="C42" s="220">
        <v>34</v>
      </c>
      <c r="D42" s="220" t="s">
        <v>187</v>
      </c>
      <c r="E42" s="12"/>
      <c r="F42" s="12" t="s">
        <v>71</v>
      </c>
      <c r="G42" s="230">
        <v>1020</v>
      </c>
      <c r="H42" s="222"/>
      <c r="I42" s="222"/>
      <c r="J42" s="116"/>
      <c r="K42" s="234"/>
      <c r="L42" s="366">
        <v>300000</v>
      </c>
      <c r="M42" s="87"/>
      <c r="N42" s="87"/>
      <c r="O42" s="87"/>
      <c r="P42" s="98"/>
      <c r="Q42" s="329"/>
      <c r="R42" s="201"/>
      <c r="S42" s="81"/>
    </row>
    <row r="43" spans="1:19" s="9" customFormat="1" ht="27" customHeight="1">
      <c r="A43" s="365"/>
      <c r="B43" s="302"/>
      <c r="C43" s="220">
        <v>25</v>
      </c>
      <c r="D43" s="220" t="s">
        <v>317</v>
      </c>
      <c r="E43" s="12"/>
      <c r="F43" s="12" t="s">
        <v>71</v>
      </c>
      <c r="G43" s="222">
        <v>60</v>
      </c>
      <c r="H43" s="222"/>
      <c r="I43" s="222"/>
      <c r="J43" s="116"/>
      <c r="K43" s="234"/>
      <c r="L43" s="368"/>
      <c r="M43" s="87"/>
      <c r="N43" s="87"/>
      <c r="O43" s="87"/>
      <c r="P43" s="98"/>
      <c r="Q43" s="306"/>
      <c r="R43" s="137"/>
      <c r="S43" s="81"/>
    </row>
    <row r="44" spans="1:19" s="9" customFormat="1" ht="27" customHeight="1">
      <c r="A44" s="223">
        <v>19</v>
      </c>
      <c r="B44" s="224" t="s">
        <v>252</v>
      </c>
      <c r="C44" s="220">
        <v>38</v>
      </c>
      <c r="D44" s="220" t="s">
        <v>79</v>
      </c>
      <c r="E44" s="12"/>
      <c r="F44" s="12" t="s">
        <v>80</v>
      </c>
      <c r="G44" s="222">
        <v>4080</v>
      </c>
      <c r="H44" s="77"/>
      <c r="I44" s="77"/>
      <c r="J44" s="116"/>
      <c r="K44" s="234"/>
      <c r="L44" s="14">
        <v>1300000</v>
      </c>
      <c r="M44" s="87"/>
      <c r="N44" s="87"/>
      <c r="O44" s="87"/>
      <c r="P44" s="98"/>
      <c r="Q44" s="123">
        <f t="shared" si="0"/>
        <v>1300000</v>
      </c>
      <c r="R44" s="249"/>
      <c r="S44" s="81"/>
    </row>
    <row r="45" spans="1:19" s="9" customFormat="1" ht="27" customHeight="1">
      <c r="A45" s="363">
        <v>20</v>
      </c>
      <c r="B45" s="301" t="s">
        <v>256</v>
      </c>
      <c r="C45" s="220">
        <v>9</v>
      </c>
      <c r="D45" s="220" t="s">
        <v>148</v>
      </c>
      <c r="E45" s="12"/>
      <c r="F45" s="12" t="s">
        <v>71</v>
      </c>
      <c r="G45" s="222"/>
      <c r="H45" s="222">
        <v>19800</v>
      </c>
      <c r="I45" s="222">
        <v>950.4</v>
      </c>
      <c r="J45" s="210"/>
      <c r="K45" s="223"/>
      <c r="L45" s="223"/>
      <c r="M45" s="14">
        <v>930000</v>
      </c>
      <c r="N45" s="14"/>
      <c r="O45" s="14"/>
      <c r="P45" s="18"/>
      <c r="Q45" s="305">
        <f>SUM(L45:P46)</f>
        <v>1530000</v>
      </c>
      <c r="R45" s="122"/>
      <c r="S45" s="81"/>
    </row>
    <row r="46" spans="1:19" s="9" customFormat="1" ht="27" customHeight="1">
      <c r="A46" s="365"/>
      <c r="B46" s="302"/>
      <c r="C46" s="220">
        <v>8</v>
      </c>
      <c r="D46" s="220" t="s">
        <v>70</v>
      </c>
      <c r="E46" s="12"/>
      <c r="F46" s="12" t="s">
        <v>71</v>
      </c>
      <c r="G46" s="222">
        <v>2377</v>
      </c>
      <c r="H46" s="222"/>
      <c r="I46" s="222"/>
      <c r="J46" s="217"/>
      <c r="K46" s="14"/>
      <c r="L46" s="14">
        <v>600000</v>
      </c>
      <c r="M46" s="14"/>
      <c r="N46" s="18"/>
      <c r="O46" s="18"/>
      <c r="P46" s="18"/>
      <c r="Q46" s="306"/>
      <c r="R46" s="117"/>
      <c r="S46" s="81"/>
    </row>
    <row r="47" spans="1:19" s="9" customFormat="1" ht="27" customHeight="1">
      <c r="A47" s="223">
        <v>21</v>
      </c>
      <c r="B47" s="224" t="s">
        <v>260</v>
      </c>
      <c r="C47" s="220">
        <v>13</v>
      </c>
      <c r="D47" s="220" t="s">
        <v>92</v>
      </c>
      <c r="E47" s="12"/>
      <c r="F47" s="12" t="s">
        <v>93</v>
      </c>
      <c r="G47" s="77"/>
      <c r="H47" s="222">
        <v>6000</v>
      </c>
      <c r="I47" s="222">
        <v>714</v>
      </c>
      <c r="J47" s="217"/>
      <c r="K47" s="223"/>
      <c r="L47" s="14"/>
      <c r="M47" s="14">
        <v>350000</v>
      </c>
      <c r="N47" s="14"/>
      <c r="O47" s="14"/>
      <c r="P47" s="18"/>
      <c r="Q47" s="123">
        <f t="shared" si="0"/>
        <v>350000</v>
      </c>
      <c r="R47" s="137"/>
      <c r="S47" s="81"/>
    </row>
    <row r="48" spans="1:19" s="9" customFormat="1" ht="27" customHeight="1">
      <c r="A48" s="223">
        <v>22</v>
      </c>
      <c r="B48" s="224" t="s">
        <v>263</v>
      </c>
      <c r="C48" s="220">
        <v>11</v>
      </c>
      <c r="D48" s="220" t="s">
        <v>52</v>
      </c>
      <c r="E48" s="12"/>
      <c r="F48" s="12" t="s">
        <v>93</v>
      </c>
      <c r="G48" s="77">
        <v>4062</v>
      </c>
      <c r="H48" s="77"/>
      <c r="I48" s="77"/>
      <c r="J48" s="217"/>
      <c r="K48" s="234"/>
      <c r="L48" s="14">
        <v>650000</v>
      </c>
      <c r="M48" s="14"/>
      <c r="N48" s="14">
        <v>680000</v>
      </c>
      <c r="O48" s="14"/>
      <c r="P48" s="18"/>
      <c r="Q48" s="123">
        <f t="shared" si="0"/>
        <v>1330000</v>
      </c>
      <c r="R48" s="241" t="s">
        <v>318</v>
      </c>
      <c r="S48" s="81"/>
    </row>
    <row r="49" spans="1:19" s="9" customFormat="1" ht="27" customHeight="1">
      <c r="A49" s="223">
        <v>23</v>
      </c>
      <c r="B49" s="224" t="s">
        <v>263</v>
      </c>
      <c r="C49" s="220" t="s">
        <v>319</v>
      </c>
      <c r="D49" s="220" t="s">
        <v>113</v>
      </c>
      <c r="E49" s="12"/>
      <c r="F49" s="12" t="s">
        <v>81</v>
      </c>
      <c r="G49" s="77"/>
      <c r="H49" s="222">
        <f>87400+40000</f>
        <v>127400</v>
      </c>
      <c r="I49" s="222">
        <v>1386.38</v>
      </c>
      <c r="J49" s="217"/>
      <c r="K49" s="234"/>
      <c r="L49" s="14"/>
      <c r="M49" s="14">
        <v>900000</v>
      </c>
      <c r="N49" s="14"/>
      <c r="O49" s="14"/>
      <c r="P49" s="18"/>
      <c r="Q49" s="123">
        <f t="shared" si="0"/>
        <v>900000</v>
      </c>
      <c r="R49" s="102" t="s">
        <v>320</v>
      </c>
      <c r="S49" s="81"/>
    </row>
    <row r="50" spans="1:19" s="9" customFormat="1" ht="27" customHeight="1">
      <c r="A50" s="223">
        <v>24</v>
      </c>
      <c r="B50" s="224" t="s">
        <v>263</v>
      </c>
      <c r="C50" s="220" t="s">
        <v>321</v>
      </c>
      <c r="D50" s="220" t="s">
        <v>73</v>
      </c>
      <c r="E50" s="12"/>
      <c r="F50" s="12" t="s">
        <v>66</v>
      </c>
      <c r="G50" s="222">
        <v>2500</v>
      </c>
      <c r="H50" s="77"/>
      <c r="I50" s="77"/>
      <c r="J50" s="217"/>
      <c r="K50" s="234"/>
      <c r="L50" s="14">
        <v>1100000</v>
      </c>
      <c r="M50" s="14"/>
      <c r="N50" s="14"/>
      <c r="O50" s="14"/>
      <c r="P50" s="18"/>
      <c r="Q50" s="123">
        <f t="shared" si="0"/>
        <v>1100000</v>
      </c>
      <c r="R50" s="137"/>
      <c r="S50" s="81"/>
    </row>
    <row r="51" spans="1:19" s="23" customFormat="1" ht="27" customHeight="1">
      <c r="A51" s="338" t="s">
        <v>20</v>
      </c>
      <c r="B51" s="338"/>
      <c r="C51" s="338"/>
      <c r="D51" s="338"/>
      <c r="E51" s="338"/>
      <c r="F51" s="338"/>
      <c r="G51" s="22">
        <f t="shared" ref="G51:Q51" si="1">SUM(G8:G50)</f>
        <v>34179.5</v>
      </c>
      <c r="H51" s="22">
        <f t="shared" si="1"/>
        <v>1758870</v>
      </c>
      <c r="I51" s="22">
        <f t="shared" si="1"/>
        <v>22218.316000000003</v>
      </c>
      <c r="J51" s="22">
        <f t="shared" si="1"/>
        <v>1876</v>
      </c>
      <c r="K51" s="22">
        <f t="shared" si="1"/>
        <v>0</v>
      </c>
      <c r="L51" s="22">
        <f t="shared" si="1"/>
        <v>11450000</v>
      </c>
      <c r="M51" s="22">
        <f t="shared" si="1"/>
        <v>19670000</v>
      </c>
      <c r="N51" s="22">
        <f t="shared" si="1"/>
        <v>680000</v>
      </c>
      <c r="O51" s="22">
        <f t="shared" si="1"/>
        <v>100000</v>
      </c>
      <c r="P51" s="22">
        <f t="shared" si="1"/>
        <v>1008400</v>
      </c>
      <c r="Q51" s="150">
        <f t="shared" si="1"/>
        <v>32908400</v>
      </c>
      <c r="R51" s="180"/>
      <c r="S51" s="270"/>
    </row>
    <row r="52" spans="1:19" s="23" customFormat="1" ht="27" customHeight="1">
      <c r="A52" s="336" t="s">
        <v>21</v>
      </c>
      <c r="B52" s="336"/>
      <c r="C52" s="336"/>
      <c r="D52" s="336"/>
      <c r="E52" s="336"/>
      <c r="F52" s="336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>
        <f>8%*Q51</f>
        <v>2632672</v>
      </c>
      <c r="R52" s="24"/>
      <c r="S52" s="231"/>
    </row>
    <row r="53" spans="1:19" s="23" customFormat="1" ht="27" customHeight="1">
      <c r="A53" s="336" t="s">
        <v>22</v>
      </c>
      <c r="B53" s="336"/>
      <c r="C53" s="336"/>
      <c r="D53" s="336"/>
      <c r="E53" s="336"/>
      <c r="F53" s="336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>
        <f>Q52+Q51</f>
        <v>35541072</v>
      </c>
      <c r="R53" s="180"/>
      <c r="S53" s="28"/>
    </row>
    <row r="54" spans="1:19" s="23" customFormat="1" ht="22.9" customHeight="1">
      <c r="A54" s="25"/>
      <c r="B54" s="154"/>
      <c r="C54" s="25"/>
      <c r="D54" s="25"/>
      <c r="E54" s="25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7"/>
      <c r="S54" s="28"/>
    </row>
    <row r="55" spans="1:19" s="23" customFormat="1" ht="19.149999999999999" customHeight="1">
      <c r="A55" s="337" t="s">
        <v>23</v>
      </c>
      <c r="B55" s="337"/>
      <c r="C55" s="337"/>
      <c r="D55" s="337"/>
      <c r="E55" s="337"/>
      <c r="F55" s="337"/>
      <c r="G55" s="29">
        <f>G51</f>
        <v>34179.5</v>
      </c>
      <c r="H55" s="29"/>
      <c r="I55" s="29"/>
      <c r="J55" s="29"/>
      <c r="K55" s="30">
        <f>G51+J51</f>
        <v>36055.5</v>
      </c>
      <c r="L55" s="29"/>
      <c r="M55" s="29"/>
      <c r="N55" s="29"/>
      <c r="O55" s="29"/>
      <c r="P55" s="29"/>
      <c r="Q55" s="29">
        <f>L51+N51</f>
        <v>12130000</v>
      </c>
      <c r="R55" s="31">
        <f>Q55/G55</f>
        <v>354.89108968826343</v>
      </c>
      <c r="S55" s="112"/>
    </row>
    <row r="56" spans="1:19" s="23" customFormat="1" ht="19.149999999999999" customHeight="1">
      <c r="A56" s="337" t="s">
        <v>24</v>
      </c>
      <c r="B56" s="337"/>
      <c r="C56" s="337"/>
      <c r="D56" s="337"/>
      <c r="E56" s="337"/>
      <c r="F56" s="337"/>
      <c r="G56" s="29"/>
      <c r="H56" s="29"/>
      <c r="I56" s="29">
        <f>I51</f>
        <v>22218.316000000003</v>
      </c>
      <c r="J56" s="29"/>
      <c r="K56" s="29"/>
      <c r="L56" s="29"/>
      <c r="M56" s="29"/>
      <c r="N56" s="29"/>
      <c r="O56" s="29"/>
      <c r="P56" s="29"/>
      <c r="Q56" s="29">
        <f>M51+O51</f>
        <v>19770000</v>
      </c>
      <c r="R56" s="31">
        <f>Q56/I56</f>
        <v>889.80641017077971</v>
      </c>
      <c r="S56" s="112"/>
    </row>
    <row r="57" spans="1:19" s="23" customFormat="1" ht="19.149999999999999" customHeight="1">
      <c r="A57" s="337" t="s">
        <v>25</v>
      </c>
      <c r="B57" s="337"/>
      <c r="C57" s="337"/>
      <c r="D57" s="337"/>
      <c r="E57" s="337"/>
      <c r="F57" s="337"/>
      <c r="G57" s="29"/>
      <c r="H57" s="29"/>
      <c r="I57" s="29"/>
      <c r="J57" s="29"/>
      <c r="K57" s="29"/>
      <c r="L57" s="29"/>
      <c r="M57" s="29"/>
      <c r="N57" s="29"/>
      <c r="O57" s="29"/>
      <c r="P57" s="29">
        <f>J51</f>
        <v>1876</v>
      </c>
      <c r="Q57" s="29">
        <f>P51</f>
        <v>1008400</v>
      </c>
      <c r="R57" s="31">
        <f>Q57/P57</f>
        <v>537.52665245202559</v>
      </c>
      <c r="S57" s="112"/>
    </row>
    <row r="58" spans="1:19" ht="19.149999999999999" customHeight="1">
      <c r="A58" s="33"/>
      <c r="B58" s="106"/>
      <c r="C58" s="3" t="s">
        <v>27</v>
      </c>
      <c r="D58" s="34"/>
      <c r="E58" s="35"/>
      <c r="F58" s="35"/>
      <c r="G58" s="36" t="s">
        <v>264</v>
      </c>
      <c r="H58" s="37"/>
      <c r="I58" s="37"/>
      <c r="J58" s="37"/>
      <c r="K58" s="38"/>
      <c r="L58" s="1"/>
      <c r="M58" s="1"/>
      <c r="N58" s="1"/>
      <c r="O58" s="1"/>
      <c r="P58" s="1"/>
      <c r="Q58" s="151" t="s">
        <v>28</v>
      </c>
    </row>
    <row r="59" spans="1:19" ht="19.149999999999999" customHeight="1">
      <c r="B59" s="106"/>
      <c r="D59" s="34"/>
      <c r="E59" s="39"/>
      <c r="F59" s="39"/>
      <c r="G59" s="40"/>
      <c r="H59" s="33"/>
      <c r="I59" s="34"/>
      <c r="J59" s="34"/>
      <c r="K59" s="34"/>
    </row>
    <row r="60" spans="1:19" s="8" customFormat="1" ht="19.149999999999999" customHeight="1">
      <c r="A60" s="1"/>
      <c r="B60" s="106"/>
      <c r="C60" s="3"/>
      <c r="D60" s="3"/>
      <c r="E60" s="3"/>
      <c r="F60" s="3"/>
      <c r="G60" s="41"/>
      <c r="Q60" s="133"/>
      <c r="S60" s="3"/>
    </row>
    <row r="61" spans="1:19">
      <c r="B61" s="106"/>
      <c r="E61" s="39"/>
      <c r="F61" s="39"/>
      <c r="G61" s="40"/>
      <c r="H61" s="33"/>
      <c r="I61" s="34"/>
      <c r="J61" s="34"/>
      <c r="K61" s="34"/>
    </row>
    <row r="62" spans="1:19" ht="18" customHeight="1">
      <c r="C62" s="47"/>
      <c r="G62" s="36" t="str">
        <f>'[1]A VIEN'!G66</f>
        <v>Đặng Thị Mỹ Tin</v>
      </c>
      <c r="H62" s="45"/>
      <c r="Q62" s="120" t="s">
        <v>127</v>
      </c>
    </row>
    <row r="63" spans="1:19" ht="18" customHeight="1"/>
    <row r="65" spans="18:18">
      <c r="R65" s="41" t="e">
        <f>+Q51+#REF!+#REF!+#REF!+#REF!+#REF!+#REF!+#REF!+#REF!</f>
        <v>#REF!</v>
      </c>
    </row>
  </sheetData>
  <mergeCells count="68">
    <mergeCell ref="A45:A46"/>
    <mergeCell ref="B45:B46"/>
    <mergeCell ref="Q45:Q46"/>
    <mergeCell ref="B33:B34"/>
    <mergeCell ref="M33:M34"/>
    <mergeCell ref="Q33:Q34"/>
    <mergeCell ref="A35:A37"/>
    <mergeCell ref="B35:B37"/>
    <mergeCell ref="L35:L36"/>
    <mergeCell ref="Q35:Q37"/>
    <mergeCell ref="A40:A43"/>
    <mergeCell ref="B40:B43"/>
    <mergeCell ref="M40:M41"/>
    <mergeCell ref="Q40:Q43"/>
    <mergeCell ref="L42:L43"/>
    <mergeCell ref="A57:F57"/>
    <mergeCell ref="A20:A22"/>
    <mergeCell ref="B20:B22"/>
    <mergeCell ref="L20:L21"/>
    <mergeCell ref="Q20:Q22"/>
    <mergeCell ref="A23:A25"/>
    <mergeCell ref="B23:B25"/>
    <mergeCell ref="M23:M24"/>
    <mergeCell ref="Q23:Q25"/>
    <mergeCell ref="A28:A29"/>
    <mergeCell ref="B28:B29"/>
    <mergeCell ref="Q28:Q29"/>
    <mergeCell ref="A30:A31"/>
    <mergeCell ref="B30:B31"/>
    <mergeCell ref="Q30:Q31"/>
    <mergeCell ref="A33:A34"/>
    <mergeCell ref="A51:F51"/>
    <mergeCell ref="A52:F52"/>
    <mergeCell ref="A53:F53"/>
    <mergeCell ref="A55:F55"/>
    <mergeCell ref="A56:F56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E6:E7"/>
    <mergeCell ref="F6:F7"/>
    <mergeCell ref="R5:R7"/>
    <mergeCell ref="N5:O6"/>
    <mergeCell ref="P5:P7"/>
    <mergeCell ref="H6:I6"/>
    <mergeCell ref="K5:K7"/>
    <mergeCell ref="L5:M6"/>
    <mergeCell ref="Q5:Q7"/>
    <mergeCell ref="A10:A12"/>
    <mergeCell ref="B10:B12"/>
    <mergeCell ref="Q10:Q12"/>
    <mergeCell ref="M11:M12"/>
    <mergeCell ref="A15:A18"/>
    <mergeCell ref="B15:B18"/>
    <mergeCell ref="M15:M18"/>
    <mergeCell ref="Q15:Q18"/>
    <mergeCell ref="M38:M39"/>
    <mergeCell ref="A38:A39"/>
    <mergeCell ref="B38:B39"/>
    <mergeCell ref="Q38:Q39"/>
    <mergeCell ref="M28:M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1"/>
  <sheetViews>
    <sheetView zoomScale="85" zoomScaleNormal="85" workbookViewId="0">
      <selection activeCell="S8" sqref="S1:S1048576"/>
    </sheetView>
  </sheetViews>
  <sheetFormatPr defaultColWidth="9.140625" defaultRowHeight="15"/>
  <cols>
    <col min="1" max="1" width="8.42578125" style="1" customWidth="1"/>
    <col min="2" max="2" width="12.7109375" style="107" customWidth="1"/>
    <col min="3" max="3" width="12.28515625" style="3" customWidth="1"/>
    <col min="4" max="4" width="21.7109375" style="3" customWidth="1"/>
    <col min="5" max="5" width="14.5703125" style="43" customWidth="1"/>
    <col min="6" max="6" width="17.28515625" style="44" customWidth="1"/>
    <col min="7" max="7" width="13.140625" style="37" customWidth="1"/>
    <col min="8" max="8" width="14.140625" style="48" customWidth="1"/>
    <col min="9" max="9" width="11.28515625" style="46" customWidth="1"/>
    <col min="10" max="10" width="13.5703125" style="46" customWidth="1"/>
    <col min="11" max="11" width="13.140625" style="7" customWidth="1"/>
    <col min="12" max="12" width="17.28515625" style="7" customWidth="1"/>
    <col min="13" max="13" width="15.85546875" style="7" customWidth="1"/>
    <col min="14" max="14" width="13.5703125" style="7" customWidth="1"/>
    <col min="15" max="15" width="13.7109375" style="7" customWidth="1"/>
    <col min="16" max="16" width="11" style="7" customWidth="1"/>
    <col min="17" max="17" width="15.28515625" style="120" customWidth="1"/>
    <col min="18" max="18" width="41.28515625" style="3" customWidth="1"/>
    <col min="19" max="19" width="16" style="1" customWidth="1"/>
    <col min="20" max="16384" width="9.140625" style="1"/>
  </cols>
  <sheetData>
    <row r="1" spans="1:19">
      <c r="A1" s="307" t="str">
        <f>'[1]A VIEN'!A1:Q1</f>
        <v xml:space="preserve">2025年09销路运费 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9" ht="18.75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</row>
    <row r="3" spans="1:19">
      <c r="A3" s="307" t="str">
        <f>'[1]A VIEN'!A3:Q3</f>
        <v xml:space="preserve"> THÁNG 09 NĂM 2025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</row>
    <row r="4" spans="1:19">
      <c r="A4" s="383" t="s">
        <v>45</v>
      </c>
      <c r="B4" s="383"/>
      <c r="C4" s="383"/>
      <c r="D4" s="2"/>
      <c r="E4" s="3"/>
      <c r="F4" s="3"/>
      <c r="G4" s="4"/>
      <c r="H4" s="5"/>
      <c r="I4" s="6"/>
      <c r="J4" s="6"/>
    </row>
    <row r="5" spans="1:19" s="9" customFormat="1" ht="29.25" customHeight="1">
      <c r="A5" s="295" t="s">
        <v>1</v>
      </c>
      <c r="B5" s="384" t="s">
        <v>2</v>
      </c>
      <c r="C5" s="295" t="s">
        <v>3</v>
      </c>
      <c r="D5" s="295" t="s">
        <v>4</v>
      </c>
      <c r="E5" s="311" t="s">
        <v>5</v>
      </c>
      <c r="F5" s="312"/>
      <c r="G5" s="313" t="s">
        <v>6</v>
      </c>
      <c r="H5" s="314"/>
      <c r="I5" s="314"/>
      <c r="J5" s="315"/>
      <c r="K5" s="316" t="s">
        <v>7</v>
      </c>
      <c r="L5" s="319" t="s">
        <v>8</v>
      </c>
      <c r="M5" s="320"/>
      <c r="N5" s="319" t="s">
        <v>9</v>
      </c>
      <c r="O5" s="320"/>
      <c r="P5" s="323" t="s">
        <v>10</v>
      </c>
      <c r="Q5" s="323" t="s">
        <v>11</v>
      </c>
      <c r="R5" s="387" t="s">
        <v>12</v>
      </c>
    </row>
    <row r="6" spans="1:19" s="9" customFormat="1" ht="23.25" customHeight="1">
      <c r="A6" s="310"/>
      <c r="B6" s="385"/>
      <c r="C6" s="310"/>
      <c r="D6" s="310"/>
      <c r="E6" s="295" t="s">
        <v>13</v>
      </c>
      <c r="F6" s="295" t="s">
        <v>14</v>
      </c>
      <c r="G6" s="233" t="s">
        <v>15</v>
      </c>
      <c r="H6" s="313" t="s">
        <v>16</v>
      </c>
      <c r="I6" s="315"/>
      <c r="J6" s="232" t="s">
        <v>17</v>
      </c>
      <c r="K6" s="317"/>
      <c r="L6" s="321"/>
      <c r="M6" s="322"/>
      <c r="N6" s="321"/>
      <c r="O6" s="322"/>
      <c r="P6" s="324"/>
      <c r="Q6" s="324"/>
      <c r="R6" s="388"/>
    </row>
    <row r="7" spans="1:19" s="9" customFormat="1" ht="25.9" customHeight="1">
      <c r="A7" s="296"/>
      <c r="B7" s="386"/>
      <c r="C7" s="296"/>
      <c r="D7" s="296"/>
      <c r="E7" s="296"/>
      <c r="F7" s="296"/>
      <c r="G7" s="233" t="s">
        <v>18</v>
      </c>
      <c r="H7" s="228" t="s">
        <v>19</v>
      </c>
      <c r="I7" s="232" t="s">
        <v>18</v>
      </c>
      <c r="J7" s="232" t="s">
        <v>18</v>
      </c>
      <c r="K7" s="318"/>
      <c r="L7" s="233" t="s">
        <v>15</v>
      </c>
      <c r="M7" s="10" t="s">
        <v>16</v>
      </c>
      <c r="N7" s="233" t="s">
        <v>15</v>
      </c>
      <c r="O7" s="93" t="s">
        <v>16</v>
      </c>
      <c r="P7" s="325"/>
      <c r="Q7" s="325"/>
      <c r="R7" s="389"/>
    </row>
    <row r="8" spans="1:19" s="103" customFormat="1" ht="23.45" customHeight="1">
      <c r="A8" s="363">
        <v>1</v>
      </c>
      <c r="B8" s="377" t="s">
        <v>208</v>
      </c>
      <c r="C8" s="239">
        <v>23</v>
      </c>
      <c r="D8" s="239" t="s">
        <v>107</v>
      </c>
      <c r="E8" s="236"/>
      <c r="F8" s="236" t="s">
        <v>78</v>
      </c>
      <c r="G8" s="240"/>
      <c r="H8" s="237">
        <v>29400</v>
      </c>
      <c r="I8" s="237">
        <v>1021.941</v>
      </c>
      <c r="J8" s="119"/>
      <c r="K8" s="119"/>
      <c r="L8" s="111"/>
      <c r="M8" s="381">
        <v>2300000</v>
      </c>
      <c r="N8" s="13"/>
      <c r="O8" s="13"/>
      <c r="P8" s="13"/>
      <c r="Q8" s="379">
        <f>SUM(L8:P9)</f>
        <v>2300000</v>
      </c>
      <c r="R8" s="137"/>
    </row>
    <row r="9" spans="1:19" s="103" customFormat="1" ht="23.45" customHeight="1">
      <c r="A9" s="365"/>
      <c r="B9" s="378"/>
      <c r="C9" s="239">
        <v>18</v>
      </c>
      <c r="D9" s="239" t="s">
        <v>65</v>
      </c>
      <c r="E9" s="236"/>
      <c r="F9" s="236" t="s">
        <v>190</v>
      </c>
      <c r="G9" s="240"/>
      <c r="H9" s="237">
        <v>24600</v>
      </c>
      <c r="I9" s="222">
        <v>772.05899999999997</v>
      </c>
      <c r="J9" s="119"/>
      <c r="K9" s="234"/>
      <c r="L9" s="111"/>
      <c r="M9" s="382"/>
      <c r="N9" s="11"/>
      <c r="O9" s="11"/>
      <c r="P9" s="11"/>
      <c r="Q9" s="380"/>
      <c r="R9" s="137"/>
    </row>
    <row r="10" spans="1:19" s="9" customFormat="1" ht="23.45" customHeight="1">
      <c r="A10" s="363">
        <v>2</v>
      </c>
      <c r="B10" s="377" t="s">
        <v>208</v>
      </c>
      <c r="C10" s="239" t="s">
        <v>322</v>
      </c>
      <c r="D10" s="239" t="s">
        <v>87</v>
      </c>
      <c r="E10" s="236"/>
      <c r="F10" s="236" t="s">
        <v>71</v>
      </c>
      <c r="G10" s="240"/>
      <c r="H10" s="237">
        <f>16500+124000</f>
        <v>140500</v>
      </c>
      <c r="I10" s="237">
        <f>509.025+2285.68</f>
        <v>2794.7049999999999</v>
      </c>
      <c r="J10" s="119"/>
      <c r="K10" s="119"/>
      <c r="L10" s="111"/>
      <c r="M10" s="20">
        <v>1500000</v>
      </c>
      <c r="N10" s="14"/>
      <c r="O10" s="14"/>
      <c r="P10" s="14"/>
      <c r="Q10" s="379">
        <f>SUM(L10:P11)</f>
        <v>1700000</v>
      </c>
      <c r="R10" s="117"/>
    </row>
    <row r="11" spans="1:19" s="9" customFormat="1" ht="23.45" customHeight="1">
      <c r="A11" s="365"/>
      <c r="B11" s="378"/>
      <c r="C11" s="239">
        <v>16</v>
      </c>
      <c r="D11" s="239" t="s">
        <v>128</v>
      </c>
      <c r="E11" s="236"/>
      <c r="F11" s="236" t="s">
        <v>71</v>
      </c>
      <c r="G11" s="240">
        <v>1020</v>
      </c>
      <c r="H11" s="237"/>
      <c r="I11" s="237"/>
      <c r="J11" s="119"/>
      <c r="K11" s="119"/>
      <c r="L11" s="111">
        <v>200000</v>
      </c>
      <c r="M11" s="20"/>
      <c r="N11" s="14"/>
      <c r="O11" s="14"/>
      <c r="P11" s="14"/>
      <c r="Q11" s="380"/>
      <c r="R11" s="117"/>
    </row>
    <row r="12" spans="1:19" s="9" customFormat="1" ht="25.9" customHeight="1">
      <c r="A12" s="363">
        <v>3</v>
      </c>
      <c r="B12" s="377" t="s">
        <v>215</v>
      </c>
      <c r="C12" s="236">
        <v>31</v>
      </c>
      <c r="D12" s="239" t="s">
        <v>88</v>
      </c>
      <c r="E12" s="236"/>
      <c r="F12" s="236" t="s">
        <v>69</v>
      </c>
      <c r="G12" s="237"/>
      <c r="H12" s="237">
        <v>97000</v>
      </c>
      <c r="I12" s="237">
        <v>2110.8009999999999</v>
      </c>
      <c r="J12" s="92"/>
      <c r="K12" s="92"/>
      <c r="L12" s="111"/>
      <c r="M12" s="381">
        <v>1500000</v>
      </c>
      <c r="N12" s="14"/>
      <c r="O12" s="14"/>
      <c r="P12" s="14"/>
      <c r="Q12" s="379">
        <f>SUM(L12:P13)</f>
        <v>1500000</v>
      </c>
      <c r="R12" s="82"/>
    </row>
    <row r="13" spans="1:19" s="9" customFormat="1" ht="23.45" customHeight="1">
      <c r="A13" s="365"/>
      <c r="B13" s="378"/>
      <c r="C13" s="236">
        <v>10</v>
      </c>
      <c r="D13" s="239" t="s">
        <v>189</v>
      </c>
      <c r="E13" s="236"/>
      <c r="F13" s="236" t="s">
        <v>100</v>
      </c>
      <c r="G13" s="240"/>
      <c r="H13" s="237">
        <v>6000</v>
      </c>
      <c r="I13" s="222">
        <v>426</v>
      </c>
      <c r="J13" s="92"/>
      <c r="K13" s="92"/>
      <c r="L13" s="111"/>
      <c r="M13" s="382"/>
      <c r="N13" s="223"/>
      <c r="O13" s="13"/>
      <c r="P13" s="13"/>
      <c r="Q13" s="380"/>
      <c r="R13" s="82"/>
      <c r="S13" s="49"/>
    </row>
    <row r="14" spans="1:19" s="9" customFormat="1" ht="23.45" customHeight="1">
      <c r="A14" s="223">
        <v>4</v>
      </c>
      <c r="B14" s="206" t="s">
        <v>215</v>
      </c>
      <c r="C14" s="239">
        <v>1</v>
      </c>
      <c r="D14" s="239" t="s">
        <v>52</v>
      </c>
      <c r="E14" s="236"/>
      <c r="F14" s="236" t="s">
        <v>93</v>
      </c>
      <c r="G14" s="240"/>
      <c r="H14" s="237">
        <v>27680</v>
      </c>
      <c r="I14" s="222">
        <v>977.16</v>
      </c>
      <c r="J14" s="92"/>
      <c r="K14" s="92"/>
      <c r="L14" s="221"/>
      <c r="M14" s="14">
        <v>650000</v>
      </c>
      <c r="N14" s="223"/>
      <c r="O14" s="13">
        <v>1000000</v>
      </c>
      <c r="P14" s="13"/>
      <c r="Q14" s="155">
        <f t="shared" ref="Q14:Q54" si="0">SUM(L14:P14)</f>
        <v>1650000</v>
      </c>
      <c r="R14" s="259" t="s">
        <v>323</v>
      </c>
      <c r="S14" s="200"/>
    </row>
    <row r="15" spans="1:19" s="9" customFormat="1" ht="22.9" customHeight="1">
      <c r="A15" s="223">
        <v>5</v>
      </c>
      <c r="B15" s="206" t="s">
        <v>216</v>
      </c>
      <c r="C15" s="12" t="s">
        <v>324</v>
      </c>
      <c r="D15" s="220" t="s">
        <v>113</v>
      </c>
      <c r="E15" s="12"/>
      <c r="F15" s="12" t="s">
        <v>81</v>
      </c>
      <c r="G15" s="222"/>
      <c r="H15" s="222">
        <f>120000+60000</f>
        <v>180000</v>
      </c>
      <c r="I15" s="222">
        <f>1578+923.94</f>
        <v>2501.94</v>
      </c>
      <c r="J15" s="119"/>
      <c r="K15" s="234"/>
      <c r="L15" s="76"/>
      <c r="M15" s="14">
        <v>1000000</v>
      </c>
      <c r="N15" s="11"/>
      <c r="O15" s="11"/>
      <c r="P15" s="11"/>
      <c r="Q15" s="155">
        <f t="shared" si="0"/>
        <v>1000000</v>
      </c>
      <c r="R15" s="212" t="s">
        <v>56</v>
      </c>
    </row>
    <row r="16" spans="1:19" s="9" customFormat="1" ht="23.45" customHeight="1">
      <c r="A16" s="223">
        <v>6</v>
      </c>
      <c r="B16" s="173" t="s">
        <v>217</v>
      </c>
      <c r="C16" s="236">
        <v>11</v>
      </c>
      <c r="D16" s="239" t="s">
        <v>99</v>
      </c>
      <c r="E16" s="236"/>
      <c r="F16" s="236" t="s">
        <v>49</v>
      </c>
      <c r="G16" s="237"/>
      <c r="H16" s="237">
        <v>93600</v>
      </c>
      <c r="I16" s="237">
        <v>2723.7</v>
      </c>
      <c r="J16" s="119"/>
      <c r="K16" s="119"/>
      <c r="L16" s="76"/>
      <c r="M16" s="14">
        <v>1400000</v>
      </c>
      <c r="N16" s="14"/>
      <c r="O16" s="14"/>
      <c r="P16" s="14"/>
      <c r="Q16" s="155">
        <f t="shared" si="0"/>
        <v>1400000</v>
      </c>
      <c r="R16" s="137"/>
    </row>
    <row r="17" spans="1:26" s="9" customFormat="1" ht="34.15" customHeight="1">
      <c r="A17" s="223">
        <v>7</v>
      </c>
      <c r="B17" s="206" t="s">
        <v>220</v>
      </c>
      <c r="C17" s="239">
        <v>3</v>
      </c>
      <c r="D17" s="239" t="s">
        <v>205</v>
      </c>
      <c r="E17" s="236"/>
      <c r="F17" s="236" t="s">
        <v>121</v>
      </c>
      <c r="G17" s="240"/>
      <c r="H17" s="237">
        <v>192000</v>
      </c>
      <c r="I17" s="252">
        <v>1747.2</v>
      </c>
      <c r="J17" s="119"/>
      <c r="K17" s="119"/>
      <c r="L17" s="76"/>
      <c r="M17" s="14">
        <v>2050000</v>
      </c>
      <c r="N17" s="14"/>
      <c r="O17" s="14">
        <v>1025000</v>
      </c>
      <c r="P17" s="14"/>
      <c r="Q17" s="155">
        <f t="shared" si="0"/>
        <v>3075000</v>
      </c>
      <c r="R17" s="271" t="s">
        <v>325</v>
      </c>
    </row>
    <row r="18" spans="1:26" s="9" customFormat="1" ht="23.45" customHeight="1">
      <c r="A18" s="223">
        <v>8</v>
      </c>
      <c r="B18" s="206" t="s">
        <v>222</v>
      </c>
      <c r="C18" s="239">
        <v>39</v>
      </c>
      <c r="D18" s="239" t="s">
        <v>87</v>
      </c>
      <c r="E18" s="236"/>
      <c r="F18" s="236" t="s">
        <v>71</v>
      </c>
      <c r="G18" s="240"/>
      <c r="H18" s="237">
        <v>139860</v>
      </c>
      <c r="I18" s="222">
        <v>3058.7109</v>
      </c>
      <c r="J18" s="119"/>
      <c r="K18" s="119"/>
      <c r="L18" s="76"/>
      <c r="M18" s="14">
        <v>1600000</v>
      </c>
      <c r="N18" s="14"/>
      <c r="O18" s="14"/>
      <c r="P18" s="14"/>
      <c r="Q18" s="155">
        <f t="shared" si="0"/>
        <v>1600000</v>
      </c>
      <c r="R18" s="137"/>
    </row>
    <row r="19" spans="1:26" s="9" customFormat="1" ht="23.45" customHeight="1">
      <c r="A19" s="363">
        <v>9</v>
      </c>
      <c r="B19" s="377" t="s">
        <v>224</v>
      </c>
      <c r="C19" s="236">
        <v>3</v>
      </c>
      <c r="D19" s="239" t="s">
        <v>85</v>
      </c>
      <c r="E19" s="236"/>
      <c r="F19" s="236" t="s">
        <v>78</v>
      </c>
      <c r="G19" s="237"/>
      <c r="H19" s="237">
        <v>20680</v>
      </c>
      <c r="I19" s="237">
        <v>429.74119999999999</v>
      </c>
      <c r="J19" s="119"/>
      <c r="K19" s="119"/>
      <c r="L19" s="76"/>
      <c r="M19" s="366">
        <v>2300000</v>
      </c>
      <c r="N19" s="14"/>
      <c r="O19" s="14">
        <f>129*500</f>
        <v>64500</v>
      </c>
      <c r="P19" s="14"/>
      <c r="Q19" s="379">
        <f>SUM(L19:P20)</f>
        <v>2364500</v>
      </c>
      <c r="R19" s="117" t="s">
        <v>326</v>
      </c>
    </row>
    <row r="20" spans="1:26" s="9" customFormat="1" ht="23.45" customHeight="1">
      <c r="A20" s="365"/>
      <c r="B20" s="378"/>
      <c r="C20" s="236">
        <v>5</v>
      </c>
      <c r="D20" s="239" t="s">
        <v>107</v>
      </c>
      <c r="E20" s="236"/>
      <c r="F20" s="236" t="s">
        <v>78</v>
      </c>
      <c r="G20" s="240"/>
      <c r="H20" s="237">
        <v>34560</v>
      </c>
      <c r="I20" s="237">
        <v>815.04</v>
      </c>
      <c r="J20" s="119"/>
      <c r="K20" s="92"/>
      <c r="L20" s="76"/>
      <c r="M20" s="368"/>
      <c r="N20" s="11"/>
      <c r="O20" s="11"/>
      <c r="P20" s="11"/>
      <c r="Q20" s="380"/>
      <c r="R20" s="137"/>
    </row>
    <row r="21" spans="1:26" s="9" customFormat="1" ht="23.45" customHeight="1">
      <c r="A21" s="363">
        <v>10</v>
      </c>
      <c r="B21" s="377" t="s">
        <v>225</v>
      </c>
      <c r="C21" s="239">
        <v>4</v>
      </c>
      <c r="D21" s="239" t="s">
        <v>144</v>
      </c>
      <c r="E21" s="236"/>
      <c r="F21" s="236" t="s">
        <v>66</v>
      </c>
      <c r="G21" s="240">
        <v>4855</v>
      </c>
      <c r="H21" s="237"/>
      <c r="I21" s="237"/>
      <c r="J21" s="119"/>
      <c r="K21" s="119"/>
      <c r="L21" s="76">
        <v>1200000</v>
      </c>
      <c r="M21" s="14"/>
      <c r="N21" s="14"/>
      <c r="O21" s="14"/>
      <c r="P21" s="14"/>
      <c r="Q21" s="379">
        <f>SUM(L21:P22)</f>
        <v>1600000</v>
      </c>
      <c r="R21" s="117"/>
    </row>
    <row r="22" spans="1:26" s="9" customFormat="1" ht="22.9" customHeight="1">
      <c r="A22" s="365"/>
      <c r="B22" s="378"/>
      <c r="C22" s="239">
        <v>21</v>
      </c>
      <c r="D22" s="239" t="s">
        <v>161</v>
      </c>
      <c r="E22" s="236"/>
      <c r="F22" s="236" t="s">
        <v>74</v>
      </c>
      <c r="G22" s="240"/>
      <c r="H22" s="237">
        <v>28320</v>
      </c>
      <c r="I22" s="237">
        <v>439.75400000000002</v>
      </c>
      <c r="J22" s="92"/>
      <c r="K22" s="119"/>
      <c r="L22" s="76"/>
      <c r="M22" s="14">
        <v>400000</v>
      </c>
      <c r="N22" s="14"/>
      <c r="O22" s="14"/>
      <c r="P22" s="14"/>
      <c r="Q22" s="380"/>
      <c r="R22" s="201"/>
      <c r="S22" s="81"/>
    </row>
    <row r="23" spans="1:26" s="103" customFormat="1" ht="23.45" customHeight="1">
      <c r="A23" s="223">
        <v>11</v>
      </c>
      <c r="B23" s="206" t="s">
        <v>327</v>
      </c>
      <c r="C23" s="239">
        <v>3</v>
      </c>
      <c r="D23" s="239" t="s">
        <v>86</v>
      </c>
      <c r="E23" s="236"/>
      <c r="F23" s="236" t="s">
        <v>34</v>
      </c>
      <c r="G23" s="240">
        <v>5200</v>
      </c>
      <c r="H23" s="237"/>
      <c r="I23" s="237"/>
      <c r="J23" s="10">
        <v>3184</v>
      </c>
      <c r="K23" s="11"/>
      <c r="L23" s="14">
        <v>1000000</v>
      </c>
      <c r="M23" s="14"/>
      <c r="N23" s="14">
        <v>600000</v>
      </c>
      <c r="O23" s="14"/>
      <c r="P23" s="14"/>
      <c r="Q23" s="155">
        <f t="shared" si="0"/>
        <v>1600000</v>
      </c>
      <c r="R23" s="272" t="s">
        <v>328</v>
      </c>
    </row>
    <row r="24" spans="1:26" s="9" customFormat="1" ht="23.45" customHeight="1">
      <c r="A24" s="363">
        <v>12</v>
      </c>
      <c r="B24" s="377" t="s">
        <v>227</v>
      </c>
      <c r="C24" s="239">
        <v>22</v>
      </c>
      <c r="D24" s="239" t="s">
        <v>99</v>
      </c>
      <c r="E24" s="236"/>
      <c r="F24" s="236" t="s">
        <v>49</v>
      </c>
      <c r="G24" s="240"/>
      <c r="H24" s="237">
        <v>64200</v>
      </c>
      <c r="I24" s="237">
        <v>2413.5408000000002</v>
      </c>
      <c r="J24" s="10"/>
      <c r="K24" s="11"/>
      <c r="L24" s="14"/>
      <c r="M24" s="366">
        <v>1500000</v>
      </c>
      <c r="N24" s="14"/>
      <c r="O24" s="14"/>
      <c r="P24" s="14"/>
      <c r="Q24" s="379">
        <f>SUM(L24:P25)</f>
        <v>1500000</v>
      </c>
      <c r="R24" s="137"/>
    </row>
    <row r="25" spans="1:26" s="9" customFormat="1" ht="23.45" customHeight="1">
      <c r="A25" s="365"/>
      <c r="B25" s="378"/>
      <c r="C25" s="220">
        <v>17</v>
      </c>
      <c r="D25" s="220" t="s">
        <v>133</v>
      </c>
      <c r="E25" s="12"/>
      <c r="F25" s="12" t="s">
        <v>53</v>
      </c>
      <c r="G25" s="77"/>
      <c r="H25" s="222">
        <v>110980</v>
      </c>
      <c r="I25" s="222">
        <v>445.49959999999999</v>
      </c>
      <c r="J25" s="92"/>
      <c r="K25" s="223"/>
      <c r="L25" s="14"/>
      <c r="M25" s="368"/>
      <c r="N25" s="11"/>
      <c r="O25" s="14"/>
      <c r="P25" s="14"/>
      <c r="Q25" s="380"/>
      <c r="R25" s="117"/>
    </row>
    <row r="26" spans="1:26" s="9" customFormat="1" ht="23.45" customHeight="1">
      <c r="A26" s="363">
        <v>13</v>
      </c>
      <c r="B26" s="377" t="s">
        <v>229</v>
      </c>
      <c r="C26" s="239">
        <v>16</v>
      </c>
      <c r="D26" s="239" t="s">
        <v>196</v>
      </c>
      <c r="E26" s="236"/>
      <c r="F26" s="236" t="s">
        <v>197</v>
      </c>
      <c r="G26" s="240">
        <v>4692</v>
      </c>
      <c r="H26" s="77"/>
      <c r="I26" s="77"/>
      <c r="J26" s="10"/>
      <c r="K26" s="11"/>
      <c r="L26" s="366">
        <v>2200000</v>
      </c>
      <c r="M26" s="14"/>
      <c r="N26" s="14"/>
      <c r="O26" s="14"/>
      <c r="P26" s="14"/>
      <c r="Q26" s="379">
        <f>SUM(L26:P27)</f>
        <v>2200000</v>
      </c>
      <c r="R26" s="137"/>
    </row>
    <row r="27" spans="1:26" s="9" customFormat="1" ht="23.45" customHeight="1">
      <c r="A27" s="365"/>
      <c r="B27" s="378"/>
      <c r="C27" s="220">
        <v>24</v>
      </c>
      <c r="D27" s="220" t="s">
        <v>160</v>
      </c>
      <c r="E27" s="12"/>
      <c r="F27" s="12" t="s">
        <v>76</v>
      </c>
      <c r="G27" s="77">
        <v>1000</v>
      </c>
      <c r="H27" s="77"/>
      <c r="I27" s="77"/>
      <c r="J27" s="10"/>
      <c r="K27" s="14"/>
      <c r="L27" s="368"/>
      <c r="M27" s="14"/>
      <c r="N27" s="11"/>
      <c r="O27" s="11"/>
      <c r="P27" s="11"/>
      <c r="Q27" s="380"/>
      <c r="R27" s="117"/>
    </row>
    <row r="28" spans="1:26" s="103" customFormat="1" ht="23.45" customHeight="1">
      <c r="A28" s="363">
        <v>14</v>
      </c>
      <c r="B28" s="377" t="s">
        <v>231</v>
      </c>
      <c r="C28" s="236">
        <v>4</v>
      </c>
      <c r="D28" s="239" t="s">
        <v>106</v>
      </c>
      <c r="E28" s="236"/>
      <c r="F28" s="236" t="s">
        <v>49</v>
      </c>
      <c r="G28" s="237">
        <v>4560</v>
      </c>
      <c r="H28" s="77"/>
      <c r="I28" s="77"/>
      <c r="J28" s="156"/>
      <c r="K28" s="14"/>
      <c r="L28" s="366">
        <v>1700000</v>
      </c>
      <c r="M28" s="14"/>
      <c r="N28" s="11"/>
      <c r="O28" s="11"/>
      <c r="P28" s="11"/>
      <c r="Q28" s="379">
        <f>SUM(L28:P29)</f>
        <v>1700000</v>
      </c>
      <c r="R28" s="137"/>
    </row>
    <row r="29" spans="1:26" s="9" customFormat="1" ht="23.45" customHeight="1">
      <c r="A29" s="365"/>
      <c r="B29" s="378"/>
      <c r="C29" s="236">
        <v>25</v>
      </c>
      <c r="D29" s="239" t="s">
        <v>70</v>
      </c>
      <c r="E29" s="236"/>
      <c r="F29" s="236" t="s">
        <v>71</v>
      </c>
      <c r="G29" s="237">
        <v>1003</v>
      </c>
      <c r="H29" s="77"/>
      <c r="I29" s="77"/>
      <c r="J29" s="156"/>
      <c r="K29" s="14"/>
      <c r="L29" s="368"/>
      <c r="M29" s="14"/>
      <c r="N29" s="101"/>
      <c r="O29" s="101"/>
      <c r="P29" s="118"/>
      <c r="Q29" s="380"/>
      <c r="R29" s="137"/>
    </row>
    <row r="30" spans="1:26" s="9" customFormat="1" ht="23.45" customHeight="1">
      <c r="A30" s="223">
        <v>15</v>
      </c>
      <c r="B30" s="206" t="s">
        <v>231</v>
      </c>
      <c r="C30" s="239" t="s">
        <v>329</v>
      </c>
      <c r="D30" s="239" t="s">
        <v>73</v>
      </c>
      <c r="E30" s="236"/>
      <c r="F30" s="236" t="s">
        <v>66</v>
      </c>
      <c r="G30" s="240">
        <v>2500</v>
      </c>
      <c r="H30" s="77"/>
      <c r="I30" s="77"/>
      <c r="J30" s="10"/>
      <c r="K30" s="116"/>
      <c r="L30" s="14">
        <v>1050000</v>
      </c>
      <c r="M30" s="87"/>
      <c r="N30" s="14">
        <v>200000</v>
      </c>
      <c r="O30" s="14"/>
      <c r="P30" s="14"/>
      <c r="Q30" s="155">
        <f t="shared" si="0"/>
        <v>1250000</v>
      </c>
      <c r="R30" s="137" t="s">
        <v>171</v>
      </c>
    </row>
    <row r="31" spans="1:26" s="9" customFormat="1" ht="26.45" customHeight="1">
      <c r="A31" s="223">
        <v>16</v>
      </c>
      <c r="B31" s="206" t="s">
        <v>232</v>
      </c>
      <c r="C31" s="239">
        <v>20</v>
      </c>
      <c r="D31" s="239" t="s">
        <v>205</v>
      </c>
      <c r="E31" s="236"/>
      <c r="F31" s="236" t="s">
        <v>121</v>
      </c>
      <c r="G31" s="240"/>
      <c r="H31" s="237">
        <v>192000</v>
      </c>
      <c r="I31" s="237">
        <v>1670.4</v>
      </c>
      <c r="J31" s="10"/>
      <c r="K31" s="116"/>
      <c r="L31" s="14"/>
      <c r="M31" s="14">
        <v>2050000</v>
      </c>
      <c r="N31" s="14"/>
      <c r="O31" s="14">
        <v>300000</v>
      </c>
      <c r="P31" s="14"/>
      <c r="Q31" s="155">
        <f t="shared" si="0"/>
        <v>2350000</v>
      </c>
      <c r="R31" s="259" t="s">
        <v>330</v>
      </c>
    </row>
    <row r="32" spans="1:26" s="9" customFormat="1" ht="23.45" customHeight="1">
      <c r="A32" s="363">
        <v>17</v>
      </c>
      <c r="B32" s="377" t="s">
        <v>236</v>
      </c>
      <c r="C32" s="236">
        <v>19</v>
      </c>
      <c r="D32" s="239" t="s">
        <v>331</v>
      </c>
      <c r="E32" s="236"/>
      <c r="F32" s="236" t="s">
        <v>193</v>
      </c>
      <c r="G32" s="237">
        <v>5997.9</v>
      </c>
      <c r="H32" s="77"/>
      <c r="I32" s="77"/>
      <c r="J32" s="156"/>
      <c r="K32" s="92"/>
      <c r="L32" s="366">
        <v>1400000</v>
      </c>
      <c r="M32" s="14"/>
      <c r="N32" s="14"/>
      <c r="O32" s="14"/>
      <c r="P32" s="14"/>
      <c r="Q32" s="379">
        <f>SUM(L32:P33)</f>
        <v>1400000</v>
      </c>
      <c r="R32" s="137"/>
      <c r="S32" s="103"/>
      <c r="T32" s="103"/>
      <c r="U32" s="103"/>
      <c r="V32" s="103"/>
      <c r="W32" s="103"/>
      <c r="X32" s="103"/>
      <c r="Y32" s="103"/>
      <c r="Z32" s="103"/>
    </row>
    <row r="33" spans="1:26" s="9" customFormat="1" ht="23.45" customHeight="1">
      <c r="A33" s="365"/>
      <c r="B33" s="378"/>
      <c r="C33" s="236">
        <v>43</v>
      </c>
      <c r="D33" s="239" t="s">
        <v>332</v>
      </c>
      <c r="E33" s="236"/>
      <c r="F33" s="236" t="s">
        <v>53</v>
      </c>
      <c r="G33" s="237">
        <v>720</v>
      </c>
      <c r="H33" s="77"/>
      <c r="I33" s="77"/>
      <c r="J33" s="156"/>
      <c r="K33" s="189"/>
      <c r="L33" s="368"/>
      <c r="M33" s="14"/>
      <c r="N33" s="189"/>
      <c r="O33" s="190"/>
      <c r="P33" s="14"/>
      <c r="Q33" s="380"/>
      <c r="R33" s="137"/>
      <c r="S33" s="103"/>
      <c r="T33" s="103"/>
      <c r="U33" s="103"/>
      <c r="V33" s="103"/>
      <c r="W33" s="103"/>
      <c r="X33" s="103"/>
      <c r="Y33" s="103"/>
      <c r="Z33" s="103"/>
    </row>
    <row r="34" spans="1:26" s="9" customFormat="1" ht="23.45" customHeight="1">
      <c r="A34" s="363">
        <v>18</v>
      </c>
      <c r="B34" s="377" t="s">
        <v>236</v>
      </c>
      <c r="C34" s="239" t="s">
        <v>169</v>
      </c>
      <c r="D34" s="239" t="s">
        <v>73</v>
      </c>
      <c r="E34" s="236"/>
      <c r="F34" s="236" t="s">
        <v>66</v>
      </c>
      <c r="G34" s="237">
        <v>3000</v>
      </c>
      <c r="H34" s="237"/>
      <c r="I34" s="237"/>
      <c r="J34" s="181"/>
      <c r="K34" s="92"/>
      <c r="L34" s="14">
        <v>700000</v>
      </c>
      <c r="M34" s="14"/>
      <c r="N34" s="14"/>
      <c r="O34" s="14"/>
      <c r="P34" s="14"/>
      <c r="Q34" s="379">
        <f>SUM(L34:P35)</f>
        <v>1550000</v>
      </c>
      <c r="R34" s="82" t="s">
        <v>58</v>
      </c>
    </row>
    <row r="35" spans="1:26" s="103" customFormat="1" ht="25.15" customHeight="1">
      <c r="A35" s="365"/>
      <c r="B35" s="378"/>
      <c r="C35" s="236" t="s">
        <v>329</v>
      </c>
      <c r="D35" s="239" t="s">
        <v>202</v>
      </c>
      <c r="E35" s="236"/>
      <c r="F35" s="236" t="s">
        <v>59</v>
      </c>
      <c r="G35" s="237"/>
      <c r="H35" s="237">
        <v>222400</v>
      </c>
      <c r="I35" s="252">
        <v>872.56399999999996</v>
      </c>
      <c r="J35" s="181"/>
      <c r="K35" s="92"/>
      <c r="L35" s="14"/>
      <c r="M35" s="14">
        <v>850000</v>
      </c>
      <c r="N35" s="14"/>
      <c r="O35" s="14"/>
      <c r="P35" s="14"/>
      <c r="Q35" s="380"/>
      <c r="R35" s="201"/>
      <c r="S35" s="81"/>
      <c r="T35" s="9"/>
      <c r="U35" s="9"/>
      <c r="V35" s="9"/>
      <c r="W35" s="9"/>
      <c r="X35" s="9"/>
      <c r="Y35" s="9"/>
      <c r="Z35" s="9"/>
    </row>
    <row r="36" spans="1:26" s="103" customFormat="1" ht="23.45" customHeight="1">
      <c r="A36" s="223">
        <v>19</v>
      </c>
      <c r="B36" s="206" t="s">
        <v>237</v>
      </c>
      <c r="C36" s="220" t="s">
        <v>333</v>
      </c>
      <c r="D36" s="220" t="s">
        <v>91</v>
      </c>
      <c r="E36" s="12"/>
      <c r="F36" s="12" t="s">
        <v>101</v>
      </c>
      <c r="G36" s="222"/>
      <c r="H36" s="222">
        <f>101000+45000</f>
        <v>146000</v>
      </c>
      <c r="I36" s="222">
        <f>606+270</f>
        <v>876</v>
      </c>
      <c r="J36" s="156"/>
      <c r="K36" s="92"/>
      <c r="L36" s="14"/>
      <c r="M36" s="14">
        <v>2200000</v>
      </c>
      <c r="N36" s="14"/>
      <c r="O36" s="14"/>
      <c r="P36" s="14"/>
      <c r="Q36" s="155">
        <f t="shared" si="0"/>
        <v>2200000</v>
      </c>
      <c r="R36" s="82"/>
      <c r="S36" s="9"/>
      <c r="T36" s="9"/>
      <c r="U36" s="9"/>
      <c r="V36" s="9"/>
      <c r="W36" s="9"/>
      <c r="X36" s="9"/>
      <c r="Y36" s="9"/>
      <c r="Z36" s="9"/>
    </row>
    <row r="37" spans="1:26" s="9" customFormat="1" ht="23.45" customHeight="1">
      <c r="A37" s="223">
        <v>20</v>
      </c>
      <c r="B37" s="206" t="s">
        <v>240</v>
      </c>
      <c r="C37" s="220">
        <v>16</v>
      </c>
      <c r="D37" s="220" t="s">
        <v>205</v>
      </c>
      <c r="E37" s="12"/>
      <c r="F37" s="12" t="s">
        <v>121</v>
      </c>
      <c r="G37" s="230"/>
      <c r="H37" s="222">
        <v>187200</v>
      </c>
      <c r="I37" s="222">
        <v>1703.52</v>
      </c>
      <c r="J37" s="156">
        <v>545</v>
      </c>
      <c r="K37" s="119"/>
      <c r="L37" s="14"/>
      <c r="M37" s="14">
        <v>2050000</v>
      </c>
      <c r="N37" s="14"/>
      <c r="O37" s="14"/>
      <c r="P37" s="14">
        <f>J37*400</f>
        <v>218000</v>
      </c>
      <c r="Q37" s="155">
        <f t="shared" si="0"/>
        <v>2268000</v>
      </c>
      <c r="R37" s="196" t="s">
        <v>334</v>
      </c>
      <c r="S37" s="103"/>
      <c r="T37" s="103"/>
      <c r="U37" s="103"/>
      <c r="V37" s="103"/>
      <c r="W37" s="103"/>
      <c r="X37" s="103"/>
      <c r="Y37" s="103"/>
      <c r="Z37" s="103"/>
    </row>
    <row r="38" spans="1:26" s="9" customFormat="1" ht="24.6" customHeight="1">
      <c r="A38" s="363">
        <v>21</v>
      </c>
      <c r="B38" s="377" t="s">
        <v>241</v>
      </c>
      <c r="C38" s="220">
        <v>45</v>
      </c>
      <c r="D38" s="220" t="s">
        <v>50</v>
      </c>
      <c r="E38" s="12"/>
      <c r="F38" s="12" t="s">
        <v>74</v>
      </c>
      <c r="G38" s="230"/>
      <c r="H38" s="222">
        <v>15000</v>
      </c>
      <c r="I38" s="222">
        <v>398.42380000000003</v>
      </c>
      <c r="J38" s="92"/>
      <c r="K38" s="119"/>
      <c r="L38" s="14"/>
      <c r="M38" s="366">
        <v>1200000</v>
      </c>
      <c r="N38" s="14"/>
      <c r="O38" s="14"/>
      <c r="P38" s="14"/>
      <c r="Q38" s="379">
        <f>SUM(L38:P40)</f>
        <v>1200000</v>
      </c>
      <c r="R38" s="137" t="s">
        <v>56</v>
      </c>
      <c r="S38" s="103"/>
      <c r="T38" s="103"/>
      <c r="U38" s="103"/>
      <c r="V38" s="103"/>
      <c r="W38" s="103"/>
      <c r="X38" s="103"/>
      <c r="Y38" s="103"/>
      <c r="Z38" s="103"/>
    </row>
    <row r="39" spans="1:26" s="9" customFormat="1" ht="23.45" customHeight="1">
      <c r="A39" s="364"/>
      <c r="B39" s="390"/>
      <c r="C39" s="220" t="s">
        <v>335</v>
      </c>
      <c r="D39" s="220" t="s">
        <v>133</v>
      </c>
      <c r="E39" s="12"/>
      <c r="F39" s="12" t="s">
        <v>53</v>
      </c>
      <c r="G39" s="230"/>
      <c r="H39" s="222">
        <f>20000+30600</f>
        <v>50600</v>
      </c>
      <c r="I39" s="222">
        <f>434+624.393</f>
        <v>1058.393</v>
      </c>
      <c r="J39" s="92"/>
      <c r="K39" s="119"/>
      <c r="L39" s="14"/>
      <c r="M39" s="367"/>
      <c r="N39" s="14"/>
      <c r="O39" s="14"/>
      <c r="P39" s="14"/>
      <c r="Q39" s="391"/>
      <c r="R39" s="82"/>
      <c r="S39" s="103"/>
      <c r="T39" s="103"/>
      <c r="U39" s="103"/>
      <c r="V39" s="103"/>
      <c r="W39" s="103"/>
      <c r="X39" s="103"/>
      <c r="Y39" s="103"/>
      <c r="Z39" s="103"/>
    </row>
    <row r="40" spans="1:26" s="103" customFormat="1" ht="25.15" customHeight="1">
      <c r="A40" s="365"/>
      <c r="B40" s="378"/>
      <c r="C40" s="220" t="s">
        <v>336</v>
      </c>
      <c r="D40" s="220" t="s">
        <v>113</v>
      </c>
      <c r="E40" s="12"/>
      <c r="F40" s="12" t="s">
        <v>53</v>
      </c>
      <c r="G40" s="222"/>
      <c r="H40" s="222">
        <f>41000+60000</f>
        <v>101000</v>
      </c>
      <c r="I40" s="222">
        <f>41000+923.94</f>
        <v>41923.94</v>
      </c>
      <c r="J40" s="92"/>
      <c r="K40" s="92"/>
      <c r="L40" s="14"/>
      <c r="M40" s="368"/>
      <c r="N40" s="14"/>
      <c r="O40" s="14"/>
      <c r="P40" s="14"/>
      <c r="Q40" s="380"/>
      <c r="R40" s="137"/>
    </row>
    <row r="41" spans="1:26" s="103" customFormat="1" ht="23.45" customHeight="1">
      <c r="A41" s="223">
        <v>22</v>
      </c>
      <c r="B41" s="206" t="s">
        <v>245</v>
      </c>
      <c r="C41" s="220">
        <v>22</v>
      </c>
      <c r="D41" s="220" t="s">
        <v>205</v>
      </c>
      <c r="E41" s="12"/>
      <c r="F41" s="12" t="s">
        <v>121</v>
      </c>
      <c r="G41" s="77"/>
      <c r="H41" s="222">
        <v>189000</v>
      </c>
      <c r="I41" s="222">
        <v>1719.9</v>
      </c>
      <c r="J41" s="10"/>
      <c r="K41" s="92"/>
      <c r="L41" s="14"/>
      <c r="M41" s="14">
        <v>2050000</v>
      </c>
      <c r="N41" s="14"/>
      <c r="O41" s="14"/>
      <c r="P41" s="14"/>
      <c r="Q41" s="155">
        <f t="shared" si="0"/>
        <v>2050000</v>
      </c>
      <c r="R41" s="201"/>
    </row>
    <row r="42" spans="1:26" s="103" customFormat="1" ht="23.45" customHeight="1">
      <c r="A42" s="363">
        <v>23</v>
      </c>
      <c r="B42" s="377" t="s">
        <v>248</v>
      </c>
      <c r="C42" s="220">
        <v>17</v>
      </c>
      <c r="D42" s="220" t="s">
        <v>77</v>
      </c>
      <c r="E42" s="12"/>
      <c r="F42" s="12" t="s">
        <v>82</v>
      </c>
      <c r="G42" s="230">
        <v>1000</v>
      </c>
      <c r="H42" s="77"/>
      <c r="I42" s="77"/>
      <c r="J42" s="92"/>
      <c r="K42" s="92"/>
      <c r="L42" s="366">
        <v>1950000</v>
      </c>
      <c r="M42" s="14"/>
      <c r="N42" s="14"/>
      <c r="O42" s="14"/>
      <c r="P42" s="14"/>
      <c r="Q42" s="379">
        <f t="shared" si="0"/>
        <v>1950000</v>
      </c>
      <c r="R42" s="82"/>
    </row>
    <row r="43" spans="1:26" s="103" customFormat="1" ht="23.45" customHeight="1">
      <c r="A43" s="365"/>
      <c r="B43" s="378"/>
      <c r="C43" s="220">
        <v>6</v>
      </c>
      <c r="D43" s="220" t="s">
        <v>79</v>
      </c>
      <c r="E43" s="12"/>
      <c r="F43" s="12" t="s">
        <v>80</v>
      </c>
      <c r="G43" s="230">
        <v>5040</v>
      </c>
      <c r="H43" s="77"/>
      <c r="I43" s="77"/>
      <c r="J43" s="92"/>
      <c r="K43" s="92"/>
      <c r="L43" s="368"/>
      <c r="M43" s="14"/>
      <c r="N43" s="14"/>
      <c r="O43" s="14"/>
      <c r="P43" s="14"/>
      <c r="Q43" s="380"/>
      <c r="R43" s="82"/>
    </row>
    <row r="44" spans="1:26" s="103" customFormat="1" ht="23.45" customHeight="1">
      <c r="A44" s="223">
        <v>24</v>
      </c>
      <c r="B44" s="206" t="s">
        <v>250</v>
      </c>
      <c r="C44" s="220">
        <v>8</v>
      </c>
      <c r="D44" s="220" t="s">
        <v>85</v>
      </c>
      <c r="E44" s="12"/>
      <c r="F44" s="12" t="s">
        <v>78</v>
      </c>
      <c r="G44" s="230"/>
      <c r="H44" s="222">
        <v>67200</v>
      </c>
      <c r="I44" s="222">
        <v>1498.3453999999999</v>
      </c>
      <c r="J44" s="92"/>
      <c r="K44" s="92"/>
      <c r="L44" s="14"/>
      <c r="M44" s="14">
        <v>2200000</v>
      </c>
      <c r="N44" s="14"/>
      <c r="O44" s="14">
        <f>81*500</f>
        <v>40500</v>
      </c>
      <c r="P44" s="14"/>
      <c r="Q44" s="155">
        <f t="shared" si="0"/>
        <v>2240500</v>
      </c>
      <c r="R44" s="137" t="s">
        <v>337</v>
      </c>
      <c r="S44" s="9"/>
      <c r="T44" s="9"/>
      <c r="U44" s="9"/>
      <c r="V44" s="9"/>
      <c r="W44" s="9"/>
      <c r="X44" s="9"/>
      <c r="Y44" s="9"/>
      <c r="Z44" s="9"/>
    </row>
    <row r="45" spans="1:26" s="103" customFormat="1" ht="23.45" customHeight="1">
      <c r="A45" s="363">
        <v>25</v>
      </c>
      <c r="B45" s="377" t="s">
        <v>252</v>
      </c>
      <c r="C45" s="220" t="s">
        <v>338</v>
      </c>
      <c r="D45" s="220" t="s">
        <v>83</v>
      </c>
      <c r="E45" s="12"/>
      <c r="F45" s="12" t="s">
        <v>51</v>
      </c>
      <c r="G45" s="77"/>
      <c r="H45" s="222">
        <v>133000</v>
      </c>
      <c r="I45" s="222">
        <v>1519.7506000000001</v>
      </c>
      <c r="J45" s="92"/>
      <c r="K45" s="14"/>
      <c r="L45" s="14"/>
      <c r="M45" s="366">
        <v>1800000</v>
      </c>
      <c r="N45" s="14"/>
      <c r="O45" s="14"/>
      <c r="P45" s="14"/>
      <c r="Q45" s="379">
        <f>SUM(L45:P46)</f>
        <v>1800000</v>
      </c>
      <c r="R45" s="137"/>
      <c r="S45" s="9"/>
      <c r="T45" s="9"/>
      <c r="U45" s="9"/>
      <c r="V45" s="9"/>
      <c r="W45" s="9"/>
      <c r="X45" s="9"/>
      <c r="Y45" s="9"/>
      <c r="Z45" s="9"/>
    </row>
    <row r="46" spans="1:26" s="9" customFormat="1" ht="23.45" customHeight="1">
      <c r="A46" s="365"/>
      <c r="B46" s="378"/>
      <c r="C46" s="12">
        <v>50</v>
      </c>
      <c r="D46" s="220" t="s">
        <v>339</v>
      </c>
      <c r="E46" s="12"/>
      <c r="F46" s="12" t="s">
        <v>82</v>
      </c>
      <c r="G46" s="222"/>
      <c r="H46" s="222">
        <v>48700</v>
      </c>
      <c r="I46" s="222">
        <v>1230.366</v>
      </c>
      <c r="J46" s="119"/>
      <c r="K46" s="119"/>
      <c r="L46" s="14"/>
      <c r="M46" s="368"/>
      <c r="N46" s="14"/>
      <c r="O46" s="14"/>
      <c r="P46" s="14"/>
      <c r="Q46" s="380"/>
      <c r="R46" s="82"/>
    </row>
    <row r="47" spans="1:26" s="103" customFormat="1" ht="23.45" customHeight="1">
      <c r="A47" s="223">
        <v>26</v>
      </c>
      <c r="B47" s="206" t="s">
        <v>340</v>
      </c>
      <c r="C47" s="220" t="s">
        <v>341</v>
      </c>
      <c r="D47" s="220" t="s">
        <v>87</v>
      </c>
      <c r="E47" s="12"/>
      <c r="F47" s="12" t="s">
        <v>71</v>
      </c>
      <c r="G47" s="230"/>
      <c r="H47" s="222">
        <v>108000</v>
      </c>
      <c r="I47" s="222">
        <v>2299.8164000000002</v>
      </c>
      <c r="J47" s="92"/>
      <c r="K47" s="92"/>
      <c r="L47" s="14"/>
      <c r="M47" s="14">
        <v>1650000</v>
      </c>
      <c r="N47" s="14"/>
      <c r="O47" s="14"/>
      <c r="P47" s="14"/>
      <c r="Q47" s="155">
        <f t="shared" si="0"/>
        <v>1650000</v>
      </c>
      <c r="R47" s="82" t="s">
        <v>56</v>
      </c>
      <c r="S47" s="9"/>
      <c r="T47" s="9"/>
      <c r="U47" s="9"/>
      <c r="V47" s="9"/>
      <c r="W47" s="9"/>
      <c r="X47" s="9"/>
      <c r="Y47" s="9"/>
      <c r="Z47" s="9"/>
    </row>
    <row r="48" spans="1:26" s="9" customFormat="1" ht="23.45" customHeight="1">
      <c r="A48" s="223">
        <v>27</v>
      </c>
      <c r="B48" s="206" t="s">
        <v>254</v>
      </c>
      <c r="C48" s="220">
        <v>14</v>
      </c>
      <c r="D48" s="220" t="s">
        <v>205</v>
      </c>
      <c r="E48" s="12"/>
      <c r="F48" s="12" t="s">
        <v>121</v>
      </c>
      <c r="G48" s="230"/>
      <c r="H48" s="222">
        <v>156000</v>
      </c>
      <c r="I48" s="222">
        <v>1357.2</v>
      </c>
      <c r="J48" s="92"/>
      <c r="K48" s="119"/>
      <c r="L48" s="14"/>
      <c r="M48" s="14">
        <v>2050000</v>
      </c>
      <c r="N48" s="14"/>
      <c r="O48" s="14"/>
      <c r="P48" s="14"/>
      <c r="Q48" s="155">
        <f t="shared" si="0"/>
        <v>2050000</v>
      </c>
      <c r="R48" s="137"/>
    </row>
    <row r="49" spans="1:26" s="9" customFormat="1" ht="23.45" customHeight="1">
      <c r="A49" s="223">
        <v>28</v>
      </c>
      <c r="B49" s="206" t="s">
        <v>256</v>
      </c>
      <c r="C49" s="220">
        <v>7</v>
      </c>
      <c r="D49" s="220" t="s">
        <v>75</v>
      </c>
      <c r="E49" s="12"/>
      <c r="F49" s="12" t="s">
        <v>81</v>
      </c>
      <c r="G49" s="77">
        <v>4742</v>
      </c>
      <c r="H49" s="222"/>
      <c r="I49" s="222"/>
      <c r="J49" s="119"/>
      <c r="K49" s="119"/>
      <c r="L49" s="14">
        <v>850000</v>
      </c>
      <c r="M49" s="14"/>
      <c r="N49" s="14"/>
      <c r="O49" s="14"/>
      <c r="P49" s="14"/>
      <c r="Q49" s="155">
        <f t="shared" si="0"/>
        <v>850000</v>
      </c>
      <c r="R49" s="137"/>
    </row>
    <row r="50" spans="1:26" s="9" customFormat="1" ht="23.45" customHeight="1">
      <c r="A50" s="223">
        <v>29</v>
      </c>
      <c r="B50" s="206" t="s">
        <v>256</v>
      </c>
      <c r="C50" s="220" t="s">
        <v>342</v>
      </c>
      <c r="D50" s="220" t="s">
        <v>99</v>
      </c>
      <c r="E50" s="12"/>
      <c r="F50" s="12" t="s">
        <v>49</v>
      </c>
      <c r="G50" s="77"/>
      <c r="H50" s="222">
        <v>98505</v>
      </c>
      <c r="I50" s="222">
        <v>1547.4478999999999</v>
      </c>
      <c r="J50" s="119"/>
      <c r="K50" s="119"/>
      <c r="L50" s="14"/>
      <c r="M50" s="14">
        <v>1400000</v>
      </c>
      <c r="N50" s="14"/>
      <c r="O50" s="14"/>
      <c r="P50" s="14"/>
      <c r="Q50" s="155">
        <f t="shared" si="0"/>
        <v>1400000</v>
      </c>
      <c r="R50" s="137" t="s">
        <v>112</v>
      </c>
    </row>
    <row r="51" spans="1:26" s="9" customFormat="1" ht="23.45" customHeight="1">
      <c r="A51" s="223">
        <v>30</v>
      </c>
      <c r="B51" s="206" t="s">
        <v>260</v>
      </c>
      <c r="C51" s="220">
        <v>31</v>
      </c>
      <c r="D51" s="220" t="s">
        <v>89</v>
      </c>
      <c r="E51" s="12"/>
      <c r="F51" s="12" t="s">
        <v>74</v>
      </c>
      <c r="G51" s="77"/>
      <c r="H51" s="222">
        <v>168900</v>
      </c>
      <c r="I51" s="222">
        <v>1210.463</v>
      </c>
      <c r="J51" s="10"/>
      <c r="K51" s="119"/>
      <c r="L51" s="14"/>
      <c r="M51" s="14">
        <v>700000</v>
      </c>
      <c r="N51" s="14"/>
      <c r="O51" s="14"/>
      <c r="P51" s="14"/>
      <c r="Q51" s="155">
        <f t="shared" si="0"/>
        <v>700000</v>
      </c>
      <c r="R51" s="137"/>
    </row>
    <row r="52" spans="1:26" s="9" customFormat="1" ht="23.45" customHeight="1">
      <c r="A52" s="223">
        <v>31</v>
      </c>
      <c r="B52" s="206" t="s">
        <v>260</v>
      </c>
      <c r="C52" s="220">
        <v>46</v>
      </c>
      <c r="D52" s="220" t="s">
        <v>339</v>
      </c>
      <c r="E52" s="12"/>
      <c r="F52" s="12" t="s">
        <v>82</v>
      </c>
      <c r="G52" s="77"/>
      <c r="H52" s="222">
        <v>149000</v>
      </c>
      <c r="I52" s="222">
        <v>2512.7258999999999</v>
      </c>
      <c r="J52" s="92"/>
      <c r="K52" s="119"/>
      <c r="L52" s="14"/>
      <c r="M52" s="14">
        <v>1700000</v>
      </c>
      <c r="N52" s="14"/>
      <c r="O52" s="14"/>
      <c r="P52" s="14"/>
      <c r="Q52" s="155">
        <f t="shared" si="0"/>
        <v>1700000</v>
      </c>
      <c r="R52" s="137"/>
    </row>
    <row r="53" spans="1:26" s="9" customFormat="1" ht="23.45" customHeight="1">
      <c r="A53" s="223">
        <v>32</v>
      </c>
      <c r="B53" s="206" t="s">
        <v>263</v>
      </c>
      <c r="C53" s="220">
        <v>19</v>
      </c>
      <c r="D53" s="220" t="s">
        <v>75</v>
      </c>
      <c r="E53" s="12"/>
      <c r="F53" s="12" t="s">
        <v>81</v>
      </c>
      <c r="G53" s="77">
        <v>6713</v>
      </c>
      <c r="H53" s="222"/>
      <c r="I53" s="222"/>
      <c r="J53" s="92"/>
      <c r="K53" s="119"/>
      <c r="L53" s="14">
        <v>950000</v>
      </c>
      <c r="M53" s="14"/>
      <c r="N53" s="14"/>
      <c r="O53" s="14"/>
      <c r="P53" s="14"/>
      <c r="Q53" s="155">
        <f t="shared" si="0"/>
        <v>950000</v>
      </c>
      <c r="R53" s="213"/>
    </row>
    <row r="54" spans="1:26" s="9" customFormat="1" ht="23.45" customHeight="1">
      <c r="A54" s="223">
        <v>33</v>
      </c>
      <c r="B54" s="206" t="s">
        <v>263</v>
      </c>
      <c r="C54" s="220" t="s">
        <v>204</v>
      </c>
      <c r="D54" s="220" t="s">
        <v>99</v>
      </c>
      <c r="E54" s="12"/>
      <c r="F54" s="12" t="s">
        <v>49</v>
      </c>
      <c r="G54" s="77"/>
      <c r="H54" s="222">
        <v>93180</v>
      </c>
      <c r="I54" s="222">
        <v>1957.8205</v>
      </c>
      <c r="J54" s="10"/>
      <c r="K54" s="119"/>
      <c r="L54" s="14"/>
      <c r="M54" s="14">
        <v>1400000</v>
      </c>
      <c r="N54" s="14"/>
      <c r="O54" s="14"/>
      <c r="P54" s="14"/>
      <c r="Q54" s="155">
        <f t="shared" si="0"/>
        <v>1400000</v>
      </c>
      <c r="R54" s="213" t="s">
        <v>201</v>
      </c>
    </row>
    <row r="55" spans="1:26" s="23" customFormat="1" ht="27" customHeight="1">
      <c r="A55" s="360" t="s">
        <v>20</v>
      </c>
      <c r="B55" s="361"/>
      <c r="C55" s="361"/>
      <c r="D55" s="361"/>
      <c r="E55" s="361"/>
      <c r="F55" s="362"/>
      <c r="G55" s="22">
        <f t="shared" ref="G55:Q55" si="1">SUM(G8:G54)</f>
        <v>52042.9</v>
      </c>
      <c r="H55" s="22">
        <f t="shared" si="1"/>
        <v>3315065</v>
      </c>
      <c r="I55" s="22">
        <f t="shared" si="1"/>
        <v>88034.869000000006</v>
      </c>
      <c r="J55" s="22">
        <f t="shared" si="1"/>
        <v>3729</v>
      </c>
      <c r="K55" s="22">
        <f t="shared" si="1"/>
        <v>0</v>
      </c>
      <c r="L55" s="22">
        <f t="shared" si="1"/>
        <v>13200000</v>
      </c>
      <c r="M55" s="22">
        <f t="shared" si="1"/>
        <v>39500000</v>
      </c>
      <c r="N55" s="22">
        <f t="shared" si="1"/>
        <v>800000</v>
      </c>
      <c r="O55" s="22">
        <f t="shared" si="1"/>
        <v>2430000</v>
      </c>
      <c r="P55" s="22">
        <f t="shared" si="1"/>
        <v>218000</v>
      </c>
      <c r="Q55" s="150">
        <f t="shared" si="1"/>
        <v>56148000</v>
      </c>
      <c r="R55" s="104"/>
      <c r="S55" s="112"/>
    </row>
    <row r="56" spans="1:26" s="23" customFormat="1" ht="26.45" customHeight="1">
      <c r="A56" s="357" t="s">
        <v>21</v>
      </c>
      <c r="B56" s="358"/>
      <c r="C56" s="358"/>
      <c r="D56" s="358"/>
      <c r="E56" s="358"/>
      <c r="F56" s="359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>
        <f>8%*Q55</f>
        <v>4491840</v>
      </c>
      <c r="R56" s="66"/>
      <c r="S56" s="32"/>
    </row>
    <row r="57" spans="1:26" s="23" customFormat="1" ht="21" customHeight="1">
      <c r="A57" s="357" t="s">
        <v>22</v>
      </c>
      <c r="B57" s="358"/>
      <c r="C57" s="358"/>
      <c r="D57" s="358"/>
      <c r="E57" s="358"/>
      <c r="F57" s="359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>
        <f>Q56+Q55</f>
        <v>60639840</v>
      </c>
      <c r="R57" s="67"/>
      <c r="S57" s="32"/>
    </row>
    <row r="58" spans="1:26" s="23" customFormat="1" ht="28.9" customHeight="1">
      <c r="A58" s="54"/>
      <c r="B58" s="105"/>
      <c r="C58" s="25"/>
      <c r="D58" s="25"/>
      <c r="E58" s="25"/>
      <c r="F58" s="25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50"/>
      <c r="S58" s="32"/>
    </row>
    <row r="59" spans="1:26" s="23" customFormat="1" ht="24.6" customHeight="1">
      <c r="A59" s="289" t="s">
        <v>23</v>
      </c>
      <c r="B59" s="290"/>
      <c r="C59" s="290"/>
      <c r="D59" s="290"/>
      <c r="E59" s="290"/>
      <c r="F59" s="291"/>
      <c r="G59" s="29">
        <f>G55</f>
        <v>52042.9</v>
      </c>
      <c r="H59" s="29"/>
      <c r="I59" s="29"/>
      <c r="J59" s="29"/>
      <c r="K59" s="30">
        <f>G55+J55</f>
        <v>55771.9</v>
      </c>
      <c r="L59" s="29"/>
      <c r="M59" s="29"/>
      <c r="N59" s="29"/>
      <c r="O59" s="29"/>
      <c r="P59" s="29"/>
      <c r="Q59" s="29">
        <f>L55+N55</f>
        <v>14000000</v>
      </c>
      <c r="R59" s="70">
        <f>Q59/G59</f>
        <v>269.00883694029346</v>
      </c>
      <c r="S59" s="1"/>
      <c r="T59" s="1"/>
      <c r="U59" s="1"/>
      <c r="V59" s="1"/>
      <c r="W59" s="1"/>
      <c r="X59" s="1"/>
      <c r="Y59" s="1"/>
      <c r="Z59" s="1"/>
    </row>
    <row r="60" spans="1:26" s="23" customFormat="1" ht="24.6" customHeight="1">
      <c r="A60" s="289" t="s">
        <v>24</v>
      </c>
      <c r="B60" s="290"/>
      <c r="C60" s="290"/>
      <c r="D60" s="290"/>
      <c r="E60" s="290"/>
      <c r="F60" s="291"/>
      <c r="G60" s="29"/>
      <c r="H60" s="29"/>
      <c r="I60" s="29">
        <f>I55</f>
        <v>88034.869000000006</v>
      </c>
      <c r="J60" s="29">
        <f>J55</f>
        <v>3729</v>
      </c>
      <c r="K60" s="29"/>
      <c r="L60" s="29"/>
      <c r="M60" s="29"/>
      <c r="N60" s="29"/>
      <c r="O60" s="29"/>
      <c r="P60" s="29"/>
      <c r="Q60" s="29">
        <f>M55+O55</f>
        <v>41930000</v>
      </c>
      <c r="R60" s="70">
        <f>Q60/I60</f>
        <v>476.28854880217972</v>
      </c>
      <c r="S60" s="1"/>
      <c r="T60" s="1"/>
      <c r="U60" s="1"/>
      <c r="V60" s="1"/>
      <c r="W60" s="1"/>
      <c r="X60" s="1"/>
      <c r="Y60" s="1"/>
      <c r="Z60" s="1"/>
    </row>
    <row r="61" spans="1:26" s="23" customFormat="1" ht="24.6" customHeight="1">
      <c r="A61" s="289" t="s">
        <v>25</v>
      </c>
      <c r="B61" s="290"/>
      <c r="C61" s="290"/>
      <c r="D61" s="290"/>
      <c r="E61" s="290"/>
      <c r="F61" s="291"/>
      <c r="G61" s="29"/>
      <c r="H61" s="29"/>
      <c r="I61" s="29"/>
      <c r="J61" s="29"/>
      <c r="K61" s="29"/>
      <c r="L61" s="29"/>
      <c r="M61" s="29"/>
      <c r="N61" s="29"/>
      <c r="O61" s="29"/>
      <c r="P61" s="29">
        <f>J55</f>
        <v>3729</v>
      </c>
      <c r="Q61" s="29">
        <f>P55</f>
        <v>218000</v>
      </c>
      <c r="R61" s="70">
        <f>Q61/P61</f>
        <v>58.460713327969962</v>
      </c>
      <c r="S61" s="8"/>
      <c r="T61" s="8"/>
      <c r="U61" s="8"/>
      <c r="V61" s="8"/>
      <c r="W61" s="8"/>
      <c r="X61" s="8"/>
      <c r="Y61" s="8"/>
      <c r="Z61" s="8"/>
    </row>
    <row r="62" spans="1:26">
      <c r="B62" s="106"/>
      <c r="C62" s="3" t="s">
        <v>27</v>
      </c>
      <c r="D62" s="34"/>
      <c r="E62" s="35"/>
      <c r="F62" s="35"/>
      <c r="G62" s="36" t="s">
        <v>264</v>
      </c>
      <c r="H62" s="37"/>
      <c r="I62" s="37"/>
      <c r="J62" s="37"/>
      <c r="K62" s="38"/>
      <c r="L62" s="1"/>
      <c r="M62" s="1"/>
      <c r="N62" s="1"/>
      <c r="O62" s="1"/>
      <c r="P62" s="1"/>
      <c r="Q62" s="151" t="s">
        <v>28</v>
      </c>
    </row>
    <row r="63" spans="1:26" ht="18" customHeight="1">
      <c r="B63" s="106"/>
      <c r="D63" s="34"/>
      <c r="E63" s="39"/>
      <c r="F63" s="39"/>
      <c r="G63" s="40"/>
      <c r="H63" s="33"/>
      <c r="I63" s="34"/>
      <c r="J63" s="34"/>
      <c r="K63" s="34"/>
    </row>
    <row r="64" spans="1:26" s="8" customFormat="1" ht="18" customHeight="1">
      <c r="A64" s="1"/>
      <c r="B64" s="106"/>
      <c r="C64" s="3"/>
      <c r="D64" s="3"/>
      <c r="E64" s="3"/>
      <c r="F64" s="3"/>
      <c r="G64" s="41"/>
      <c r="Q64" s="133"/>
      <c r="R64" s="3"/>
      <c r="S64" s="1"/>
      <c r="T64" s="1"/>
      <c r="U64" s="1"/>
      <c r="V64" s="1"/>
      <c r="W64" s="1"/>
      <c r="X64" s="1"/>
      <c r="Y64" s="1"/>
      <c r="Z64" s="1"/>
    </row>
    <row r="65" spans="2:18">
      <c r="B65" s="106"/>
      <c r="E65" s="39"/>
      <c r="F65" s="39"/>
      <c r="G65" s="40"/>
      <c r="H65" s="33"/>
      <c r="I65" s="34"/>
      <c r="J65" s="34"/>
      <c r="K65" s="34"/>
    </row>
    <row r="66" spans="2:18">
      <c r="H66" s="45"/>
      <c r="Q66" s="134"/>
    </row>
    <row r="67" spans="2:18">
      <c r="C67" s="47"/>
      <c r="G67" s="36" t="str">
        <f>'[1]A VIEN'!G66</f>
        <v>Đặng Thị Mỹ Tin</v>
      </c>
      <c r="H67" s="45"/>
      <c r="Q67" s="158" t="s">
        <v>47</v>
      </c>
    </row>
    <row r="69" spans="2:18">
      <c r="Q69" s="120" t="s">
        <v>62</v>
      </c>
    </row>
    <row r="70" spans="2:18">
      <c r="L70" s="7">
        <f>L55+'[1]A DANH'!L46+'[1]CHU HOANG'!L51+'[1]TU 2T'!K54</f>
        <v>39950000</v>
      </c>
      <c r="N70" s="7">
        <f>N55+'[1]A DANH'!N46+'[1]CHU HOANG'!N51+'[1]TU 2T'!O54</f>
        <v>1480000</v>
      </c>
      <c r="P70" s="7">
        <f>P55+'[1]A DANH'!P46+'[1]CHU HOANG'!P51</f>
        <v>4680000</v>
      </c>
      <c r="Q70" s="120">
        <f>Q55+'[1]A DANH'!Q46+'[1]CHU HOANG'!Q51+'[1]TU 2T'!P54</f>
        <v>191093500</v>
      </c>
      <c r="R70" s="51"/>
    </row>
    <row r="71" spans="2:18">
      <c r="L71" s="7">
        <f>L70+N71</f>
        <v>42820000</v>
      </c>
      <c r="N71" s="7">
        <v>2870000</v>
      </c>
    </row>
  </sheetData>
  <mergeCells count="74">
    <mergeCell ref="M38:M40"/>
    <mergeCell ref="A60:F60"/>
    <mergeCell ref="A61:F61"/>
    <mergeCell ref="L32:L33"/>
    <mergeCell ref="Q32:Q33"/>
    <mergeCell ref="A34:A35"/>
    <mergeCell ref="B34:B35"/>
    <mergeCell ref="Q34:Q35"/>
    <mergeCell ref="M45:M46"/>
    <mergeCell ref="A55:F55"/>
    <mergeCell ref="A56:F56"/>
    <mergeCell ref="A57:F57"/>
    <mergeCell ref="A59:F59"/>
    <mergeCell ref="A19:A20"/>
    <mergeCell ref="B19:B20"/>
    <mergeCell ref="M19:M20"/>
    <mergeCell ref="Q19:Q20"/>
    <mergeCell ref="A21:A22"/>
    <mergeCell ref="B21:B22"/>
    <mergeCell ref="Q21:Q22"/>
    <mergeCell ref="A28:A29"/>
    <mergeCell ref="B28:B29"/>
    <mergeCell ref="L28:L29"/>
    <mergeCell ref="Q28:Q29"/>
    <mergeCell ref="A45:A46"/>
    <mergeCell ref="B45:B46"/>
    <mergeCell ref="Q45:Q46"/>
    <mergeCell ref="A42:A43"/>
    <mergeCell ref="B42:B43"/>
    <mergeCell ref="L42:L43"/>
    <mergeCell ref="Q42:Q43"/>
    <mergeCell ref="A38:A40"/>
    <mergeCell ref="B38:B40"/>
    <mergeCell ref="Q38:Q40"/>
    <mergeCell ref="A32:A33"/>
    <mergeCell ref="B32:B33"/>
    <mergeCell ref="N5:O6"/>
    <mergeCell ref="R5:R7"/>
    <mergeCell ref="E6:E7"/>
    <mergeCell ref="F6:F7"/>
    <mergeCell ref="Q5:Q7"/>
    <mergeCell ref="H6:I6"/>
    <mergeCell ref="P5:P7"/>
    <mergeCell ref="A8:A9"/>
    <mergeCell ref="B8:B9"/>
    <mergeCell ref="M8:M9"/>
    <mergeCell ref="Q8:Q9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K5:K7"/>
    <mergeCell ref="L5:M6"/>
    <mergeCell ref="A10:A11"/>
    <mergeCell ref="B10:B11"/>
    <mergeCell ref="Q10:Q11"/>
    <mergeCell ref="A12:A13"/>
    <mergeCell ref="B12:B13"/>
    <mergeCell ref="M12:M13"/>
    <mergeCell ref="Q12:Q13"/>
    <mergeCell ref="A24:A25"/>
    <mergeCell ref="B24:B25"/>
    <mergeCell ref="M24:M25"/>
    <mergeCell ref="Q24:Q25"/>
    <mergeCell ref="A26:A27"/>
    <mergeCell ref="B26:B27"/>
    <mergeCell ref="L26:L27"/>
    <mergeCell ref="Q26:Q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62"/>
  <sheetViews>
    <sheetView topLeftCell="B1" zoomScale="85" zoomScaleNormal="85" workbookViewId="0">
      <selection activeCell="S31" sqref="S1:S1048576"/>
    </sheetView>
  </sheetViews>
  <sheetFormatPr defaultColWidth="9.140625" defaultRowHeight="15"/>
  <cols>
    <col min="1" max="1" width="7.28515625" style="1" customWidth="1"/>
    <col min="2" max="2" width="14.140625" style="107" customWidth="1"/>
    <col min="3" max="3" width="16.5703125" style="3" customWidth="1"/>
    <col min="4" max="4" width="21.28515625" style="3" customWidth="1"/>
    <col min="5" max="5" width="17" style="43" customWidth="1"/>
    <col min="6" max="6" width="17" style="44" customWidth="1"/>
    <col min="7" max="7" width="12.7109375" style="37" customWidth="1"/>
    <col min="8" max="8" width="14.28515625" style="48" customWidth="1"/>
    <col min="9" max="9" width="12.140625" style="46" customWidth="1"/>
    <col min="10" max="10" width="12.140625" style="195" customWidth="1"/>
    <col min="11" max="11" width="13.85546875" style="7" customWidth="1"/>
    <col min="12" max="12" width="16" style="7" customWidth="1"/>
    <col min="13" max="16" width="14.5703125" style="7" customWidth="1"/>
    <col min="17" max="17" width="18.28515625" style="120" customWidth="1"/>
    <col min="18" max="18" width="40.28515625" style="8" customWidth="1"/>
    <col min="19" max="19" width="18.42578125" style="1" customWidth="1"/>
    <col min="20" max="16384" width="9.140625" style="1"/>
  </cols>
  <sheetData>
    <row r="1" spans="1:19">
      <c r="A1" s="307" t="str">
        <f>'[1]A VIEN'!A1:Q1</f>
        <v xml:space="preserve">2025年09销路运费 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9" ht="13.5" customHeight="1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</row>
    <row r="3" spans="1:19">
      <c r="A3" s="307" t="str">
        <f>'[1]A VIEN'!A3:Q3</f>
        <v xml:space="preserve"> THÁNG 09 NĂM 2025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</row>
    <row r="4" spans="1:19">
      <c r="A4" s="371" t="s">
        <v>122</v>
      </c>
      <c r="B4" s="371"/>
      <c r="C4" s="371"/>
      <c r="D4" s="2"/>
      <c r="E4" s="3"/>
      <c r="F4" s="3"/>
      <c r="G4" s="4"/>
      <c r="H4" s="5"/>
      <c r="I4" s="6"/>
      <c r="J4" s="192"/>
    </row>
    <row r="5" spans="1:19" s="9" customFormat="1" ht="29.25" customHeight="1">
      <c r="A5" s="344" t="s">
        <v>1</v>
      </c>
      <c r="B5" s="345" t="s">
        <v>2</v>
      </c>
      <c r="C5" s="344" t="s">
        <v>3</v>
      </c>
      <c r="D5" s="344" t="s">
        <v>4</v>
      </c>
      <c r="E5" s="344" t="s">
        <v>5</v>
      </c>
      <c r="F5" s="344"/>
      <c r="G5" s="313" t="s">
        <v>6</v>
      </c>
      <c r="H5" s="314"/>
      <c r="I5" s="314"/>
      <c r="J5" s="315"/>
      <c r="K5" s="347" t="s">
        <v>7</v>
      </c>
      <c r="L5" s="319" t="s">
        <v>8</v>
      </c>
      <c r="M5" s="320"/>
      <c r="N5" s="350" t="s">
        <v>9</v>
      </c>
      <c r="O5" s="350"/>
      <c r="P5" s="323" t="s">
        <v>10</v>
      </c>
      <c r="Q5" s="350" t="s">
        <v>11</v>
      </c>
      <c r="R5" s="372" t="s">
        <v>12</v>
      </c>
    </row>
    <row r="6" spans="1:19" s="9" customFormat="1" ht="23.25" customHeight="1">
      <c r="A6" s="344"/>
      <c r="B6" s="345"/>
      <c r="C6" s="344"/>
      <c r="D6" s="344"/>
      <c r="E6" s="344" t="s">
        <v>13</v>
      </c>
      <c r="F6" s="344" t="s">
        <v>14</v>
      </c>
      <c r="G6" s="233" t="s">
        <v>15</v>
      </c>
      <c r="H6" s="346" t="s">
        <v>16</v>
      </c>
      <c r="I6" s="346"/>
      <c r="J6" s="233" t="s">
        <v>17</v>
      </c>
      <c r="K6" s="347"/>
      <c r="L6" s="348"/>
      <c r="M6" s="349"/>
      <c r="N6" s="350"/>
      <c r="O6" s="350"/>
      <c r="P6" s="324"/>
      <c r="Q6" s="350"/>
      <c r="R6" s="372"/>
    </row>
    <row r="7" spans="1:19" s="9" customFormat="1" ht="22.5" customHeight="1">
      <c r="A7" s="344"/>
      <c r="B7" s="345"/>
      <c r="C7" s="344"/>
      <c r="D7" s="344"/>
      <c r="E7" s="344"/>
      <c r="F7" s="344"/>
      <c r="G7" s="233" t="s">
        <v>18</v>
      </c>
      <c r="H7" s="228" t="s">
        <v>19</v>
      </c>
      <c r="I7" s="232" t="s">
        <v>18</v>
      </c>
      <c r="J7" s="233" t="s">
        <v>18</v>
      </c>
      <c r="K7" s="347"/>
      <c r="L7" s="233" t="s">
        <v>15</v>
      </c>
      <c r="M7" s="10" t="s">
        <v>16</v>
      </c>
      <c r="N7" s="233" t="s">
        <v>15</v>
      </c>
      <c r="O7" s="93" t="s">
        <v>16</v>
      </c>
      <c r="P7" s="324"/>
      <c r="Q7" s="350"/>
      <c r="R7" s="372"/>
    </row>
    <row r="8" spans="1:19" s="103" customFormat="1" ht="25.9" customHeight="1">
      <c r="A8" s="363">
        <v>1</v>
      </c>
      <c r="B8" s="377" t="s">
        <v>208</v>
      </c>
      <c r="C8" s="239" t="s">
        <v>343</v>
      </c>
      <c r="D8" s="239" t="s">
        <v>99</v>
      </c>
      <c r="E8" s="236"/>
      <c r="F8" s="236" t="s">
        <v>49</v>
      </c>
      <c r="G8" s="240">
        <v>95</v>
      </c>
      <c r="H8" s="237">
        <f>19955+51000</f>
        <v>70955</v>
      </c>
      <c r="I8" s="237">
        <f>770.2028+1326</f>
        <v>2096.2028</v>
      </c>
      <c r="J8" s="10"/>
      <c r="K8" s="223"/>
      <c r="L8" s="20"/>
      <c r="M8" s="381">
        <v>1850000</v>
      </c>
      <c r="N8" s="14"/>
      <c r="O8" s="14"/>
      <c r="P8" s="14"/>
      <c r="Q8" s="305">
        <f>SUM(L8:P9)</f>
        <v>1850000</v>
      </c>
      <c r="R8" s="169"/>
    </row>
    <row r="9" spans="1:19" s="103" customFormat="1" ht="27" customHeight="1">
      <c r="A9" s="365"/>
      <c r="B9" s="378"/>
      <c r="C9" s="239">
        <v>28</v>
      </c>
      <c r="D9" s="239" t="s">
        <v>207</v>
      </c>
      <c r="E9" s="236"/>
      <c r="F9" s="236" t="s">
        <v>80</v>
      </c>
      <c r="G9" s="240"/>
      <c r="H9" s="237">
        <v>95000</v>
      </c>
      <c r="I9" s="237">
        <v>864.5</v>
      </c>
      <c r="J9" s="10"/>
      <c r="K9" s="223"/>
      <c r="L9" s="20"/>
      <c r="M9" s="382"/>
      <c r="N9" s="14"/>
      <c r="O9" s="14"/>
      <c r="P9" s="14"/>
      <c r="Q9" s="306"/>
      <c r="R9" s="211"/>
      <c r="S9" s="250"/>
    </row>
    <row r="10" spans="1:19" s="103" customFormat="1" ht="25.9" customHeight="1">
      <c r="A10" s="363">
        <v>2</v>
      </c>
      <c r="B10" s="377" t="s">
        <v>210</v>
      </c>
      <c r="C10" s="239">
        <v>9</v>
      </c>
      <c r="D10" s="239" t="s">
        <v>85</v>
      </c>
      <c r="E10" s="236"/>
      <c r="F10" s="236" t="s">
        <v>78</v>
      </c>
      <c r="G10" s="240"/>
      <c r="H10" s="237">
        <v>46900</v>
      </c>
      <c r="I10" s="237">
        <v>1127.8543999999999</v>
      </c>
      <c r="J10" s="10"/>
      <c r="K10" s="223"/>
      <c r="L10" s="20"/>
      <c r="M10" s="381">
        <v>2600000</v>
      </c>
      <c r="N10" s="14"/>
      <c r="O10" s="14">
        <f>63*500</f>
        <v>31500</v>
      </c>
      <c r="P10" s="76"/>
      <c r="Q10" s="305">
        <f>SUM(L10:P11)</f>
        <v>2631500</v>
      </c>
      <c r="R10" s="177" t="s">
        <v>344</v>
      </c>
    </row>
    <row r="11" spans="1:19" s="103" customFormat="1" ht="25.9" customHeight="1">
      <c r="A11" s="365"/>
      <c r="B11" s="378"/>
      <c r="C11" s="239">
        <v>12</v>
      </c>
      <c r="D11" s="239" t="s">
        <v>107</v>
      </c>
      <c r="E11" s="236"/>
      <c r="F11" s="236" t="s">
        <v>78</v>
      </c>
      <c r="G11" s="240"/>
      <c r="H11" s="237">
        <v>36000</v>
      </c>
      <c r="I11" s="237">
        <v>1305.24</v>
      </c>
      <c r="J11" s="10"/>
      <c r="K11" s="223"/>
      <c r="L11" s="20"/>
      <c r="M11" s="382"/>
      <c r="N11" s="14"/>
      <c r="O11" s="14"/>
      <c r="P11" s="76"/>
      <c r="Q11" s="306"/>
      <c r="R11" s="140"/>
    </row>
    <row r="12" spans="1:19" s="103" customFormat="1" ht="27" customHeight="1">
      <c r="A12" s="223">
        <v>3</v>
      </c>
      <c r="B12" s="206" t="s">
        <v>215</v>
      </c>
      <c r="C12" s="239" t="s">
        <v>179</v>
      </c>
      <c r="D12" s="239" t="s">
        <v>87</v>
      </c>
      <c r="E12" s="236"/>
      <c r="F12" s="236" t="s">
        <v>71</v>
      </c>
      <c r="G12" s="240"/>
      <c r="H12" s="237">
        <f>111105+102330</f>
        <v>213435</v>
      </c>
      <c r="I12" s="222">
        <f>1056.72+1531.5953</f>
        <v>2588.3153000000002</v>
      </c>
      <c r="J12" s="10"/>
      <c r="K12" s="223"/>
      <c r="L12" s="20"/>
      <c r="M12" s="14">
        <v>2000000</v>
      </c>
      <c r="N12" s="14"/>
      <c r="O12" s="14"/>
      <c r="P12" s="76"/>
      <c r="Q12" s="123">
        <f t="shared" ref="Q12:Q45" si="0">SUM(L12:P12)</f>
        <v>2000000</v>
      </c>
      <c r="R12" s="137" t="s">
        <v>56</v>
      </c>
    </row>
    <row r="13" spans="1:19" s="108" customFormat="1" ht="25.9" customHeight="1">
      <c r="A13" s="223">
        <v>4</v>
      </c>
      <c r="B13" s="206" t="s">
        <v>216</v>
      </c>
      <c r="C13" s="239">
        <v>6</v>
      </c>
      <c r="D13" s="239" t="s">
        <v>138</v>
      </c>
      <c r="E13" s="236"/>
      <c r="F13" s="236" t="s">
        <v>51</v>
      </c>
      <c r="G13" s="240"/>
      <c r="H13" s="237">
        <v>140410</v>
      </c>
      <c r="I13" s="222">
        <v>2918.9160000000002</v>
      </c>
      <c r="J13" s="181"/>
      <c r="K13" s="223"/>
      <c r="L13" s="76"/>
      <c r="M13" s="76">
        <v>1850000</v>
      </c>
      <c r="N13" s="76"/>
      <c r="O13" s="76"/>
      <c r="P13" s="76"/>
      <c r="Q13" s="123">
        <f t="shared" si="0"/>
        <v>1850000</v>
      </c>
      <c r="R13" s="137" t="s">
        <v>56</v>
      </c>
    </row>
    <row r="14" spans="1:19" s="109" customFormat="1" ht="25.9" customHeight="1">
      <c r="A14" s="223">
        <v>5</v>
      </c>
      <c r="B14" s="206" t="s">
        <v>217</v>
      </c>
      <c r="C14" s="239">
        <v>23</v>
      </c>
      <c r="D14" s="239" t="s">
        <v>198</v>
      </c>
      <c r="E14" s="236"/>
      <c r="F14" s="236" t="s">
        <v>57</v>
      </c>
      <c r="G14" s="240">
        <v>5027</v>
      </c>
      <c r="H14" s="237"/>
      <c r="I14" s="237"/>
      <c r="J14" s="181"/>
      <c r="K14" s="223"/>
      <c r="L14" s="76">
        <v>1400000</v>
      </c>
      <c r="M14" s="76"/>
      <c r="N14" s="76"/>
      <c r="O14" s="76"/>
      <c r="P14" s="76"/>
      <c r="Q14" s="123">
        <f t="shared" si="0"/>
        <v>1400000</v>
      </c>
      <c r="R14" s="137"/>
    </row>
    <row r="15" spans="1:19" s="103" customFormat="1" ht="25.9" customHeight="1">
      <c r="A15" s="223">
        <v>6</v>
      </c>
      <c r="B15" s="206" t="s">
        <v>217</v>
      </c>
      <c r="C15" s="239" t="s">
        <v>345</v>
      </c>
      <c r="D15" s="239" t="s">
        <v>87</v>
      </c>
      <c r="E15" s="236"/>
      <c r="F15" s="236" t="s">
        <v>71</v>
      </c>
      <c r="G15" s="240"/>
      <c r="H15" s="237">
        <f>9600+61830+75600</f>
        <v>147030</v>
      </c>
      <c r="I15" s="237">
        <f>195.888+1167.8955+1203.96</f>
        <v>2567.7435</v>
      </c>
      <c r="J15" s="10"/>
      <c r="K15" s="223"/>
      <c r="L15" s="17"/>
      <c r="M15" s="76">
        <v>1950000</v>
      </c>
      <c r="N15" s="14"/>
      <c r="O15" s="14"/>
      <c r="P15" s="76"/>
      <c r="Q15" s="123">
        <f t="shared" si="0"/>
        <v>1950000</v>
      </c>
      <c r="R15" s="137" t="s">
        <v>112</v>
      </c>
    </row>
    <row r="16" spans="1:19" s="103" customFormat="1" ht="25.9" customHeight="1">
      <c r="A16" s="223">
        <v>7</v>
      </c>
      <c r="B16" s="206" t="s">
        <v>220</v>
      </c>
      <c r="C16" s="236">
        <v>10</v>
      </c>
      <c r="D16" s="239" t="s">
        <v>98</v>
      </c>
      <c r="E16" s="236"/>
      <c r="F16" s="236" t="s">
        <v>71</v>
      </c>
      <c r="G16" s="237"/>
      <c r="H16" s="237">
        <v>733300</v>
      </c>
      <c r="I16" s="237">
        <v>3277.4074000000001</v>
      </c>
      <c r="J16" s="10"/>
      <c r="K16" s="223"/>
      <c r="L16" s="20"/>
      <c r="M16" s="17">
        <v>1950000</v>
      </c>
      <c r="N16" s="14"/>
      <c r="O16" s="14"/>
      <c r="P16" s="76"/>
      <c r="Q16" s="123">
        <f t="shared" si="0"/>
        <v>1950000</v>
      </c>
      <c r="R16" s="82"/>
    </row>
    <row r="17" spans="1:19" s="103" customFormat="1" ht="25.15" customHeight="1">
      <c r="A17" s="223">
        <v>8</v>
      </c>
      <c r="B17" s="206" t="s">
        <v>222</v>
      </c>
      <c r="C17" s="239">
        <v>22</v>
      </c>
      <c r="D17" s="239" t="s">
        <v>107</v>
      </c>
      <c r="E17" s="236"/>
      <c r="F17" s="236" t="s">
        <v>78</v>
      </c>
      <c r="G17" s="240"/>
      <c r="H17" s="237">
        <v>57120</v>
      </c>
      <c r="I17" s="237">
        <v>1485.12</v>
      </c>
      <c r="J17" s="77"/>
      <c r="K17" s="223"/>
      <c r="L17" s="20"/>
      <c r="M17" s="20">
        <v>2500000</v>
      </c>
      <c r="N17" s="14"/>
      <c r="O17" s="14"/>
      <c r="P17" s="76"/>
      <c r="Q17" s="123">
        <f t="shared" si="0"/>
        <v>2500000</v>
      </c>
      <c r="R17" s="201"/>
      <c r="S17" s="178"/>
    </row>
    <row r="18" spans="1:19" s="103" customFormat="1" ht="25.9" customHeight="1">
      <c r="A18" s="223">
        <v>9</v>
      </c>
      <c r="B18" s="206" t="s">
        <v>224</v>
      </c>
      <c r="C18" s="239">
        <v>4</v>
      </c>
      <c r="D18" s="239" t="s">
        <v>60</v>
      </c>
      <c r="E18" s="236"/>
      <c r="F18" s="236" t="s">
        <v>76</v>
      </c>
      <c r="G18" s="240"/>
      <c r="H18" s="237">
        <v>33600</v>
      </c>
      <c r="I18" s="237">
        <v>2157.12</v>
      </c>
      <c r="J18" s="10">
        <v>2179</v>
      </c>
      <c r="K18" s="223"/>
      <c r="L18" s="20"/>
      <c r="M18" s="20">
        <v>1800000</v>
      </c>
      <c r="N18" s="14"/>
      <c r="O18" s="14"/>
      <c r="P18" s="76">
        <f>J18*400</f>
        <v>871600</v>
      </c>
      <c r="Q18" s="123">
        <f t="shared" si="0"/>
        <v>2671600</v>
      </c>
      <c r="R18" s="259" t="s">
        <v>346</v>
      </c>
    </row>
    <row r="19" spans="1:19" s="103" customFormat="1" ht="25.9" customHeight="1">
      <c r="A19" s="223">
        <v>10</v>
      </c>
      <c r="B19" s="173" t="s">
        <v>225</v>
      </c>
      <c r="C19" s="239" t="s">
        <v>300</v>
      </c>
      <c r="D19" s="239" t="s">
        <v>86</v>
      </c>
      <c r="E19" s="236"/>
      <c r="F19" s="236" t="s">
        <v>34</v>
      </c>
      <c r="G19" s="240">
        <v>8500</v>
      </c>
      <c r="H19" s="188"/>
      <c r="I19" s="77"/>
      <c r="J19" s="10"/>
      <c r="K19" s="223"/>
      <c r="L19" s="20">
        <v>1100000</v>
      </c>
      <c r="M19" s="20"/>
      <c r="N19" s="14"/>
      <c r="O19" s="11"/>
      <c r="P19" s="14"/>
      <c r="Q19" s="123">
        <f t="shared" si="0"/>
        <v>1100000</v>
      </c>
      <c r="R19" s="137"/>
    </row>
    <row r="20" spans="1:19" s="103" customFormat="1" ht="25.9" customHeight="1">
      <c r="A20" s="223">
        <v>11</v>
      </c>
      <c r="B20" s="206" t="s">
        <v>227</v>
      </c>
      <c r="C20" s="239">
        <v>42</v>
      </c>
      <c r="D20" s="239" t="s">
        <v>84</v>
      </c>
      <c r="E20" s="236"/>
      <c r="F20" s="236" t="s">
        <v>82</v>
      </c>
      <c r="G20" s="240">
        <v>8111.8</v>
      </c>
      <c r="H20" s="101"/>
      <c r="I20" s="77"/>
      <c r="J20" s="10"/>
      <c r="K20" s="223"/>
      <c r="L20" s="20">
        <v>2150000</v>
      </c>
      <c r="M20" s="20"/>
      <c r="N20" s="223"/>
      <c r="O20" s="14"/>
      <c r="P20" s="14"/>
      <c r="Q20" s="123">
        <f t="shared" si="0"/>
        <v>2150000</v>
      </c>
      <c r="R20" s="82"/>
    </row>
    <row r="21" spans="1:19" s="103" customFormat="1" ht="25.9" customHeight="1">
      <c r="A21" s="223">
        <v>12</v>
      </c>
      <c r="B21" s="206" t="s">
        <v>227</v>
      </c>
      <c r="C21" s="236" t="s">
        <v>143</v>
      </c>
      <c r="D21" s="239" t="s">
        <v>86</v>
      </c>
      <c r="E21" s="236"/>
      <c r="F21" s="236" t="s">
        <v>34</v>
      </c>
      <c r="G21" s="237">
        <v>8900</v>
      </c>
      <c r="H21" s="101"/>
      <c r="I21" s="77"/>
      <c r="J21" s="10">
        <v>5081</v>
      </c>
      <c r="K21" s="223"/>
      <c r="L21" s="20">
        <v>1100000</v>
      </c>
      <c r="M21" s="20"/>
      <c r="N21" s="11"/>
      <c r="O21" s="14"/>
      <c r="P21" s="14">
        <v>800000</v>
      </c>
      <c r="Q21" s="123">
        <f t="shared" si="0"/>
        <v>1900000</v>
      </c>
      <c r="R21" s="259" t="s">
        <v>347</v>
      </c>
    </row>
    <row r="22" spans="1:19" s="103" customFormat="1" ht="25.9" customHeight="1">
      <c r="A22" s="223">
        <v>13</v>
      </c>
      <c r="B22" s="206" t="s">
        <v>229</v>
      </c>
      <c r="C22" s="239" t="s">
        <v>348</v>
      </c>
      <c r="D22" s="239" t="s">
        <v>86</v>
      </c>
      <c r="E22" s="236"/>
      <c r="F22" s="236" t="s">
        <v>34</v>
      </c>
      <c r="G22" s="240">
        <v>8900</v>
      </c>
      <c r="H22" s="77"/>
      <c r="I22" s="77"/>
      <c r="J22" s="10"/>
      <c r="K22" s="223"/>
      <c r="L22" s="20">
        <v>1150000</v>
      </c>
      <c r="M22" s="20"/>
      <c r="N22" s="13"/>
      <c r="O22" s="11"/>
      <c r="P22" s="11"/>
      <c r="Q22" s="123">
        <f t="shared" si="0"/>
        <v>1150000</v>
      </c>
      <c r="R22" s="82"/>
    </row>
    <row r="23" spans="1:19" s="103" customFormat="1" ht="25.9" customHeight="1">
      <c r="A23" s="363">
        <v>14</v>
      </c>
      <c r="B23" s="377" t="s">
        <v>231</v>
      </c>
      <c r="C23" s="236" t="s">
        <v>349</v>
      </c>
      <c r="D23" s="239" t="s">
        <v>350</v>
      </c>
      <c r="E23" s="236"/>
      <c r="F23" s="236" t="s">
        <v>121</v>
      </c>
      <c r="G23" s="237"/>
      <c r="H23" s="237">
        <f>212000+7000</f>
        <v>219000</v>
      </c>
      <c r="I23" s="222">
        <f>1844.4+60.9</f>
        <v>1905.3000000000002</v>
      </c>
      <c r="J23" s="10"/>
      <c r="K23" s="223"/>
      <c r="L23" s="20"/>
      <c r="M23" s="20">
        <v>2150000</v>
      </c>
      <c r="N23" s="14"/>
      <c r="O23" s="14"/>
      <c r="P23" s="14"/>
      <c r="Q23" s="305">
        <f>SUM(L23:P24)</f>
        <v>2350000</v>
      </c>
      <c r="R23" s="137"/>
    </row>
    <row r="24" spans="1:19" s="103" customFormat="1" ht="26.45" customHeight="1">
      <c r="A24" s="365"/>
      <c r="B24" s="378"/>
      <c r="C24" s="239">
        <v>10</v>
      </c>
      <c r="D24" s="239" t="s">
        <v>163</v>
      </c>
      <c r="E24" s="236"/>
      <c r="F24" s="236" t="s">
        <v>121</v>
      </c>
      <c r="G24" s="237">
        <v>997.5</v>
      </c>
      <c r="H24" s="237"/>
      <c r="I24" s="237"/>
      <c r="J24" s="10"/>
      <c r="K24" s="223"/>
      <c r="L24" s="20">
        <v>200000</v>
      </c>
      <c r="M24" s="20"/>
      <c r="N24" s="14"/>
      <c r="O24" s="14"/>
      <c r="P24" s="14"/>
      <c r="Q24" s="306"/>
      <c r="R24" s="137"/>
    </row>
    <row r="25" spans="1:19" s="103" customFormat="1" ht="25.9" customHeight="1">
      <c r="A25" s="223">
        <v>15</v>
      </c>
      <c r="B25" s="206" t="s">
        <v>231</v>
      </c>
      <c r="C25" s="239">
        <v>11</v>
      </c>
      <c r="D25" s="239" t="s">
        <v>138</v>
      </c>
      <c r="E25" s="236"/>
      <c r="F25" s="236" t="s">
        <v>51</v>
      </c>
      <c r="G25" s="240"/>
      <c r="H25" s="237">
        <v>140400</v>
      </c>
      <c r="I25" s="237">
        <v>2737.8</v>
      </c>
      <c r="J25" s="10"/>
      <c r="K25" s="223"/>
      <c r="L25" s="14"/>
      <c r="M25" s="20">
        <v>1750000</v>
      </c>
      <c r="N25" s="14"/>
      <c r="O25" s="14"/>
      <c r="P25" s="14"/>
      <c r="Q25" s="123">
        <f t="shared" si="0"/>
        <v>1750000</v>
      </c>
      <c r="R25" s="137" t="s">
        <v>58</v>
      </c>
    </row>
    <row r="26" spans="1:19" s="103" customFormat="1" ht="25.9" customHeight="1">
      <c r="A26" s="223">
        <v>16</v>
      </c>
      <c r="B26" s="206" t="s">
        <v>232</v>
      </c>
      <c r="C26" s="239">
        <v>14</v>
      </c>
      <c r="D26" s="239" t="s">
        <v>107</v>
      </c>
      <c r="E26" s="236"/>
      <c r="F26" s="236" t="s">
        <v>78</v>
      </c>
      <c r="G26" s="240"/>
      <c r="H26" s="237">
        <v>62200</v>
      </c>
      <c r="I26" s="237">
        <v>1516.28</v>
      </c>
      <c r="J26" s="10"/>
      <c r="K26" s="223"/>
      <c r="L26" s="14"/>
      <c r="M26" s="20">
        <v>2600000</v>
      </c>
      <c r="N26" s="13"/>
      <c r="O26" s="11"/>
      <c r="P26" s="11"/>
      <c r="Q26" s="123">
        <f t="shared" si="0"/>
        <v>2600000</v>
      </c>
      <c r="R26" s="259"/>
    </row>
    <row r="27" spans="1:19" s="103" customFormat="1" ht="27.6" customHeight="1">
      <c r="A27" s="223">
        <v>17</v>
      </c>
      <c r="B27" s="206" t="s">
        <v>236</v>
      </c>
      <c r="C27" s="239">
        <v>6</v>
      </c>
      <c r="D27" s="239" t="s">
        <v>60</v>
      </c>
      <c r="E27" s="236"/>
      <c r="F27" s="236" t="s">
        <v>76</v>
      </c>
      <c r="G27" s="240"/>
      <c r="H27" s="237">
        <v>40320</v>
      </c>
      <c r="I27" s="237">
        <v>1274.3136</v>
      </c>
      <c r="J27" s="10">
        <v>2297</v>
      </c>
      <c r="K27" s="223"/>
      <c r="L27" s="14"/>
      <c r="M27" s="20">
        <v>1800000</v>
      </c>
      <c r="N27" s="13"/>
      <c r="O27" s="11"/>
      <c r="P27" s="11">
        <f>J27*400</f>
        <v>918800</v>
      </c>
      <c r="Q27" s="123">
        <f t="shared" si="0"/>
        <v>2718800</v>
      </c>
      <c r="R27" s="201" t="s">
        <v>164</v>
      </c>
    </row>
    <row r="28" spans="1:19" s="103" customFormat="1" ht="25.9" customHeight="1">
      <c r="A28" s="223">
        <v>18</v>
      </c>
      <c r="B28" s="206" t="s">
        <v>237</v>
      </c>
      <c r="C28" s="220">
        <v>6</v>
      </c>
      <c r="D28" s="220" t="s">
        <v>99</v>
      </c>
      <c r="E28" s="12"/>
      <c r="F28" s="12" t="s">
        <v>49</v>
      </c>
      <c r="G28" s="222"/>
      <c r="H28" s="222">
        <v>86940</v>
      </c>
      <c r="I28" s="222">
        <v>2398.2984000000001</v>
      </c>
      <c r="J28" s="181"/>
      <c r="K28" s="223"/>
      <c r="L28" s="20"/>
      <c r="M28" s="20">
        <v>1750000</v>
      </c>
      <c r="N28" s="223"/>
      <c r="O28" s="11"/>
      <c r="P28" s="13"/>
      <c r="Q28" s="123">
        <f t="shared" si="0"/>
        <v>1750000</v>
      </c>
      <c r="R28" s="82"/>
    </row>
    <row r="29" spans="1:19" s="103" customFormat="1" ht="25.9" customHeight="1">
      <c r="A29" s="363">
        <v>19</v>
      </c>
      <c r="B29" s="377" t="s">
        <v>240</v>
      </c>
      <c r="C29" s="220">
        <v>4</v>
      </c>
      <c r="D29" s="220" t="s">
        <v>198</v>
      </c>
      <c r="E29" s="12"/>
      <c r="F29" s="12" t="s">
        <v>57</v>
      </c>
      <c r="G29" s="77">
        <v>4980</v>
      </c>
      <c r="H29" s="222"/>
      <c r="I29" s="222"/>
      <c r="J29" s="116"/>
      <c r="K29" s="234"/>
      <c r="L29" s="20">
        <v>1000000</v>
      </c>
      <c r="M29" s="20"/>
      <c r="N29" s="223"/>
      <c r="O29" s="14"/>
      <c r="P29" s="14"/>
      <c r="Q29" s="305">
        <f>SUM(L29:P30)</f>
        <v>1500000</v>
      </c>
      <c r="R29" s="82"/>
    </row>
    <row r="30" spans="1:19" s="103" customFormat="1" ht="25.9" customHeight="1">
      <c r="A30" s="365"/>
      <c r="B30" s="378"/>
      <c r="C30" s="220" t="s">
        <v>184</v>
      </c>
      <c r="D30" s="220" t="s">
        <v>89</v>
      </c>
      <c r="E30" s="12"/>
      <c r="F30" s="12" t="s">
        <v>74</v>
      </c>
      <c r="G30" s="222"/>
      <c r="H30" s="222">
        <f>9000+94000</f>
        <v>103000</v>
      </c>
      <c r="I30" s="222">
        <v>1117.55</v>
      </c>
      <c r="J30" s="116"/>
      <c r="K30" s="234"/>
      <c r="L30" s="20"/>
      <c r="M30" s="20">
        <v>500000</v>
      </c>
      <c r="N30" s="14"/>
      <c r="O30" s="14"/>
      <c r="P30" s="14"/>
      <c r="Q30" s="306"/>
      <c r="R30" s="117"/>
    </row>
    <row r="31" spans="1:19" s="103" customFormat="1" ht="25.9" customHeight="1">
      <c r="A31" s="223">
        <v>20</v>
      </c>
      <c r="B31" s="206" t="s">
        <v>240</v>
      </c>
      <c r="C31" s="220" t="s">
        <v>182</v>
      </c>
      <c r="D31" s="220" t="s">
        <v>87</v>
      </c>
      <c r="E31" s="12"/>
      <c r="F31" s="12" t="s">
        <v>71</v>
      </c>
      <c r="G31" s="222"/>
      <c r="H31" s="222">
        <v>219220</v>
      </c>
      <c r="I31" s="222">
        <v>4052.9254000000001</v>
      </c>
      <c r="J31" s="10"/>
      <c r="K31" s="223"/>
      <c r="L31" s="11"/>
      <c r="M31" s="14">
        <v>1950000</v>
      </c>
      <c r="N31" s="14"/>
      <c r="O31" s="11"/>
      <c r="P31" s="14"/>
      <c r="Q31" s="123">
        <f t="shared" si="0"/>
        <v>1950000</v>
      </c>
      <c r="R31" s="117" t="s">
        <v>112</v>
      </c>
    </row>
    <row r="32" spans="1:19" s="103" customFormat="1" ht="25.9" customHeight="1">
      <c r="A32" s="363">
        <v>21</v>
      </c>
      <c r="B32" s="377" t="s">
        <v>241</v>
      </c>
      <c r="C32" s="220">
        <v>16</v>
      </c>
      <c r="D32" s="220" t="s">
        <v>60</v>
      </c>
      <c r="E32" s="12"/>
      <c r="F32" s="12" t="s">
        <v>76</v>
      </c>
      <c r="G32" s="77"/>
      <c r="H32" s="222">
        <v>23920</v>
      </c>
      <c r="I32" s="222">
        <v>1252.92</v>
      </c>
      <c r="J32" s="156"/>
      <c r="K32" s="223"/>
      <c r="L32" s="20"/>
      <c r="M32" s="366">
        <v>1450000</v>
      </c>
      <c r="N32" s="11"/>
      <c r="O32" s="11"/>
      <c r="P32" s="11"/>
      <c r="Q32" s="305">
        <f>SUM(L32:P34)</f>
        <v>2670000</v>
      </c>
      <c r="R32" s="137" t="s">
        <v>56</v>
      </c>
    </row>
    <row r="33" spans="1:20" s="103" customFormat="1" ht="25.9" customHeight="1">
      <c r="A33" s="364"/>
      <c r="B33" s="390"/>
      <c r="C33" s="220">
        <v>15</v>
      </c>
      <c r="D33" s="220" t="s">
        <v>54</v>
      </c>
      <c r="E33" s="12"/>
      <c r="F33" s="12" t="s">
        <v>59</v>
      </c>
      <c r="G33" s="222"/>
      <c r="H33" s="222">
        <v>15200</v>
      </c>
      <c r="I33" s="222">
        <v>312.70600000000002</v>
      </c>
      <c r="J33" s="10"/>
      <c r="K33" s="223"/>
      <c r="L33" s="20"/>
      <c r="M33" s="368"/>
      <c r="N33" s="15"/>
      <c r="O33" s="14"/>
      <c r="P33" s="14"/>
      <c r="Q33" s="329"/>
      <c r="R33" s="137" t="s">
        <v>195</v>
      </c>
    </row>
    <row r="34" spans="1:20" s="79" customFormat="1" ht="25.9" customHeight="1">
      <c r="A34" s="365"/>
      <c r="B34" s="378"/>
      <c r="C34" s="220" t="s">
        <v>351</v>
      </c>
      <c r="D34" s="220" t="s">
        <v>73</v>
      </c>
      <c r="E34" s="12"/>
      <c r="F34" s="12" t="s">
        <v>66</v>
      </c>
      <c r="G34" s="222">
        <v>2500</v>
      </c>
      <c r="H34" s="222"/>
      <c r="I34" s="222"/>
      <c r="J34" s="170">
        <v>1550</v>
      </c>
      <c r="K34" s="223"/>
      <c r="L34" s="14">
        <v>600000</v>
      </c>
      <c r="M34" s="14"/>
      <c r="N34" s="76"/>
      <c r="O34" s="76"/>
      <c r="P34" s="76">
        <f>J34*400</f>
        <v>620000</v>
      </c>
      <c r="Q34" s="306"/>
      <c r="R34" s="117"/>
    </row>
    <row r="35" spans="1:20" s="79" customFormat="1" ht="25.9" customHeight="1">
      <c r="A35" s="223">
        <v>22</v>
      </c>
      <c r="B35" s="206" t="s">
        <v>245</v>
      </c>
      <c r="C35" s="220">
        <v>58</v>
      </c>
      <c r="D35" s="220" t="s">
        <v>339</v>
      </c>
      <c r="E35" s="12"/>
      <c r="F35" s="12" t="s">
        <v>82</v>
      </c>
      <c r="G35" s="77"/>
      <c r="H35" s="222">
        <v>222100</v>
      </c>
      <c r="I35" s="230">
        <v>3689.6212</v>
      </c>
      <c r="J35" s="170"/>
      <c r="K35" s="223"/>
      <c r="L35" s="14"/>
      <c r="M35" s="14">
        <v>2000000</v>
      </c>
      <c r="N35" s="76"/>
      <c r="O35" s="76"/>
      <c r="P35" s="76"/>
      <c r="Q35" s="123">
        <f t="shared" si="0"/>
        <v>2000000</v>
      </c>
      <c r="R35" s="117"/>
    </row>
    <row r="36" spans="1:20" s="103" customFormat="1" ht="25.9" customHeight="1">
      <c r="A36" s="223">
        <v>23</v>
      </c>
      <c r="B36" s="206" t="s">
        <v>248</v>
      </c>
      <c r="C36" s="220" t="s">
        <v>352</v>
      </c>
      <c r="D36" s="220" t="s">
        <v>60</v>
      </c>
      <c r="E36" s="12"/>
      <c r="F36" s="12" t="s">
        <v>76</v>
      </c>
      <c r="G36" s="222"/>
      <c r="H36" s="222">
        <v>38080</v>
      </c>
      <c r="I36" s="222">
        <v>2084.88</v>
      </c>
      <c r="J36" s="10">
        <v>608</v>
      </c>
      <c r="K36" s="223"/>
      <c r="L36" s="14"/>
      <c r="M36" s="14">
        <v>1800000</v>
      </c>
      <c r="N36" s="14"/>
      <c r="O36" s="14"/>
      <c r="P36" s="14">
        <f>J36*400</f>
        <v>243200</v>
      </c>
      <c r="Q36" s="123">
        <f t="shared" si="0"/>
        <v>2043200</v>
      </c>
      <c r="R36" s="196" t="s">
        <v>195</v>
      </c>
      <c r="S36" s="178"/>
    </row>
    <row r="37" spans="1:20" s="103" customFormat="1" ht="25.9" customHeight="1">
      <c r="A37" s="223">
        <v>24</v>
      </c>
      <c r="B37" s="206" t="s">
        <v>250</v>
      </c>
      <c r="C37" s="220" t="s">
        <v>329</v>
      </c>
      <c r="D37" s="220" t="s">
        <v>87</v>
      </c>
      <c r="E37" s="12"/>
      <c r="F37" s="12" t="s">
        <v>71</v>
      </c>
      <c r="G37" s="77"/>
      <c r="H37" s="222">
        <v>338000</v>
      </c>
      <c r="I37" s="222">
        <v>3224.7</v>
      </c>
      <c r="J37" s="10"/>
      <c r="K37" s="223"/>
      <c r="L37" s="14"/>
      <c r="M37" s="11">
        <v>1950000</v>
      </c>
      <c r="N37" s="14"/>
      <c r="O37" s="14"/>
      <c r="P37" s="14"/>
      <c r="Q37" s="123">
        <f t="shared" si="0"/>
        <v>1950000</v>
      </c>
      <c r="R37" s="137"/>
    </row>
    <row r="38" spans="1:20" s="103" customFormat="1" ht="25.9" customHeight="1">
      <c r="A38" s="223">
        <v>25</v>
      </c>
      <c r="B38" s="206" t="s">
        <v>252</v>
      </c>
      <c r="C38" s="220">
        <v>57</v>
      </c>
      <c r="D38" s="220" t="s">
        <v>84</v>
      </c>
      <c r="E38" s="12"/>
      <c r="F38" s="12" t="s">
        <v>82</v>
      </c>
      <c r="G38" s="77">
        <v>7350</v>
      </c>
      <c r="H38" s="222"/>
      <c r="I38" s="222"/>
      <c r="J38" s="10"/>
      <c r="K38" s="223"/>
      <c r="L38" s="14">
        <v>2000000</v>
      </c>
      <c r="M38" s="11"/>
      <c r="N38" s="14"/>
      <c r="O38" s="14"/>
      <c r="P38" s="14"/>
      <c r="Q38" s="123">
        <f t="shared" si="0"/>
        <v>2000000</v>
      </c>
      <c r="R38" s="137"/>
    </row>
    <row r="39" spans="1:20" s="103" customFormat="1" ht="25.9" customHeight="1">
      <c r="A39" s="223">
        <v>26</v>
      </c>
      <c r="B39" s="206" t="s">
        <v>252</v>
      </c>
      <c r="C39" s="220">
        <v>1</v>
      </c>
      <c r="D39" s="220" t="s">
        <v>138</v>
      </c>
      <c r="E39" s="12"/>
      <c r="F39" s="12" t="s">
        <v>51</v>
      </c>
      <c r="G39" s="77"/>
      <c r="H39" s="222">
        <v>140400</v>
      </c>
      <c r="I39" s="222">
        <v>2737.8</v>
      </c>
      <c r="J39" s="10"/>
      <c r="K39" s="223"/>
      <c r="L39" s="14"/>
      <c r="M39" s="11">
        <v>1750000</v>
      </c>
      <c r="N39" s="14"/>
      <c r="O39" s="14"/>
      <c r="P39" s="14"/>
      <c r="Q39" s="123">
        <f t="shared" si="0"/>
        <v>1750000</v>
      </c>
      <c r="R39" s="137" t="s">
        <v>58</v>
      </c>
    </row>
    <row r="40" spans="1:20" s="103" customFormat="1" ht="25.9" customHeight="1">
      <c r="A40" s="223">
        <v>27</v>
      </c>
      <c r="B40" s="206" t="s">
        <v>254</v>
      </c>
      <c r="C40" s="220">
        <v>4</v>
      </c>
      <c r="D40" s="220" t="s">
        <v>191</v>
      </c>
      <c r="E40" s="12"/>
      <c r="F40" s="12" t="s">
        <v>71</v>
      </c>
      <c r="G40" s="77">
        <v>8928</v>
      </c>
      <c r="H40" s="77"/>
      <c r="I40" s="77"/>
      <c r="J40" s="10"/>
      <c r="K40" s="223"/>
      <c r="L40" s="14">
        <v>2300000</v>
      </c>
      <c r="M40" s="14"/>
      <c r="N40" s="14"/>
      <c r="O40" s="14"/>
      <c r="P40" s="14"/>
      <c r="Q40" s="123">
        <f t="shared" si="0"/>
        <v>2300000</v>
      </c>
      <c r="R40" s="137"/>
    </row>
    <row r="41" spans="1:20" s="103" customFormat="1" ht="25.9" customHeight="1">
      <c r="A41" s="223">
        <v>28</v>
      </c>
      <c r="B41" s="206" t="s">
        <v>256</v>
      </c>
      <c r="C41" s="220">
        <v>3</v>
      </c>
      <c r="D41" s="220" t="s">
        <v>191</v>
      </c>
      <c r="E41" s="12"/>
      <c r="F41" s="12" t="s">
        <v>71</v>
      </c>
      <c r="G41" s="77">
        <f>8928+50</f>
        <v>8978</v>
      </c>
      <c r="H41" s="222"/>
      <c r="I41" s="222"/>
      <c r="J41" s="10"/>
      <c r="K41" s="223"/>
      <c r="L41" s="14">
        <v>2300000</v>
      </c>
      <c r="M41" s="14"/>
      <c r="N41" s="14"/>
      <c r="O41" s="14"/>
      <c r="P41" s="14"/>
      <c r="Q41" s="123">
        <f t="shared" si="0"/>
        <v>2300000</v>
      </c>
      <c r="R41" s="137"/>
    </row>
    <row r="42" spans="1:20" s="103" customFormat="1" ht="25.9" customHeight="1">
      <c r="A42" s="223">
        <v>29</v>
      </c>
      <c r="B42" s="206" t="s">
        <v>256</v>
      </c>
      <c r="C42" s="220">
        <v>31</v>
      </c>
      <c r="D42" s="220" t="s">
        <v>350</v>
      </c>
      <c r="E42" s="12"/>
      <c r="F42" s="12" t="s">
        <v>121</v>
      </c>
      <c r="G42" s="77"/>
      <c r="H42" s="222">
        <v>243800</v>
      </c>
      <c r="I42" s="222">
        <v>2163.6761999999999</v>
      </c>
      <c r="J42" s="10"/>
      <c r="K42" s="223"/>
      <c r="L42" s="14"/>
      <c r="M42" s="11">
        <v>2200000</v>
      </c>
      <c r="N42" s="14"/>
      <c r="O42" s="14"/>
      <c r="P42" s="14"/>
      <c r="Q42" s="123">
        <f t="shared" si="0"/>
        <v>2200000</v>
      </c>
      <c r="R42" s="137" t="s">
        <v>58</v>
      </c>
      <c r="S42" s="178"/>
    </row>
    <row r="43" spans="1:20" s="103" customFormat="1" ht="25.9" customHeight="1">
      <c r="A43" s="223">
        <v>30</v>
      </c>
      <c r="B43" s="206" t="s">
        <v>260</v>
      </c>
      <c r="C43" s="220">
        <v>20</v>
      </c>
      <c r="D43" s="220" t="s">
        <v>350</v>
      </c>
      <c r="E43" s="12"/>
      <c r="F43" s="12" t="s">
        <v>121</v>
      </c>
      <c r="G43" s="77"/>
      <c r="H43" s="222">
        <v>196000</v>
      </c>
      <c r="I43" s="222">
        <v>1705.2</v>
      </c>
      <c r="J43" s="10"/>
      <c r="K43" s="223"/>
      <c r="L43" s="14"/>
      <c r="M43" s="11">
        <v>2250000</v>
      </c>
      <c r="N43" s="14"/>
      <c r="O43" s="14"/>
      <c r="P43" s="14"/>
      <c r="Q43" s="123">
        <f t="shared" si="0"/>
        <v>2250000</v>
      </c>
      <c r="R43" s="137"/>
    </row>
    <row r="44" spans="1:20" s="103" customFormat="1" ht="25.9" customHeight="1">
      <c r="A44" s="223">
        <v>31</v>
      </c>
      <c r="B44" s="206" t="s">
        <v>263</v>
      </c>
      <c r="C44" s="220">
        <v>10</v>
      </c>
      <c r="D44" s="220" t="s">
        <v>99</v>
      </c>
      <c r="E44" s="12"/>
      <c r="F44" s="12" t="s">
        <v>49</v>
      </c>
      <c r="G44" s="77"/>
      <c r="H44" s="222">
        <v>110320</v>
      </c>
      <c r="I44" s="222">
        <v>2332.1648</v>
      </c>
      <c r="J44" s="10"/>
      <c r="K44" s="223"/>
      <c r="L44" s="14"/>
      <c r="M44" s="11">
        <v>1750000</v>
      </c>
      <c r="N44" s="14"/>
      <c r="O44" s="14"/>
      <c r="P44" s="14"/>
      <c r="Q44" s="123">
        <f t="shared" si="0"/>
        <v>1750000</v>
      </c>
      <c r="R44" s="137"/>
    </row>
    <row r="45" spans="1:20" s="103" customFormat="1" ht="25.9" customHeight="1">
      <c r="A45" s="223">
        <v>32</v>
      </c>
      <c r="B45" s="173" t="s">
        <v>263</v>
      </c>
      <c r="C45" s="220">
        <v>15</v>
      </c>
      <c r="D45" s="220" t="s">
        <v>350</v>
      </c>
      <c r="E45" s="12"/>
      <c r="F45" s="12" t="s">
        <v>121</v>
      </c>
      <c r="G45" s="77"/>
      <c r="H45" s="222">
        <v>235600</v>
      </c>
      <c r="I45" s="222">
        <v>2078.3173000000002</v>
      </c>
      <c r="J45" s="10"/>
      <c r="K45" s="223"/>
      <c r="L45" s="14"/>
      <c r="M45" s="11">
        <v>2200000</v>
      </c>
      <c r="N45" s="14"/>
      <c r="O45" s="14"/>
      <c r="P45" s="14"/>
      <c r="Q45" s="123">
        <f t="shared" si="0"/>
        <v>2200000</v>
      </c>
      <c r="R45" s="137" t="s">
        <v>58</v>
      </c>
    </row>
    <row r="46" spans="1:20" s="23" customFormat="1" ht="25.9" customHeight="1">
      <c r="A46" s="360" t="s">
        <v>20</v>
      </c>
      <c r="B46" s="361"/>
      <c r="C46" s="361"/>
      <c r="D46" s="361"/>
      <c r="E46" s="361"/>
      <c r="F46" s="362"/>
      <c r="G46" s="22">
        <f t="shared" ref="G46:Q46" si="1">SUM(G8:G45)</f>
        <v>73267.3</v>
      </c>
      <c r="H46" s="22">
        <f t="shared" si="1"/>
        <v>4008250</v>
      </c>
      <c r="I46" s="22">
        <f t="shared" si="1"/>
        <v>56972.872299999988</v>
      </c>
      <c r="J46" s="22">
        <f t="shared" si="1"/>
        <v>11715</v>
      </c>
      <c r="K46" s="22">
        <f t="shared" si="1"/>
        <v>0</v>
      </c>
      <c r="L46" s="22">
        <f t="shared" si="1"/>
        <v>15300000</v>
      </c>
      <c r="M46" s="22">
        <f t="shared" si="1"/>
        <v>46350000</v>
      </c>
      <c r="N46" s="22">
        <f t="shared" si="1"/>
        <v>0</v>
      </c>
      <c r="O46" s="22">
        <f t="shared" si="1"/>
        <v>31500</v>
      </c>
      <c r="P46" s="22">
        <f t="shared" si="1"/>
        <v>3453600</v>
      </c>
      <c r="Q46" s="150">
        <f t="shared" si="1"/>
        <v>65135100</v>
      </c>
      <c r="R46" s="179"/>
      <c r="S46" s="32"/>
    </row>
    <row r="47" spans="1:20" s="23" customFormat="1" ht="25.9" customHeight="1">
      <c r="A47" s="336" t="s">
        <v>21</v>
      </c>
      <c r="B47" s="336"/>
      <c r="C47" s="336"/>
      <c r="D47" s="336"/>
      <c r="E47" s="336"/>
      <c r="F47" s="336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>
        <f>8%*Q46</f>
        <v>5210808</v>
      </c>
      <c r="R47" s="24"/>
      <c r="S47" s="231"/>
    </row>
    <row r="48" spans="1:20" s="23" customFormat="1" ht="25.9" customHeight="1">
      <c r="A48" s="336" t="s">
        <v>22</v>
      </c>
      <c r="B48" s="336"/>
      <c r="C48" s="336"/>
      <c r="D48" s="336"/>
      <c r="E48" s="336"/>
      <c r="F48" s="336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>
        <f>Q47+Q46</f>
        <v>70345908</v>
      </c>
      <c r="R48" s="180"/>
      <c r="S48" s="1"/>
      <c r="T48" s="1"/>
    </row>
    <row r="49" spans="1:20" s="23" customFormat="1" ht="25.9" customHeight="1">
      <c r="A49" s="25"/>
      <c r="B49" s="105"/>
      <c r="C49" s="25"/>
      <c r="D49" s="25"/>
      <c r="E49" s="25"/>
      <c r="F49" s="2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  <c r="S49" s="28"/>
    </row>
    <row r="50" spans="1:20" s="23" customFormat="1" ht="25.9" customHeight="1">
      <c r="A50" s="337" t="s">
        <v>23</v>
      </c>
      <c r="B50" s="337"/>
      <c r="C50" s="337"/>
      <c r="D50" s="337"/>
      <c r="E50" s="337"/>
      <c r="F50" s="337"/>
      <c r="G50" s="29">
        <f>G46</f>
        <v>73267.3</v>
      </c>
      <c r="H50" s="29"/>
      <c r="I50" s="29"/>
      <c r="J50" s="29"/>
      <c r="K50" s="30">
        <f>G46+I46</f>
        <v>130240.17229999999</v>
      </c>
      <c r="L50" s="29"/>
      <c r="M50" s="29"/>
      <c r="N50" s="29"/>
      <c r="O50" s="29"/>
      <c r="P50" s="29"/>
      <c r="Q50" s="29">
        <f>L46+N46</f>
        <v>15300000</v>
      </c>
      <c r="R50" s="31">
        <f>Q50/G50</f>
        <v>208.82440051701099</v>
      </c>
      <c r="S50" s="32"/>
    </row>
    <row r="51" spans="1:20" s="23" customFormat="1" ht="28.9" customHeight="1">
      <c r="A51" s="337" t="s">
        <v>24</v>
      </c>
      <c r="B51" s="337"/>
      <c r="C51" s="337"/>
      <c r="D51" s="337"/>
      <c r="E51" s="337"/>
      <c r="F51" s="337"/>
      <c r="G51" s="29"/>
      <c r="H51" s="29"/>
      <c r="I51" s="29">
        <f>I46</f>
        <v>56972.872299999988</v>
      </c>
      <c r="J51" s="29"/>
      <c r="K51" s="29"/>
      <c r="L51" s="29"/>
      <c r="M51" s="29"/>
      <c r="N51" s="29"/>
      <c r="O51" s="29"/>
      <c r="P51" s="29"/>
      <c r="Q51" s="29">
        <f>M46+O46</f>
        <v>46381500</v>
      </c>
      <c r="R51" s="31">
        <f>Q51/I51</f>
        <v>814.09797553773694</v>
      </c>
      <c r="S51" s="32"/>
    </row>
    <row r="52" spans="1:20" s="23" customFormat="1" ht="24.6" customHeight="1">
      <c r="A52" s="337" t="s">
        <v>25</v>
      </c>
      <c r="B52" s="337"/>
      <c r="C52" s="337"/>
      <c r="D52" s="337"/>
      <c r="E52" s="337"/>
      <c r="F52" s="337"/>
      <c r="G52" s="29"/>
      <c r="H52" s="29"/>
      <c r="I52" s="29"/>
      <c r="J52" s="29">
        <f>J46</f>
        <v>11715</v>
      </c>
      <c r="K52" s="29"/>
      <c r="L52" s="29"/>
      <c r="M52" s="29"/>
      <c r="N52" s="29"/>
      <c r="O52" s="29"/>
      <c r="P52" s="29">
        <f>J46</f>
        <v>11715</v>
      </c>
      <c r="Q52" s="29">
        <f>P46</f>
        <v>3453600</v>
      </c>
      <c r="R52" s="31">
        <f>Q52/P52</f>
        <v>294.80153649167733</v>
      </c>
      <c r="S52" s="32"/>
    </row>
    <row r="53" spans="1:20" s="23" customFormat="1" ht="24.6" hidden="1" customHeight="1">
      <c r="A53" s="337" t="s">
        <v>26</v>
      </c>
      <c r="B53" s="337"/>
      <c r="C53" s="337"/>
      <c r="D53" s="337"/>
      <c r="E53" s="337"/>
      <c r="F53" s="337"/>
      <c r="G53" s="29"/>
      <c r="H53" s="29"/>
      <c r="I53" s="29"/>
      <c r="J53" s="29"/>
      <c r="K53" s="29" t="e">
        <f>#REF!+#REF!+#REF!</f>
        <v>#REF!</v>
      </c>
      <c r="L53" s="29"/>
      <c r="M53" s="29"/>
      <c r="N53" s="29"/>
      <c r="O53" s="29"/>
      <c r="P53" s="29"/>
      <c r="Q53" s="29" t="e">
        <f>#REF!+#REF!+#REF!</f>
        <v>#REF!</v>
      </c>
      <c r="R53" s="31" t="e">
        <f>Q53/P53</f>
        <v>#REF!</v>
      </c>
      <c r="S53" s="32"/>
    </row>
    <row r="54" spans="1:20" ht="24.6" customHeight="1">
      <c r="A54" s="33"/>
      <c r="B54" s="106"/>
      <c r="C54" s="3" t="s">
        <v>27</v>
      </c>
      <c r="D54" s="34"/>
      <c r="E54" s="35"/>
      <c r="F54" s="35"/>
      <c r="G54" s="36" t="s">
        <v>264</v>
      </c>
      <c r="H54" s="37"/>
      <c r="I54" s="37"/>
      <c r="J54" s="193"/>
      <c r="K54" s="38"/>
      <c r="L54" s="1"/>
      <c r="M54" s="1"/>
      <c r="N54" s="1"/>
      <c r="O54" s="1"/>
      <c r="P54" s="1"/>
      <c r="Q54" s="151" t="s">
        <v>28</v>
      </c>
    </row>
    <row r="55" spans="1:20" ht="18" hidden="1" customHeight="1">
      <c r="B55" s="106"/>
      <c r="D55" s="34"/>
      <c r="E55" s="39"/>
      <c r="F55" s="39"/>
      <c r="G55" s="40"/>
      <c r="H55" s="33"/>
      <c r="I55" s="34"/>
      <c r="J55" s="194"/>
      <c r="K55" s="34"/>
      <c r="S55" s="8"/>
      <c r="T55" s="8"/>
    </row>
    <row r="56" spans="1:20" s="8" customFormat="1">
      <c r="A56" s="1"/>
      <c r="B56" s="106"/>
      <c r="C56" s="3"/>
      <c r="D56" s="3"/>
      <c r="E56" s="3"/>
      <c r="F56" s="3"/>
      <c r="G56" s="41"/>
      <c r="J56" s="192"/>
      <c r="Q56" s="133"/>
      <c r="S56" s="1"/>
      <c r="T56" s="1"/>
    </row>
    <row r="57" spans="1:20" ht="18" customHeight="1">
      <c r="B57" s="106"/>
      <c r="E57" s="39"/>
      <c r="F57" s="39"/>
      <c r="G57" s="40"/>
      <c r="H57" s="33"/>
      <c r="I57" s="34"/>
      <c r="J57" s="194"/>
      <c r="K57" s="34"/>
    </row>
    <row r="58" spans="1:20" ht="18" customHeight="1">
      <c r="H58" s="45"/>
      <c r="Q58" s="134"/>
    </row>
    <row r="59" spans="1:20">
      <c r="C59" s="47"/>
      <c r="G59" s="36" t="str">
        <f>'[1]A VIEN'!G66</f>
        <v>Đặng Thị Mỹ Tin</v>
      </c>
      <c r="H59" s="45"/>
      <c r="Q59" s="158" t="s">
        <v>64</v>
      </c>
    </row>
    <row r="62" spans="1:20">
      <c r="R62" s="41"/>
    </row>
  </sheetData>
  <mergeCells count="44">
    <mergeCell ref="A53:F53"/>
    <mergeCell ref="A46:F46"/>
    <mergeCell ref="A47:F47"/>
    <mergeCell ref="A51:F51"/>
    <mergeCell ref="Q23:Q24"/>
    <mergeCell ref="A32:A34"/>
    <mergeCell ref="B32:B34"/>
    <mergeCell ref="M32:M33"/>
    <mergeCell ref="Q29:Q30"/>
    <mergeCell ref="Q32:Q34"/>
    <mergeCell ref="A29:A30"/>
    <mergeCell ref="B29:B30"/>
    <mergeCell ref="A52:F52"/>
    <mergeCell ref="A50:F50"/>
    <mergeCell ref="A48:F48"/>
    <mergeCell ref="A23:A24"/>
    <mergeCell ref="A8:A9"/>
    <mergeCell ref="B8:B9"/>
    <mergeCell ref="Q8:Q9"/>
    <mergeCell ref="A10:A11"/>
    <mergeCell ref="B10:B11"/>
    <mergeCell ref="Q10:Q11"/>
    <mergeCell ref="M10:M11"/>
    <mergeCell ref="B23:B24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E6:E7"/>
    <mergeCell ref="F6:F7"/>
    <mergeCell ref="R5:R7"/>
    <mergeCell ref="N5:O6"/>
    <mergeCell ref="P5:P7"/>
    <mergeCell ref="Q5:Q7"/>
    <mergeCell ref="H6:I6"/>
    <mergeCell ref="K5:K7"/>
    <mergeCell ref="L5:M6"/>
    <mergeCell ref="M8:M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2"/>
  <sheetViews>
    <sheetView zoomScale="85" zoomScaleNormal="85" workbookViewId="0">
      <selection activeCell="K67" sqref="K67"/>
    </sheetView>
  </sheetViews>
  <sheetFormatPr defaultColWidth="9.140625" defaultRowHeight="15"/>
  <cols>
    <col min="1" max="1" width="8.42578125" style="1" customWidth="1"/>
    <col min="2" max="2" width="13.28515625" style="107" customWidth="1"/>
    <col min="3" max="3" width="12.28515625" style="3" customWidth="1"/>
    <col min="4" max="4" width="22.7109375" style="3" customWidth="1"/>
    <col min="5" max="5" width="12.85546875" style="43" customWidth="1"/>
    <col min="6" max="6" width="17.28515625" style="44" customWidth="1"/>
    <col min="7" max="7" width="13.140625" style="37" customWidth="1"/>
    <col min="8" max="8" width="14.140625" style="48" customWidth="1"/>
    <col min="9" max="9" width="11.28515625" style="46" customWidth="1"/>
    <col min="10" max="10" width="13.5703125" style="46" customWidth="1"/>
    <col min="11" max="11" width="11.85546875" style="7" customWidth="1"/>
    <col min="12" max="12" width="15" style="7" customWidth="1"/>
    <col min="13" max="13" width="17.28515625" style="7" customWidth="1"/>
    <col min="14" max="14" width="11.7109375" style="7" customWidth="1"/>
    <col min="15" max="15" width="13.7109375" style="7" customWidth="1"/>
    <col min="16" max="16" width="12.5703125" style="7" customWidth="1"/>
    <col min="17" max="17" width="15.28515625" style="120" customWidth="1"/>
    <col min="18" max="18" width="33" style="3" customWidth="1"/>
    <col min="19" max="19" width="16" style="1" customWidth="1"/>
    <col min="20" max="16384" width="9.140625" style="1"/>
  </cols>
  <sheetData>
    <row r="1" spans="1:19">
      <c r="A1" s="307" t="str">
        <f>'[1]A VIEN'!A1:Q1</f>
        <v xml:space="preserve">2025年09销路运费 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9" ht="18.75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</row>
    <row r="3" spans="1:19">
      <c r="A3" s="307" t="str">
        <f>'[1]A VIEN'!A3:Q3</f>
        <v xml:space="preserve"> THÁNG 09 NĂM 2025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</row>
    <row r="4" spans="1:19">
      <c r="A4" s="371" t="s">
        <v>124</v>
      </c>
      <c r="B4" s="371"/>
      <c r="C4" s="371"/>
      <c r="D4" s="2"/>
      <c r="E4" s="3"/>
      <c r="F4" s="3"/>
      <c r="G4" s="4"/>
      <c r="H4" s="5"/>
      <c r="I4" s="6"/>
      <c r="J4" s="172"/>
    </row>
    <row r="5" spans="1:19" s="9" customFormat="1" ht="29.25" customHeight="1">
      <c r="A5" s="344" t="s">
        <v>1</v>
      </c>
      <c r="B5" s="345" t="s">
        <v>2</v>
      </c>
      <c r="C5" s="344" t="s">
        <v>3</v>
      </c>
      <c r="D5" s="344" t="s">
        <v>4</v>
      </c>
      <c r="E5" s="344" t="s">
        <v>5</v>
      </c>
      <c r="F5" s="344"/>
      <c r="G5" s="346" t="s">
        <v>6</v>
      </c>
      <c r="H5" s="346"/>
      <c r="I5" s="346"/>
      <c r="J5" s="346"/>
      <c r="K5" s="347" t="s">
        <v>7</v>
      </c>
      <c r="L5" s="319" t="s">
        <v>8</v>
      </c>
      <c r="M5" s="320"/>
      <c r="N5" s="350" t="s">
        <v>9</v>
      </c>
      <c r="O5" s="350"/>
      <c r="P5" s="323" t="s">
        <v>10</v>
      </c>
      <c r="Q5" s="350" t="s">
        <v>11</v>
      </c>
      <c r="R5" s="341" t="s">
        <v>12</v>
      </c>
    </row>
    <row r="6" spans="1:19" s="9" customFormat="1" ht="23.25" customHeight="1">
      <c r="A6" s="344"/>
      <c r="B6" s="345"/>
      <c r="C6" s="344"/>
      <c r="D6" s="344"/>
      <c r="E6" s="344" t="s">
        <v>13</v>
      </c>
      <c r="F6" s="344" t="s">
        <v>14</v>
      </c>
      <c r="G6" s="233" t="s">
        <v>15</v>
      </c>
      <c r="H6" s="346" t="s">
        <v>16</v>
      </c>
      <c r="I6" s="346"/>
      <c r="J6" s="232" t="s">
        <v>17</v>
      </c>
      <c r="K6" s="347"/>
      <c r="L6" s="348"/>
      <c r="M6" s="349"/>
      <c r="N6" s="350"/>
      <c r="O6" s="350"/>
      <c r="P6" s="324"/>
      <c r="Q6" s="350"/>
      <c r="R6" s="341"/>
    </row>
    <row r="7" spans="1:19" s="9" customFormat="1" ht="22.5" customHeight="1">
      <c r="A7" s="344"/>
      <c r="B7" s="345"/>
      <c r="C7" s="344"/>
      <c r="D7" s="344"/>
      <c r="E7" s="344"/>
      <c r="F7" s="344"/>
      <c r="G7" s="233" t="s">
        <v>18</v>
      </c>
      <c r="H7" s="228" t="s">
        <v>19</v>
      </c>
      <c r="I7" s="232" t="s">
        <v>18</v>
      </c>
      <c r="J7" s="232" t="s">
        <v>18</v>
      </c>
      <c r="K7" s="347"/>
      <c r="L7" s="233" t="s">
        <v>15</v>
      </c>
      <c r="M7" s="10" t="s">
        <v>16</v>
      </c>
      <c r="N7" s="233" t="s">
        <v>15</v>
      </c>
      <c r="O7" s="93" t="s">
        <v>16</v>
      </c>
      <c r="P7" s="325"/>
      <c r="Q7" s="350"/>
      <c r="R7" s="341"/>
    </row>
    <row r="8" spans="1:19" s="9" customFormat="1" ht="22.5" customHeight="1">
      <c r="A8" s="363">
        <v>1</v>
      </c>
      <c r="B8" s="377" t="s">
        <v>208</v>
      </c>
      <c r="C8" s="239">
        <v>12</v>
      </c>
      <c r="D8" s="239" t="s">
        <v>61</v>
      </c>
      <c r="E8" s="236"/>
      <c r="F8" s="236" t="s">
        <v>34</v>
      </c>
      <c r="G8" s="240"/>
      <c r="H8" s="237">
        <v>143000</v>
      </c>
      <c r="I8" s="237">
        <v>393.25</v>
      </c>
      <c r="J8" s="10"/>
      <c r="K8" s="119"/>
      <c r="L8" s="111"/>
      <c r="M8" s="366">
        <v>1380000</v>
      </c>
      <c r="N8" s="11"/>
      <c r="O8" s="11"/>
      <c r="P8" s="11"/>
      <c r="Q8" s="379">
        <f>SUM(L8:P9)</f>
        <v>1415000</v>
      </c>
      <c r="R8" s="137"/>
      <c r="S8" s="81"/>
    </row>
    <row r="9" spans="1:19" s="9" customFormat="1" ht="24" customHeight="1">
      <c r="A9" s="365"/>
      <c r="B9" s="378"/>
      <c r="C9" s="239">
        <v>27</v>
      </c>
      <c r="D9" s="239" t="s">
        <v>65</v>
      </c>
      <c r="E9" s="236"/>
      <c r="F9" s="236" t="s">
        <v>162</v>
      </c>
      <c r="G9" s="240"/>
      <c r="H9" s="237">
        <v>56500</v>
      </c>
      <c r="I9" s="222">
        <v>1377.0250000000001</v>
      </c>
      <c r="J9" s="119"/>
      <c r="K9" s="119"/>
      <c r="L9" s="111"/>
      <c r="M9" s="368"/>
      <c r="N9" s="11"/>
      <c r="O9" s="11">
        <v>35000</v>
      </c>
      <c r="P9" s="11"/>
      <c r="Q9" s="380"/>
      <c r="R9" s="201" t="s">
        <v>102</v>
      </c>
    </row>
    <row r="10" spans="1:19" s="9" customFormat="1" ht="27.6" customHeight="1">
      <c r="A10" s="363">
        <v>2</v>
      </c>
      <c r="B10" s="377" t="s">
        <v>210</v>
      </c>
      <c r="C10" s="239" t="s">
        <v>353</v>
      </c>
      <c r="D10" s="239" t="s">
        <v>133</v>
      </c>
      <c r="E10" s="236"/>
      <c r="F10" s="236" t="s">
        <v>49</v>
      </c>
      <c r="G10" s="240"/>
      <c r="H10" s="237">
        <v>76000</v>
      </c>
      <c r="I10" s="222">
        <v>1367.1461999999999</v>
      </c>
      <c r="J10" s="92"/>
      <c r="K10" s="234"/>
      <c r="L10" s="76"/>
      <c r="M10" s="366">
        <v>1430000</v>
      </c>
      <c r="N10" s="11"/>
      <c r="O10" s="11"/>
      <c r="P10" s="11"/>
      <c r="Q10" s="379">
        <f>SUM(L10:P11)</f>
        <v>1480000</v>
      </c>
      <c r="R10" s="137" t="s">
        <v>56</v>
      </c>
    </row>
    <row r="11" spans="1:19" s="9" customFormat="1" ht="25.9" customHeight="1">
      <c r="A11" s="365"/>
      <c r="B11" s="378"/>
      <c r="C11" s="239" t="s">
        <v>269</v>
      </c>
      <c r="D11" s="239" t="s">
        <v>133</v>
      </c>
      <c r="E11" s="236"/>
      <c r="F11" s="236" t="s">
        <v>69</v>
      </c>
      <c r="G11" s="240"/>
      <c r="H11" s="237">
        <v>61650</v>
      </c>
      <c r="I11" s="237">
        <v>588.01850000000002</v>
      </c>
      <c r="J11" s="92"/>
      <c r="K11" s="234"/>
      <c r="L11" s="76"/>
      <c r="M11" s="368"/>
      <c r="N11" s="11"/>
      <c r="O11" s="11">
        <v>50000</v>
      </c>
      <c r="P11" s="11"/>
      <c r="Q11" s="380"/>
      <c r="R11" s="241" t="s">
        <v>102</v>
      </c>
    </row>
    <row r="12" spans="1:19" s="9" customFormat="1" ht="23.45" customHeight="1">
      <c r="A12" s="223">
        <v>3</v>
      </c>
      <c r="B12" s="206" t="s">
        <v>210</v>
      </c>
      <c r="C12" s="239" t="s">
        <v>329</v>
      </c>
      <c r="D12" s="239" t="s">
        <v>73</v>
      </c>
      <c r="E12" s="236"/>
      <c r="F12" s="236" t="s">
        <v>66</v>
      </c>
      <c r="G12" s="240">
        <v>2500</v>
      </c>
      <c r="H12" s="77"/>
      <c r="I12" s="77"/>
      <c r="J12" s="92">
        <v>901</v>
      </c>
      <c r="K12" s="234"/>
      <c r="L12" s="76">
        <v>1050000</v>
      </c>
      <c r="M12" s="14"/>
      <c r="N12" s="11"/>
      <c r="O12" s="11"/>
      <c r="P12" s="11">
        <f>J12*400</f>
        <v>360400</v>
      </c>
      <c r="Q12" s="155">
        <f t="shared" ref="Q12:Q51" si="0">SUM(L12:P12)</f>
        <v>1410400</v>
      </c>
      <c r="R12" s="198" t="s">
        <v>165</v>
      </c>
    </row>
    <row r="13" spans="1:19" s="9" customFormat="1" ht="23.45" customHeight="1">
      <c r="A13" s="363">
        <v>4</v>
      </c>
      <c r="B13" s="377" t="s">
        <v>215</v>
      </c>
      <c r="C13" s="239">
        <v>15</v>
      </c>
      <c r="D13" s="239" t="s">
        <v>84</v>
      </c>
      <c r="E13" s="236"/>
      <c r="F13" s="236" t="s">
        <v>82</v>
      </c>
      <c r="G13" s="240">
        <v>2990</v>
      </c>
      <c r="H13" s="237"/>
      <c r="I13" s="237"/>
      <c r="J13" s="92"/>
      <c r="K13" s="234"/>
      <c r="L13" s="76">
        <v>1180000</v>
      </c>
      <c r="M13" s="14"/>
      <c r="N13" s="11"/>
      <c r="O13" s="11"/>
      <c r="P13" s="11"/>
      <c r="Q13" s="379">
        <f>SUM(L13:P14)</f>
        <v>1795000</v>
      </c>
      <c r="R13" s="198"/>
    </row>
    <row r="14" spans="1:19" s="9" customFormat="1" ht="25.15" customHeight="1">
      <c r="A14" s="365"/>
      <c r="B14" s="378"/>
      <c r="C14" s="239" t="s">
        <v>354</v>
      </c>
      <c r="D14" s="239" t="s">
        <v>63</v>
      </c>
      <c r="E14" s="236"/>
      <c r="F14" s="236" t="s">
        <v>71</v>
      </c>
      <c r="G14" s="240"/>
      <c r="H14" s="237">
        <v>55650</v>
      </c>
      <c r="I14" s="237">
        <v>540.08249999999998</v>
      </c>
      <c r="J14" s="92"/>
      <c r="K14" s="234"/>
      <c r="L14" s="76"/>
      <c r="M14" s="14">
        <v>550000</v>
      </c>
      <c r="N14" s="11"/>
      <c r="O14" s="11">
        <v>65000</v>
      </c>
      <c r="P14" s="11"/>
      <c r="Q14" s="380"/>
      <c r="R14" s="201" t="s">
        <v>118</v>
      </c>
    </row>
    <row r="15" spans="1:19" s="9" customFormat="1" ht="23.45" customHeight="1">
      <c r="A15" s="363">
        <v>5</v>
      </c>
      <c r="B15" s="377" t="s">
        <v>216</v>
      </c>
      <c r="C15" s="236">
        <v>3</v>
      </c>
      <c r="D15" s="239" t="s">
        <v>199</v>
      </c>
      <c r="E15" s="236"/>
      <c r="F15" s="236" t="s">
        <v>76</v>
      </c>
      <c r="G15" s="237">
        <v>2086</v>
      </c>
      <c r="H15" s="237"/>
      <c r="I15" s="237"/>
      <c r="J15" s="10"/>
      <c r="K15" s="234"/>
      <c r="L15" s="76">
        <v>850000</v>
      </c>
      <c r="M15" s="14"/>
      <c r="N15" s="11"/>
      <c r="O15" s="11"/>
      <c r="P15" s="11"/>
      <c r="Q15" s="379">
        <f>SUM(L15:P16)</f>
        <v>2080000</v>
      </c>
      <c r="R15" s="16" t="s">
        <v>56</v>
      </c>
    </row>
    <row r="16" spans="1:19" s="9" customFormat="1" ht="23.45" customHeight="1">
      <c r="A16" s="365"/>
      <c r="B16" s="378"/>
      <c r="C16" s="236">
        <v>8</v>
      </c>
      <c r="D16" s="239" t="s">
        <v>133</v>
      </c>
      <c r="E16" s="236"/>
      <c r="F16" s="236" t="s">
        <v>120</v>
      </c>
      <c r="G16" s="240"/>
      <c r="H16" s="237">
        <v>109600</v>
      </c>
      <c r="I16" s="237">
        <v>1331.46</v>
      </c>
      <c r="J16" s="92"/>
      <c r="K16" s="234"/>
      <c r="L16" s="76"/>
      <c r="M16" s="14">
        <v>1230000</v>
      </c>
      <c r="N16" s="11"/>
      <c r="O16" s="11"/>
      <c r="P16" s="11"/>
      <c r="Q16" s="380"/>
      <c r="R16" s="16"/>
    </row>
    <row r="17" spans="1:19" s="9" customFormat="1" ht="23.45" customHeight="1">
      <c r="A17" s="363">
        <v>6</v>
      </c>
      <c r="B17" s="377" t="s">
        <v>220</v>
      </c>
      <c r="C17" s="236">
        <v>37</v>
      </c>
      <c r="D17" s="239" t="s">
        <v>65</v>
      </c>
      <c r="E17" s="236"/>
      <c r="F17" s="236" t="s">
        <v>162</v>
      </c>
      <c r="G17" s="237"/>
      <c r="H17" s="237">
        <v>37110</v>
      </c>
      <c r="I17" s="222">
        <v>958.18349999999998</v>
      </c>
      <c r="J17" s="10"/>
      <c r="K17" s="234"/>
      <c r="L17" s="76"/>
      <c r="M17" s="366">
        <v>1510000</v>
      </c>
      <c r="N17" s="11"/>
      <c r="O17" s="11">
        <v>35000</v>
      </c>
      <c r="P17" s="11"/>
      <c r="Q17" s="379">
        <f>SUM(L17:P19)</f>
        <v>1545000</v>
      </c>
      <c r="R17" s="198" t="s">
        <v>118</v>
      </c>
      <c r="S17" s="218"/>
    </row>
    <row r="18" spans="1:19" s="9" customFormat="1" ht="23.45" customHeight="1">
      <c r="A18" s="364"/>
      <c r="B18" s="390"/>
      <c r="C18" s="236">
        <v>13</v>
      </c>
      <c r="D18" s="239" t="s">
        <v>54</v>
      </c>
      <c r="E18" s="236"/>
      <c r="F18" s="236" t="s">
        <v>59</v>
      </c>
      <c r="G18" s="240"/>
      <c r="H18" s="237">
        <v>13800</v>
      </c>
      <c r="I18" s="237">
        <v>351.84640000000002</v>
      </c>
      <c r="J18" s="92"/>
      <c r="K18" s="234"/>
      <c r="L18" s="76"/>
      <c r="M18" s="367"/>
      <c r="N18" s="11"/>
      <c r="O18" s="11"/>
      <c r="P18" s="11"/>
      <c r="Q18" s="391"/>
      <c r="R18" s="49"/>
    </row>
    <row r="19" spans="1:19" s="9" customFormat="1" ht="23.45" customHeight="1">
      <c r="A19" s="365"/>
      <c r="B19" s="378"/>
      <c r="C19" s="239">
        <v>21</v>
      </c>
      <c r="D19" s="239" t="s">
        <v>147</v>
      </c>
      <c r="E19" s="236"/>
      <c r="F19" s="236" t="s">
        <v>68</v>
      </c>
      <c r="G19" s="240"/>
      <c r="H19" s="237">
        <v>18000</v>
      </c>
      <c r="I19" s="237">
        <v>462.6</v>
      </c>
      <c r="J19" s="119"/>
      <c r="K19" s="234"/>
      <c r="L19" s="76"/>
      <c r="M19" s="368"/>
      <c r="N19" s="11"/>
      <c r="O19" s="11"/>
      <c r="P19" s="11"/>
      <c r="Q19" s="380"/>
      <c r="R19" s="49"/>
    </row>
    <row r="20" spans="1:19" s="9" customFormat="1" ht="23.45" customHeight="1">
      <c r="A20" s="223">
        <v>7</v>
      </c>
      <c r="B20" s="206" t="s">
        <v>222</v>
      </c>
      <c r="C20" s="236">
        <v>23</v>
      </c>
      <c r="D20" s="239" t="s">
        <v>88</v>
      </c>
      <c r="E20" s="236"/>
      <c r="F20" s="236" t="s">
        <v>69</v>
      </c>
      <c r="G20" s="237"/>
      <c r="H20" s="237">
        <v>139230</v>
      </c>
      <c r="I20" s="237">
        <v>2078.7855</v>
      </c>
      <c r="J20" s="92"/>
      <c r="K20" s="223"/>
      <c r="L20" s="76"/>
      <c r="M20" s="14">
        <v>1300000</v>
      </c>
      <c r="N20" s="11"/>
      <c r="O20" s="11"/>
      <c r="P20" s="11"/>
      <c r="Q20" s="155">
        <f t="shared" si="0"/>
        <v>1300000</v>
      </c>
      <c r="R20" s="235"/>
    </row>
    <row r="21" spans="1:19" s="9" customFormat="1" ht="23.45" customHeight="1">
      <c r="A21" s="223">
        <v>8</v>
      </c>
      <c r="B21" s="206" t="s">
        <v>222</v>
      </c>
      <c r="C21" s="236">
        <v>34</v>
      </c>
      <c r="D21" s="220" t="s">
        <v>73</v>
      </c>
      <c r="E21" s="236"/>
      <c r="F21" s="236" t="s">
        <v>66</v>
      </c>
      <c r="G21" s="237">
        <v>3000</v>
      </c>
      <c r="H21" s="237"/>
      <c r="I21" s="237"/>
      <c r="J21" s="92"/>
      <c r="K21" s="119"/>
      <c r="L21" s="14">
        <v>1150000</v>
      </c>
      <c r="M21" s="14"/>
      <c r="N21" s="11"/>
      <c r="O21" s="11"/>
      <c r="P21" s="11"/>
      <c r="Q21" s="155">
        <f t="shared" si="0"/>
        <v>1150000</v>
      </c>
      <c r="R21" s="137" t="s">
        <v>58</v>
      </c>
      <c r="S21" s="81"/>
    </row>
    <row r="22" spans="1:19" s="9" customFormat="1" ht="24" customHeight="1">
      <c r="A22" s="363">
        <v>9</v>
      </c>
      <c r="B22" s="377" t="s">
        <v>224</v>
      </c>
      <c r="C22" s="236">
        <v>1</v>
      </c>
      <c r="D22" s="239" t="s">
        <v>106</v>
      </c>
      <c r="E22" s="236"/>
      <c r="F22" s="236" t="s">
        <v>49</v>
      </c>
      <c r="G22" s="237">
        <v>3530</v>
      </c>
      <c r="H22" s="237"/>
      <c r="I22" s="237"/>
      <c r="J22" s="10"/>
      <c r="K22" s="14"/>
      <c r="L22" s="14">
        <v>800000</v>
      </c>
      <c r="M22" s="14"/>
      <c r="N22" s="14"/>
      <c r="O22" s="14"/>
      <c r="P22" s="14"/>
      <c r="Q22" s="379">
        <f>SUM(L22:P23)</f>
        <v>1430000</v>
      </c>
      <c r="R22" s="207" t="s">
        <v>56</v>
      </c>
    </row>
    <row r="23" spans="1:19" s="9" customFormat="1" ht="23.45" customHeight="1">
      <c r="A23" s="365"/>
      <c r="B23" s="378"/>
      <c r="C23" s="236">
        <v>39</v>
      </c>
      <c r="D23" s="239" t="s">
        <v>133</v>
      </c>
      <c r="E23" s="236"/>
      <c r="F23" s="236" t="s">
        <v>49</v>
      </c>
      <c r="G23" s="240"/>
      <c r="H23" s="237">
        <v>61000</v>
      </c>
      <c r="I23" s="237">
        <v>662.33399999999995</v>
      </c>
      <c r="J23" s="10"/>
      <c r="K23" s="14"/>
      <c r="L23" s="14"/>
      <c r="M23" s="14">
        <v>630000</v>
      </c>
      <c r="N23" s="14"/>
      <c r="O23" s="14"/>
      <c r="P23" s="14"/>
      <c r="Q23" s="380"/>
      <c r="R23" s="117"/>
      <c r="S23" s="209"/>
    </row>
    <row r="24" spans="1:19" s="9" customFormat="1" ht="23.45" customHeight="1">
      <c r="A24" s="223">
        <v>10</v>
      </c>
      <c r="B24" s="206" t="s">
        <v>225</v>
      </c>
      <c r="C24" s="236" t="s">
        <v>355</v>
      </c>
      <c r="D24" s="236" t="s">
        <v>103</v>
      </c>
      <c r="E24" s="236"/>
      <c r="F24" s="236" t="s">
        <v>68</v>
      </c>
      <c r="G24" s="240"/>
      <c r="H24" s="240">
        <f>12950+93000</f>
        <v>105950</v>
      </c>
      <c r="I24" s="77">
        <f>278.45+2038.2162</f>
        <v>2316.6662000000001</v>
      </c>
      <c r="J24" s="10"/>
      <c r="K24" s="14"/>
      <c r="L24" s="14"/>
      <c r="M24" s="14">
        <v>1350000</v>
      </c>
      <c r="N24" s="14"/>
      <c r="O24" s="14"/>
      <c r="P24" s="14"/>
      <c r="Q24" s="155">
        <f>SUM(L24:P24)</f>
        <v>1350000</v>
      </c>
      <c r="R24" s="137" t="s">
        <v>56</v>
      </c>
    </row>
    <row r="25" spans="1:19" s="9" customFormat="1" ht="22.9" customHeight="1">
      <c r="A25" s="223">
        <v>11</v>
      </c>
      <c r="B25" s="206" t="s">
        <v>225</v>
      </c>
      <c r="C25" s="236">
        <v>11</v>
      </c>
      <c r="D25" s="236" t="s">
        <v>205</v>
      </c>
      <c r="E25" s="236"/>
      <c r="F25" s="236" t="s">
        <v>121</v>
      </c>
      <c r="G25" s="240"/>
      <c r="H25" s="240">
        <v>147000</v>
      </c>
      <c r="I25" s="240">
        <v>1278.9000000000001</v>
      </c>
      <c r="J25" s="116"/>
      <c r="K25" s="14"/>
      <c r="L25" s="14"/>
      <c r="M25" s="14">
        <v>1900000</v>
      </c>
      <c r="N25" s="14"/>
      <c r="O25" s="14"/>
      <c r="P25" s="14"/>
      <c r="Q25" s="155">
        <f>SUM(L25:P25)</f>
        <v>1900000</v>
      </c>
      <c r="R25" s="201" t="s">
        <v>58</v>
      </c>
    </row>
    <row r="26" spans="1:19" s="9" customFormat="1" ht="22.9" customHeight="1">
      <c r="A26" s="223">
        <v>12</v>
      </c>
      <c r="B26" s="206" t="s">
        <v>227</v>
      </c>
      <c r="C26" s="236">
        <v>8</v>
      </c>
      <c r="D26" s="239" t="s">
        <v>107</v>
      </c>
      <c r="E26" s="236"/>
      <c r="F26" s="236" t="s">
        <v>78</v>
      </c>
      <c r="G26" s="237"/>
      <c r="H26" s="237">
        <v>45000</v>
      </c>
      <c r="I26" s="237">
        <v>909</v>
      </c>
      <c r="J26" s="116"/>
      <c r="K26" s="14"/>
      <c r="L26" s="14"/>
      <c r="M26" s="14">
        <v>2050000</v>
      </c>
      <c r="N26" s="14"/>
      <c r="O26" s="14"/>
      <c r="P26" s="14"/>
      <c r="Q26" s="155">
        <f t="shared" si="0"/>
        <v>2050000</v>
      </c>
      <c r="R26" s="201"/>
    </row>
    <row r="27" spans="1:19" s="9" customFormat="1" ht="23.45" customHeight="1">
      <c r="A27" s="223">
        <v>13</v>
      </c>
      <c r="B27" s="206" t="s">
        <v>229</v>
      </c>
      <c r="C27" s="236">
        <v>11</v>
      </c>
      <c r="D27" s="239" t="s">
        <v>107</v>
      </c>
      <c r="E27" s="236"/>
      <c r="F27" s="236" t="s">
        <v>78</v>
      </c>
      <c r="G27" s="237"/>
      <c r="H27" s="237">
        <v>45000</v>
      </c>
      <c r="I27" s="237">
        <v>909</v>
      </c>
      <c r="J27" s="10"/>
      <c r="K27" s="14"/>
      <c r="L27" s="14"/>
      <c r="M27" s="14">
        <v>2050000</v>
      </c>
      <c r="N27" s="14"/>
      <c r="O27" s="14"/>
      <c r="P27" s="14"/>
      <c r="Q27" s="155">
        <f t="shared" si="0"/>
        <v>2050000</v>
      </c>
      <c r="R27" s="117"/>
    </row>
    <row r="28" spans="1:19" s="9" customFormat="1" ht="23.45" customHeight="1">
      <c r="A28" s="363">
        <v>14</v>
      </c>
      <c r="B28" s="377" t="s">
        <v>231</v>
      </c>
      <c r="C28" s="239">
        <v>2</v>
      </c>
      <c r="D28" s="236" t="s">
        <v>199</v>
      </c>
      <c r="E28" s="236"/>
      <c r="F28" s="236" t="s">
        <v>200</v>
      </c>
      <c r="G28" s="273">
        <v>200</v>
      </c>
      <c r="H28" s="237"/>
      <c r="I28" s="237"/>
      <c r="J28" s="10"/>
      <c r="K28" s="14"/>
      <c r="L28" s="366">
        <v>20000</v>
      </c>
      <c r="M28" s="14"/>
      <c r="N28" s="14"/>
      <c r="O28" s="14"/>
      <c r="P28" s="14"/>
      <c r="Q28" s="379">
        <f>SUM(L28:P30)</f>
        <v>1980000</v>
      </c>
      <c r="R28" s="117" t="s">
        <v>56</v>
      </c>
    </row>
    <row r="29" spans="1:19" s="9" customFormat="1" ht="23.45" customHeight="1">
      <c r="A29" s="364"/>
      <c r="B29" s="390"/>
      <c r="C29" s="236">
        <v>3</v>
      </c>
      <c r="D29" s="236" t="s">
        <v>199</v>
      </c>
      <c r="E29" s="236"/>
      <c r="F29" s="236" t="s">
        <v>76</v>
      </c>
      <c r="G29" s="273">
        <v>627</v>
      </c>
      <c r="H29" s="237"/>
      <c r="I29" s="237"/>
      <c r="J29" s="10"/>
      <c r="K29" s="14"/>
      <c r="L29" s="368"/>
      <c r="M29" s="14"/>
      <c r="N29" s="14"/>
      <c r="O29" s="14"/>
      <c r="P29" s="14"/>
      <c r="Q29" s="391"/>
      <c r="R29" s="117"/>
    </row>
    <row r="30" spans="1:19" s="9" customFormat="1" ht="23.45" customHeight="1">
      <c r="A30" s="365"/>
      <c r="B30" s="378"/>
      <c r="C30" s="239">
        <v>43</v>
      </c>
      <c r="D30" s="239" t="s">
        <v>356</v>
      </c>
      <c r="E30" s="236"/>
      <c r="F30" s="236" t="s">
        <v>120</v>
      </c>
      <c r="G30" s="240"/>
      <c r="H30" s="237">
        <v>144800</v>
      </c>
      <c r="I30" s="237">
        <v>2161.5790000000002</v>
      </c>
      <c r="J30" s="10"/>
      <c r="K30" s="14"/>
      <c r="L30" s="14"/>
      <c r="M30" s="14">
        <v>1960000</v>
      </c>
      <c r="N30" s="14"/>
      <c r="O30" s="14"/>
      <c r="P30" s="14"/>
      <c r="Q30" s="380"/>
      <c r="R30" s="259"/>
      <c r="S30" s="259"/>
    </row>
    <row r="31" spans="1:19" s="9" customFormat="1" ht="23.45" customHeight="1">
      <c r="A31" s="223">
        <v>15</v>
      </c>
      <c r="B31" s="206" t="s">
        <v>232</v>
      </c>
      <c r="C31" s="236" t="s">
        <v>300</v>
      </c>
      <c r="D31" s="239" t="s">
        <v>88</v>
      </c>
      <c r="E31" s="236"/>
      <c r="F31" s="236" t="s">
        <v>69</v>
      </c>
      <c r="G31" s="237"/>
      <c r="H31" s="237">
        <v>227000</v>
      </c>
      <c r="I31" s="222">
        <v>2290.9079999999999</v>
      </c>
      <c r="J31" s="10"/>
      <c r="K31" s="14"/>
      <c r="L31" s="14"/>
      <c r="M31" s="14">
        <v>1300000</v>
      </c>
      <c r="N31" s="14"/>
      <c r="O31" s="14"/>
      <c r="P31" s="14"/>
      <c r="Q31" s="155">
        <f t="shared" si="0"/>
        <v>1300000</v>
      </c>
      <c r="R31" s="117"/>
    </row>
    <row r="32" spans="1:19" s="9" customFormat="1" ht="23.45" customHeight="1">
      <c r="A32" s="223">
        <v>16</v>
      </c>
      <c r="B32" s="206" t="s">
        <v>232</v>
      </c>
      <c r="C32" s="239" t="s">
        <v>174</v>
      </c>
      <c r="D32" s="239" t="s">
        <v>73</v>
      </c>
      <c r="E32" s="236"/>
      <c r="F32" s="236" t="s">
        <v>66</v>
      </c>
      <c r="G32" s="240">
        <v>3000</v>
      </c>
      <c r="H32" s="77"/>
      <c r="I32" s="77"/>
      <c r="J32" s="116"/>
      <c r="K32" s="14"/>
      <c r="L32" s="14">
        <v>1200000</v>
      </c>
      <c r="M32" s="14"/>
      <c r="N32" s="14"/>
      <c r="O32" s="14"/>
      <c r="P32" s="14"/>
      <c r="Q32" s="155">
        <f t="shared" si="0"/>
        <v>1200000</v>
      </c>
      <c r="R32" s="201" t="s">
        <v>112</v>
      </c>
      <c r="S32" s="202"/>
    </row>
    <row r="33" spans="1:18" s="9" customFormat="1" ht="22.9" customHeight="1">
      <c r="A33" s="223">
        <v>17</v>
      </c>
      <c r="B33" s="206" t="s">
        <v>236</v>
      </c>
      <c r="C33" s="239">
        <v>7</v>
      </c>
      <c r="D33" s="239" t="s">
        <v>85</v>
      </c>
      <c r="E33" s="236"/>
      <c r="F33" s="236" t="s">
        <v>78</v>
      </c>
      <c r="G33" s="240"/>
      <c r="H33" s="237">
        <v>61060</v>
      </c>
      <c r="I33" s="237">
        <v>1408.009</v>
      </c>
      <c r="J33" s="10"/>
      <c r="K33" s="14"/>
      <c r="L33" s="14"/>
      <c r="M33" s="14">
        <v>2050000</v>
      </c>
      <c r="N33" s="14"/>
      <c r="O33" s="14">
        <f>100*500</f>
        <v>50000</v>
      </c>
      <c r="P33" s="14"/>
      <c r="Q33" s="155">
        <f t="shared" si="0"/>
        <v>2100000</v>
      </c>
      <c r="R33" s="117" t="s">
        <v>357</v>
      </c>
    </row>
    <row r="34" spans="1:18" s="9" customFormat="1" ht="23.45" customHeight="1">
      <c r="A34" s="223">
        <v>18</v>
      </c>
      <c r="B34" s="206" t="s">
        <v>237</v>
      </c>
      <c r="C34" s="220" t="s">
        <v>358</v>
      </c>
      <c r="D34" s="220" t="s">
        <v>350</v>
      </c>
      <c r="E34" s="12"/>
      <c r="F34" s="12" t="s">
        <v>121</v>
      </c>
      <c r="G34" s="77"/>
      <c r="H34" s="222">
        <f>168000+13000</f>
        <v>181000</v>
      </c>
      <c r="I34" s="230">
        <f>1461.6+113.1</f>
        <v>1574.6999999999998</v>
      </c>
      <c r="J34" s="10"/>
      <c r="K34" s="14"/>
      <c r="L34" s="14"/>
      <c r="M34" s="14">
        <v>1950000</v>
      </c>
      <c r="N34" s="14"/>
      <c r="O34" s="14"/>
      <c r="P34" s="14"/>
      <c r="Q34" s="155">
        <f t="shared" si="0"/>
        <v>1950000</v>
      </c>
      <c r="R34" s="117"/>
    </row>
    <row r="35" spans="1:18" s="9" customFormat="1" ht="23.45" customHeight="1">
      <c r="A35" s="363">
        <v>19</v>
      </c>
      <c r="B35" s="377" t="s">
        <v>240</v>
      </c>
      <c r="C35" s="220" t="s">
        <v>186</v>
      </c>
      <c r="D35" s="220" t="s">
        <v>88</v>
      </c>
      <c r="E35" s="12"/>
      <c r="F35" s="12" t="s">
        <v>69</v>
      </c>
      <c r="G35" s="77"/>
      <c r="H35" s="222">
        <f>32400+3600</f>
        <v>36000</v>
      </c>
      <c r="I35" s="222">
        <v>709.51949999999999</v>
      </c>
      <c r="J35" s="10"/>
      <c r="K35" s="14"/>
      <c r="L35" s="14"/>
      <c r="M35" s="366">
        <v>1380000</v>
      </c>
      <c r="N35" s="14"/>
      <c r="O35" s="14">
        <v>100000</v>
      </c>
      <c r="P35" s="14"/>
      <c r="Q35" s="379">
        <f>SUM(L35:P36)</f>
        <v>1480000</v>
      </c>
      <c r="R35" s="274" t="s">
        <v>359</v>
      </c>
    </row>
    <row r="36" spans="1:18" s="9" customFormat="1" ht="23.45" customHeight="1">
      <c r="A36" s="365"/>
      <c r="B36" s="378"/>
      <c r="C36" s="220">
        <v>49</v>
      </c>
      <c r="D36" s="220" t="s">
        <v>133</v>
      </c>
      <c r="E36" s="12"/>
      <c r="F36" s="12" t="s">
        <v>69</v>
      </c>
      <c r="G36" s="222"/>
      <c r="H36" s="222">
        <v>155780</v>
      </c>
      <c r="I36" s="222">
        <v>1830.7764</v>
      </c>
      <c r="J36" s="10"/>
      <c r="K36" s="14"/>
      <c r="L36" s="14"/>
      <c r="M36" s="368"/>
      <c r="N36" s="14"/>
      <c r="O36" s="14"/>
      <c r="P36" s="14"/>
      <c r="Q36" s="380"/>
      <c r="R36" s="117"/>
    </row>
    <row r="37" spans="1:18" s="9" customFormat="1" ht="23.45" customHeight="1">
      <c r="A37" s="223">
        <v>20</v>
      </c>
      <c r="B37" s="206" t="s">
        <v>240</v>
      </c>
      <c r="C37" s="220" t="s">
        <v>360</v>
      </c>
      <c r="D37" s="220" t="s">
        <v>73</v>
      </c>
      <c r="E37" s="12"/>
      <c r="F37" s="12" t="s">
        <v>66</v>
      </c>
      <c r="G37" s="77">
        <f>3000+119</f>
        <v>3119</v>
      </c>
      <c r="H37" s="222"/>
      <c r="I37" s="275"/>
      <c r="J37" s="10">
        <v>1198</v>
      </c>
      <c r="K37" s="14"/>
      <c r="L37" s="14">
        <v>1150000</v>
      </c>
      <c r="M37" s="14"/>
      <c r="N37" s="14"/>
      <c r="O37" s="14"/>
      <c r="P37" s="14">
        <f>J37*400</f>
        <v>479200</v>
      </c>
      <c r="Q37" s="155">
        <f t="shared" si="0"/>
        <v>1629200</v>
      </c>
      <c r="R37" s="117" t="s">
        <v>361</v>
      </c>
    </row>
    <row r="38" spans="1:18" s="9" customFormat="1" ht="23.45" customHeight="1">
      <c r="A38" s="363">
        <v>21</v>
      </c>
      <c r="B38" s="377" t="s">
        <v>241</v>
      </c>
      <c r="C38" s="220">
        <v>21</v>
      </c>
      <c r="D38" s="220" t="s">
        <v>106</v>
      </c>
      <c r="E38" s="12"/>
      <c r="F38" s="12" t="s">
        <v>49</v>
      </c>
      <c r="G38" s="222">
        <v>3780</v>
      </c>
      <c r="H38" s="222"/>
      <c r="I38" s="222"/>
      <c r="J38" s="10"/>
      <c r="K38" s="14"/>
      <c r="L38" s="14">
        <v>800000</v>
      </c>
      <c r="M38" s="14"/>
      <c r="N38" s="14"/>
      <c r="O38" s="14"/>
      <c r="P38" s="14"/>
      <c r="Q38" s="379">
        <f>SUM(L38:P39)</f>
        <v>1430000</v>
      </c>
      <c r="R38" s="117" t="s">
        <v>56</v>
      </c>
    </row>
    <row r="39" spans="1:18" s="9" customFormat="1" ht="23.45" customHeight="1">
      <c r="A39" s="365"/>
      <c r="B39" s="378"/>
      <c r="C39" s="220">
        <v>26</v>
      </c>
      <c r="D39" s="220" t="s">
        <v>133</v>
      </c>
      <c r="E39" s="12"/>
      <c r="F39" s="12" t="s">
        <v>49</v>
      </c>
      <c r="G39" s="77"/>
      <c r="H39" s="222">
        <v>30600</v>
      </c>
      <c r="I39" s="222">
        <v>624.39300000000003</v>
      </c>
      <c r="J39" s="10"/>
      <c r="K39" s="14"/>
      <c r="L39" s="14"/>
      <c r="M39" s="14">
        <v>630000</v>
      </c>
      <c r="N39" s="14"/>
      <c r="O39" s="14"/>
      <c r="P39" s="14"/>
      <c r="Q39" s="380"/>
      <c r="R39" s="117"/>
    </row>
    <row r="40" spans="1:18" s="9" customFormat="1" ht="23.45" customHeight="1">
      <c r="A40" s="363">
        <v>22</v>
      </c>
      <c r="B40" s="377" t="s">
        <v>245</v>
      </c>
      <c r="C40" s="220">
        <v>2</v>
      </c>
      <c r="D40" s="220" t="s">
        <v>52</v>
      </c>
      <c r="E40" s="12"/>
      <c r="F40" s="12" t="s">
        <v>93</v>
      </c>
      <c r="G40" s="222"/>
      <c r="H40" s="222">
        <v>15040</v>
      </c>
      <c r="I40" s="222">
        <v>281.03109999999998</v>
      </c>
      <c r="J40" s="10"/>
      <c r="K40" s="14"/>
      <c r="L40" s="14"/>
      <c r="M40" s="14">
        <v>130000</v>
      </c>
      <c r="N40" s="14"/>
      <c r="O40" s="14"/>
      <c r="P40" s="14"/>
      <c r="Q40" s="379">
        <f>SUM(L40:P41)</f>
        <v>780000</v>
      </c>
      <c r="R40" s="117" t="s">
        <v>56</v>
      </c>
    </row>
    <row r="41" spans="1:18" s="9" customFormat="1" ht="23.45" customHeight="1">
      <c r="A41" s="365"/>
      <c r="B41" s="378"/>
      <c r="C41" s="220">
        <v>25</v>
      </c>
      <c r="D41" s="220" t="s">
        <v>362</v>
      </c>
      <c r="E41" s="12"/>
      <c r="F41" s="12" t="s">
        <v>74</v>
      </c>
      <c r="G41" s="222">
        <v>3489</v>
      </c>
      <c r="H41" s="222"/>
      <c r="I41" s="222"/>
      <c r="J41" s="10"/>
      <c r="K41" s="14"/>
      <c r="L41" s="14">
        <v>650000</v>
      </c>
      <c r="M41" s="14"/>
      <c r="N41" s="14"/>
      <c r="O41" s="14"/>
      <c r="P41" s="14"/>
      <c r="Q41" s="380"/>
      <c r="R41" s="117"/>
    </row>
    <row r="42" spans="1:18" s="9" customFormat="1" ht="23.45" customHeight="1">
      <c r="A42" s="223">
        <v>23</v>
      </c>
      <c r="B42" s="206" t="s">
        <v>245</v>
      </c>
      <c r="C42" s="220" t="s">
        <v>363</v>
      </c>
      <c r="D42" s="220" t="s">
        <v>73</v>
      </c>
      <c r="E42" s="12"/>
      <c r="F42" s="12" t="s">
        <v>66</v>
      </c>
      <c r="G42" s="230">
        <v>2000</v>
      </c>
      <c r="H42" s="77"/>
      <c r="I42" s="139"/>
      <c r="J42" s="10">
        <v>859</v>
      </c>
      <c r="K42" s="14"/>
      <c r="L42" s="14">
        <v>1050000</v>
      </c>
      <c r="M42" s="14"/>
      <c r="N42" s="14"/>
      <c r="O42" s="14"/>
      <c r="P42" s="14">
        <f>J42*400</f>
        <v>343600</v>
      </c>
      <c r="Q42" s="155">
        <f t="shared" si="0"/>
        <v>1393600</v>
      </c>
      <c r="R42" s="117" t="s">
        <v>364</v>
      </c>
    </row>
    <row r="43" spans="1:18" s="9" customFormat="1" ht="23.45" customHeight="1">
      <c r="A43" s="223">
        <v>24</v>
      </c>
      <c r="B43" s="206" t="s">
        <v>248</v>
      </c>
      <c r="C43" s="220" t="s">
        <v>365</v>
      </c>
      <c r="D43" s="220" t="s">
        <v>88</v>
      </c>
      <c r="E43" s="12"/>
      <c r="F43" s="12" t="s">
        <v>69</v>
      </c>
      <c r="G43" s="222"/>
      <c r="H43" s="222">
        <v>135660</v>
      </c>
      <c r="I43" s="222">
        <v>2145.1109999999999</v>
      </c>
      <c r="J43" s="10"/>
      <c r="K43" s="14"/>
      <c r="L43" s="14"/>
      <c r="M43" s="14">
        <v>1300000</v>
      </c>
      <c r="N43" s="14"/>
      <c r="O43" s="14"/>
      <c r="P43" s="14"/>
      <c r="Q43" s="155">
        <f t="shared" si="0"/>
        <v>1300000</v>
      </c>
      <c r="R43" s="117"/>
    </row>
    <row r="44" spans="1:18" s="9" customFormat="1" ht="23.45" customHeight="1">
      <c r="A44" s="223">
        <v>25</v>
      </c>
      <c r="B44" s="206" t="s">
        <v>248</v>
      </c>
      <c r="C44" s="12">
        <v>44</v>
      </c>
      <c r="D44" s="220" t="s">
        <v>152</v>
      </c>
      <c r="E44" s="12"/>
      <c r="F44" s="12" t="s">
        <v>69</v>
      </c>
      <c r="G44" s="222"/>
      <c r="H44" s="222">
        <v>66000</v>
      </c>
      <c r="I44" s="222">
        <v>1333.2</v>
      </c>
      <c r="J44" s="10"/>
      <c r="K44" s="14"/>
      <c r="L44" s="14"/>
      <c r="M44" s="14">
        <v>1250000</v>
      </c>
      <c r="N44" s="14"/>
      <c r="O44" s="14">
        <v>50000</v>
      </c>
      <c r="P44" s="14"/>
      <c r="Q44" s="155">
        <f t="shared" si="0"/>
        <v>1300000</v>
      </c>
      <c r="R44" s="117" t="s">
        <v>150</v>
      </c>
    </row>
    <row r="45" spans="1:18" s="9" customFormat="1" ht="23.45" customHeight="1">
      <c r="A45" s="363">
        <v>26</v>
      </c>
      <c r="B45" s="377" t="s">
        <v>250</v>
      </c>
      <c r="C45" s="220" t="s">
        <v>281</v>
      </c>
      <c r="D45" s="220" t="s">
        <v>339</v>
      </c>
      <c r="E45" s="12"/>
      <c r="F45" s="12" t="s">
        <v>82</v>
      </c>
      <c r="G45" s="77"/>
      <c r="H45" s="222">
        <f>69000+48700</f>
        <v>117700</v>
      </c>
      <c r="I45" s="222">
        <f>838.8724+1230.366</f>
        <v>2069.2384000000002</v>
      </c>
      <c r="J45" s="10"/>
      <c r="K45" s="14"/>
      <c r="L45" s="14"/>
      <c r="M45" s="14">
        <v>1380000</v>
      </c>
      <c r="N45" s="14"/>
      <c r="O45" s="14"/>
      <c r="P45" s="14"/>
      <c r="Q45" s="379">
        <f>SUM(L45:P46)</f>
        <v>1680000</v>
      </c>
      <c r="R45" s="117"/>
    </row>
    <row r="46" spans="1:18" s="9" customFormat="1" ht="23.45" customHeight="1">
      <c r="A46" s="365"/>
      <c r="B46" s="378"/>
      <c r="C46" s="220">
        <v>46</v>
      </c>
      <c r="D46" s="220" t="s">
        <v>366</v>
      </c>
      <c r="E46" s="12"/>
      <c r="F46" s="12" t="s">
        <v>80</v>
      </c>
      <c r="G46" s="222">
        <v>1200</v>
      </c>
      <c r="H46" s="222"/>
      <c r="I46" s="222"/>
      <c r="J46" s="10"/>
      <c r="K46" s="14"/>
      <c r="L46" s="14">
        <v>300000</v>
      </c>
      <c r="M46" s="14"/>
      <c r="N46" s="14"/>
      <c r="O46" s="14"/>
      <c r="P46" s="14"/>
      <c r="Q46" s="380"/>
      <c r="R46" s="117"/>
    </row>
    <row r="47" spans="1:18" s="9" customFormat="1" ht="23.45" customHeight="1">
      <c r="A47" s="223">
        <v>27</v>
      </c>
      <c r="B47" s="206" t="s">
        <v>250</v>
      </c>
      <c r="C47" s="239">
        <v>6</v>
      </c>
      <c r="D47" s="239" t="s">
        <v>133</v>
      </c>
      <c r="E47" s="236"/>
      <c r="F47" s="236" t="s">
        <v>120</v>
      </c>
      <c r="G47" s="237"/>
      <c r="H47" s="237">
        <v>197000</v>
      </c>
      <c r="I47" s="237">
        <v>2307.9281000000001</v>
      </c>
      <c r="J47" s="10"/>
      <c r="K47" s="14"/>
      <c r="L47" s="14"/>
      <c r="M47" s="14">
        <v>1900000</v>
      </c>
      <c r="N47" s="14"/>
      <c r="O47" s="14">
        <v>200000</v>
      </c>
      <c r="P47" s="14"/>
      <c r="Q47" s="155">
        <f t="shared" si="0"/>
        <v>2100000</v>
      </c>
      <c r="R47" s="117" t="s">
        <v>108</v>
      </c>
    </row>
    <row r="48" spans="1:18" s="9" customFormat="1" ht="23.45" customHeight="1">
      <c r="A48" s="276">
        <v>28</v>
      </c>
      <c r="B48" s="206" t="s">
        <v>252</v>
      </c>
      <c r="C48" s="220">
        <v>33</v>
      </c>
      <c r="D48" s="220" t="s">
        <v>203</v>
      </c>
      <c r="E48" s="12"/>
      <c r="F48" s="12" t="s">
        <v>69</v>
      </c>
      <c r="G48" s="77"/>
      <c r="H48" s="222">
        <v>212400</v>
      </c>
      <c r="I48" s="222">
        <v>2175.3389999999999</v>
      </c>
      <c r="J48" s="10"/>
      <c r="K48" s="14"/>
      <c r="L48" s="14"/>
      <c r="M48" s="14">
        <v>1300000</v>
      </c>
      <c r="N48" s="14"/>
      <c r="O48" s="14"/>
      <c r="P48" s="14"/>
      <c r="Q48" s="155">
        <f t="shared" si="0"/>
        <v>1300000</v>
      </c>
      <c r="R48" s="117"/>
    </row>
    <row r="49" spans="1:19" s="9" customFormat="1" ht="23.45" customHeight="1">
      <c r="A49" s="276">
        <v>29</v>
      </c>
      <c r="B49" s="206" t="s">
        <v>254</v>
      </c>
      <c r="C49" s="220">
        <v>13</v>
      </c>
      <c r="D49" s="220" t="s">
        <v>99</v>
      </c>
      <c r="E49" s="12"/>
      <c r="F49" s="12" t="s">
        <v>49</v>
      </c>
      <c r="G49" s="77"/>
      <c r="H49" s="222">
        <v>35520</v>
      </c>
      <c r="I49" s="222">
        <v>968.55349999999999</v>
      </c>
      <c r="J49" s="10"/>
      <c r="K49" s="14"/>
      <c r="L49" s="14"/>
      <c r="M49" s="14">
        <v>1300000</v>
      </c>
      <c r="N49" s="14"/>
      <c r="O49" s="14"/>
      <c r="P49" s="14"/>
      <c r="Q49" s="155">
        <f t="shared" si="0"/>
        <v>1300000</v>
      </c>
      <c r="R49" s="117"/>
    </row>
    <row r="50" spans="1:19" s="9" customFormat="1" ht="23.45" customHeight="1">
      <c r="A50" s="223">
        <v>30</v>
      </c>
      <c r="B50" s="206" t="s">
        <v>256</v>
      </c>
      <c r="C50" s="220" t="s">
        <v>367</v>
      </c>
      <c r="D50" s="220" t="s">
        <v>188</v>
      </c>
      <c r="E50" s="12"/>
      <c r="F50" s="12" t="s">
        <v>49</v>
      </c>
      <c r="G50" s="222">
        <f>1020+2879</f>
        <v>3899</v>
      </c>
      <c r="H50" s="77"/>
      <c r="I50" s="77"/>
      <c r="J50" s="10"/>
      <c r="K50" s="14"/>
      <c r="L50" s="14">
        <v>1250000</v>
      </c>
      <c r="M50" s="14"/>
      <c r="N50" s="14"/>
      <c r="O50" s="14"/>
      <c r="P50" s="14"/>
      <c r="Q50" s="155">
        <f t="shared" si="0"/>
        <v>1250000</v>
      </c>
      <c r="R50" s="117" t="s">
        <v>56</v>
      </c>
    </row>
    <row r="51" spans="1:19" s="9" customFormat="1" ht="25.9" customHeight="1">
      <c r="A51" s="223">
        <v>31</v>
      </c>
      <c r="B51" s="206" t="s">
        <v>256</v>
      </c>
      <c r="C51" s="220">
        <v>10</v>
      </c>
      <c r="D51" s="220" t="s">
        <v>79</v>
      </c>
      <c r="E51" s="12"/>
      <c r="F51" s="12" t="s">
        <v>80</v>
      </c>
      <c r="G51" s="77">
        <v>4137</v>
      </c>
      <c r="H51" s="77"/>
      <c r="I51" s="77"/>
      <c r="J51" s="10"/>
      <c r="K51" s="14"/>
      <c r="L51" s="14">
        <v>1250000</v>
      </c>
      <c r="M51" s="14"/>
      <c r="N51" s="14"/>
      <c r="O51" s="14"/>
      <c r="P51" s="14"/>
      <c r="Q51" s="155">
        <f t="shared" si="0"/>
        <v>1250000</v>
      </c>
      <c r="R51" s="201" t="s">
        <v>58</v>
      </c>
    </row>
    <row r="52" spans="1:19" s="9" customFormat="1" ht="23.45" customHeight="1">
      <c r="A52" s="363">
        <v>32</v>
      </c>
      <c r="B52" s="377" t="s">
        <v>260</v>
      </c>
      <c r="C52" s="220">
        <v>19</v>
      </c>
      <c r="D52" s="220" t="s">
        <v>85</v>
      </c>
      <c r="E52" s="12"/>
      <c r="F52" s="12" t="s">
        <v>78</v>
      </c>
      <c r="G52" s="77"/>
      <c r="H52" s="77">
        <v>58470</v>
      </c>
      <c r="I52" s="222">
        <v>1470.9608000000001</v>
      </c>
      <c r="J52" s="10"/>
      <c r="K52" s="14"/>
      <c r="L52" s="14"/>
      <c r="M52" s="14">
        <v>1630000</v>
      </c>
      <c r="N52" s="14"/>
      <c r="O52" s="14">
        <f>103*500</f>
        <v>51500</v>
      </c>
      <c r="P52" s="14"/>
      <c r="Q52" s="379">
        <f>SUM(L52:P53)</f>
        <v>2571100</v>
      </c>
      <c r="R52" s="117" t="s">
        <v>368</v>
      </c>
    </row>
    <row r="53" spans="1:19" s="9" customFormat="1" ht="23.45" customHeight="1">
      <c r="A53" s="365"/>
      <c r="B53" s="378"/>
      <c r="C53" s="220">
        <v>34</v>
      </c>
      <c r="D53" s="220" t="s">
        <v>73</v>
      </c>
      <c r="E53" s="12"/>
      <c r="F53" s="12" t="s">
        <v>66</v>
      </c>
      <c r="G53" s="77">
        <v>2500</v>
      </c>
      <c r="H53" s="222"/>
      <c r="I53" s="222"/>
      <c r="J53" s="10">
        <v>974</v>
      </c>
      <c r="K53" s="14"/>
      <c r="L53" s="14">
        <v>500000</v>
      </c>
      <c r="M53" s="14"/>
      <c r="N53" s="14"/>
      <c r="O53" s="14"/>
      <c r="P53" s="14">
        <f>J53*400</f>
        <v>389600</v>
      </c>
      <c r="Q53" s="380"/>
      <c r="R53" s="117" t="s">
        <v>195</v>
      </c>
    </row>
    <row r="54" spans="1:19" s="9" customFormat="1" ht="23.45" customHeight="1">
      <c r="A54" s="363">
        <v>33</v>
      </c>
      <c r="B54" s="377" t="s">
        <v>263</v>
      </c>
      <c r="C54" s="220">
        <v>3</v>
      </c>
      <c r="D54" s="220" t="s">
        <v>191</v>
      </c>
      <c r="E54" s="12"/>
      <c r="F54" s="12" t="s">
        <v>71</v>
      </c>
      <c r="G54" s="77">
        <v>2816</v>
      </c>
      <c r="H54" s="77"/>
      <c r="I54" s="77"/>
      <c r="J54" s="10"/>
      <c r="K54" s="14"/>
      <c r="L54" s="366">
        <v>1530000</v>
      </c>
      <c r="M54" s="14"/>
      <c r="N54" s="14"/>
      <c r="O54" s="14"/>
      <c r="P54" s="14"/>
      <c r="Q54" s="379">
        <f>SUM(L54:P55)</f>
        <v>1530000</v>
      </c>
      <c r="R54" s="117"/>
    </row>
    <row r="55" spans="1:19" s="9" customFormat="1" ht="23.45" customHeight="1">
      <c r="A55" s="365"/>
      <c r="B55" s="378"/>
      <c r="C55" s="220">
        <v>30</v>
      </c>
      <c r="D55" s="220" t="s">
        <v>77</v>
      </c>
      <c r="E55" s="12"/>
      <c r="F55" s="12" t="s">
        <v>82</v>
      </c>
      <c r="G55" s="77">
        <v>1000</v>
      </c>
      <c r="H55" s="240"/>
      <c r="I55" s="240"/>
      <c r="J55" s="10"/>
      <c r="K55" s="14"/>
      <c r="L55" s="368"/>
      <c r="M55" s="14"/>
      <c r="N55" s="14"/>
      <c r="O55" s="14"/>
      <c r="P55" s="14"/>
      <c r="Q55" s="380"/>
      <c r="R55" s="117"/>
    </row>
    <row r="56" spans="1:19" s="23" customFormat="1" ht="27" customHeight="1">
      <c r="A56" s="338" t="s">
        <v>20</v>
      </c>
      <c r="B56" s="338"/>
      <c r="C56" s="338"/>
      <c r="D56" s="338"/>
      <c r="E56" s="338"/>
      <c r="F56" s="338"/>
      <c r="G56" s="22">
        <f>SUM(G9:G55)</f>
        <v>45873</v>
      </c>
      <c r="H56" s="22">
        <f>SUM(H9:H55)</f>
        <v>2645520</v>
      </c>
      <c r="I56" s="22">
        <f>SUM(I9:I55)</f>
        <v>38482.294600000001</v>
      </c>
      <c r="J56" s="174">
        <f>SUM(J9:J55)</f>
        <v>3932</v>
      </c>
      <c r="K56" s="22">
        <f>SUM(K9:K55)</f>
        <v>0</v>
      </c>
      <c r="L56" s="22">
        <f>SUM(L8:L55)</f>
        <v>14730000</v>
      </c>
      <c r="M56" s="22">
        <f>SUM(M8:M55)</f>
        <v>34840000</v>
      </c>
      <c r="N56" s="22">
        <f>SUM(N9:N55)</f>
        <v>0</v>
      </c>
      <c r="O56" s="22">
        <f>SUM(O8:O55)</f>
        <v>636500</v>
      </c>
      <c r="P56" s="22">
        <f>SUM(P8:P55)</f>
        <v>1572800</v>
      </c>
      <c r="Q56" s="150">
        <f>SUM(Q8:Q55)</f>
        <v>51779300</v>
      </c>
      <c r="R56" s="104"/>
      <c r="S56" s="32"/>
    </row>
    <row r="57" spans="1:19" s="23" customFormat="1" ht="26.45" customHeight="1">
      <c r="A57" s="336" t="s">
        <v>21</v>
      </c>
      <c r="B57" s="336"/>
      <c r="C57" s="336"/>
      <c r="D57" s="336"/>
      <c r="E57" s="336"/>
      <c r="F57" s="336"/>
      <c r="G57" s="22"/>
      <c r="H57" s="22"/>
      <c r="I57" s="22"/>
      <c r="J57" s="174"/>
      <c r="K57" s="22"/>
      <c r="L57" s="22"/>
      <c r="M57" s="22"/>
      <c r="N57" s="22"/>
      <c r="O57" s="22"/>
      <c r="P57" s="22"/>
      <c r="Q57" s="22">
        <f>8%*Q56</f>
        <v>4142344</v>
      </c>
      <c r="R57" s="66"/>
      <c r="S57" s="231"/>
    </row>
    <row r="58" spans="1:19" s="23" customFormat="1" ht="21" customHeight="1">
      <c r="A58" s="336" t="s">
        <v>22</v>
      </c>
      <c r="B58" s="336"/>
      <c r="C58" s="336"/>
      <c r="D58" s="336"/>
      <c r="E58" s="336"/>
      <c r="F58" s="336"/>
      <c r="G58" s="22"/>
      <c r="H58" s="22"/>
      <c r="I58" s="22"/>
      <c r="J58" s="174"/>
      <c r="K58" s="22"/>
      <c r="L58" s="22"/>
      <c r="M58" s="22"/>
      <c r="N58" s="22"/>
      <c r="O58" s="22"/>
      <c r="P58" s="22"/>
      <c r="Q58" s="22">
        <f>Q57+Q56</f>
        <v>55921644</v>
      </c>
      <c r="R58" s="67"/>
    </row>
    <row r="59" spans="1:19" s="23" customFormat="1" ht="28.9" customHeight="1">
      <c r="A59" s="54"/>
      <c r="B59" s="105"/>
      <c r="C59" s="25"/>
      <c r="D59" s="25"/>
      <c r="E59" s="25"/>
      <c r="F59" s="25"/>
      <c r="G59" s="26"/>
      <c r="H59" s="26"/>
      <c r="I59" s="26"/>
      <c r="J59" s="175"/>
      <c r="K59" s="26"/>
      <c r="L59" s="26"/>
      <c r="M59" s="26"/>
      <c r="N59" s="26"/>
      <c r="O59" s="26"/>
      <c r="P59" s="26"/>
      <c r="Q59" s="26"/>
      <c r="R59" s="50"/>
      <c r="S59" s="28"/>
    </row>
    <row r="60" spans="1:19" s="23" customFormat="1" ht="24.6" customHeight="1">
      <c r="A60" s="337" t="s">
        <v>23</v>
      </c>
      <c r="B60" s="337"/>
      <c r="C60" s="337"/>
      <c r="D60" s="337"/>
      <c r="E60" s="337"/>
      <c r="F60" s="337"/>
      <c r="G60" s="29">
        <f>G56</f>
        <v>45873</v>
      </c>
      <c r="H60" s="29"/>
      <c r="I60" s="29"/>
      <c r="J60" s="176"/>
      <c r="K60" s="30">
        <f>G56+J56</f>
        <v>49805</v>
      </c>
      <c r="L60" s="29"/>
      <c r="M60" s="29"/>
      <c r="N60" s="29"/>
      <c r="O60" s="29"/>
      <c r="P60" s="29"/>
      <c r="Q60" s="29">
        <f>L56+N56</f>
        <v>14730000</v>
      </c>
      <c r="R60" s="70">
        <f>Q60/G60</f>
        <v>321.10391733699561</v>
      </c>
      <c r="S60" s="32"/>
    </row>
    <row r="61" spans="1:19" s="23" customFormat="1" ht="24.6" customHeight="1">
      <c r="A61" s="337" t="s">
        <v>24</v>
      </c>
      <c r="B61" s="337"/>
      <c r="C61" s="337"/>
      <c r="D61" s="337"/>
      <c r="E61" s="337"/>
      <c r="F61" s="337"/>
      <c r="G61" s="29"/>
      <c r="H61" s="29"/>
      <c r="I61" s="29">
        <f>I56</f>
        <v>38482.294600000001</v>
      </c>
      <c r="J61" s="176">
        <f>J56</f>
        <v>3932</v>
      </c>
      <c r="K61" s="29"/>
      <c r="L61" s="29"/>
      <c r="M61" s="29"/>
      <c r="N61" s="29"/>
      <c r="O61" s="29"/>
      <c r="P61" s="29"/>
      <c r="Q61" s="29">
        <f>M56+O56</f>
        <v>35476500</v>
      </c>
      <c r="R61" s="70">
        <f>Q61/I61</f>
        <v>921.89149240596475</v>
      </c>
      <c r="S61" s="32"/>
    </row>
    <row r="62" spans="1:19" s="23" customFormat="1" ht="24.6" customHeight="1">
      <c r="A62" s="337" t="s">
        <v>25</v>
      </c>
      <c r="B62" s="337"/>
      <c r="C62" s="337"/>
      <c r="D62" s="337"/>
      <c r="E62" s="337"/>
      <c r="F62" s="337"/>
      <c r="G62" s="29"/>
      <c r="H62" s="29"/>
      <c r="I62" s="29"/>
      <c r="J62" s="176"/>
      <c r="K62" s="29"/>
      <c r="L62" s="29"/>
      <c r="M62" s="29"/>
      <c r="N62" s="29"/>
      <c r="O62" s="29"/>
      <c r="P62" s="29">
        <f>J56</f>
        <v>3932</v>
      </c>
      <c r="Q62" s="29">
        <f>P56</f>
        <v>1572800</v>
      </c>
      <c r="R62" s="70">
        <f>Q62/P62</f>
        <v>400</v>
      </c>
      <c r="S62" s="32"/>
    </row>
    <row r="63" spans="1:19">
      <c r="B63" s="106"/>
      <c r="C63" s="3" t="s">
        <v>27</v>
      </c>
      <c r="D63" s="34"/>
      <c r="E63" s="35"/>
      <c r="F63" s="35"/>
      <c r="G63" s="36" t="s">
        <v>264</v>
      </c>
      <c r="H63" s="37"/>
      <c r="I63" s="37"/>
      <c r="J63" s="36"/>
      <c r="K63" s="38"/>
      <c r="L63" s="1"/>
      <c r="M63" s="1"/>
      <c r="N63" s="1"/>
      <c r="O63" s="1"/>
      <c r="P63" s="1"/>
      <c r="Q63" s="151" t="s">
        <v>28</v>
      </c>
    </row>
    <row r="64" spans="1:19" ht="18" customHeight="1">
      <c r="B64" s="106"/>
      <c r="D64" s="34"/>
      <c r="E64" s="39"/>
      <c r="F64" s="39"/>
      <c r="G64" s="40"/>
      <c r="H64" s="33"/>
      <c r="I64" s="34"/>
      <c r="J64" s="33"/>
      <c r="K64" s="34"/>
    </row>
    <row r="65" spans="1:18" s="8" customFormat="1" ht="18" customHeight="1">
      <c r="A65" s="1"/>
      <c r="B65" s="106"/>
      <c r="C65" s="3"/>
      <c r="D65" s="3"/>
      <c r="E65" s="3"/>
      <c r="F65" s="3"/>
      <c r="G65" s="41"/>
      <c r="J65" s="1"/>
      <c r="Q65" s="133"/>
      <c r="R65" s="3"/>
    </row>
    <row r="66" spans="1:18">
      <c r="B66" s="106"/>
      <c r="E66" s="39"/>
      <c r="F66" s="39"/>
      <c r="G66" s="40"/>
      <c r="H66" s="33"/>
      <c r="I66" s="34"/>
      <c r="J66" s="33"/>
      <c r="K66" s="34"/>
    </row>
    <row r="67" spans="1:18">
      <c r="H67" s="45"/>
      <c r="Q67" s="134"/>
    </row>
    <row r="68" spans="1:18">
      <c r="C68" s="47"/>
      <c r="G68" s="36" t="str">
        <f>'[1]A VIEN'!G66</f>
        <v>Đặng Thị Mỹ Tin</v>
      </c>
      <c r="H68" s="45"/>
      <c r="Q68" s="158" t="s">
        <v>135</v>
      </c>
    </row>
    <row r="70" spans="1:18">
      <c r="Q70" s="120" t="s">
        <v>62</v>
      </c>
    </row>
    <row r="71" spans="1:18">
      <c r="L71" s="7">
        <f>L56+'[1]A DANH'!L46+'[1]CHU HOANG'!L51+'[1]TU 2T'!K54</f>
        <v>41480000</v>
      </c>
      <c r="N71" s="7">
        <f>N56+'[1]A DANH'!N46+'[1]CHU HOANG'!N51+'[1]TU 2T'!O54</f>
        <v>680000</v>
      </c>
      <c r="P71" s="7">
        <f>P56+'[1]A DANH'!P46+'[1]CHU HOANG'!P51</f>
        <v>6034800</v>
      </c>
      <c r="Q71" s="120">
        <f>Q56+'[1]A DANH'!Q46+'[1]CHU HOANG'!Q51+'[1]TU 2T'!P54</f>
        <v>186724800</v>
      </c>
      <c r="R71" s="51"/>
    </row>
    <row r="72" spans="1:18">
      <c r="L72" s="7">
        <f>L71+N72</f>
        <v>44350000</v>
      </c>
      <c r="N72" s="7">
        <v>2870000</v>
      </c>
    </row>
  </sheetData>
  <mergeCells count="70">
    <mergeCell ref="A62:F62"/>
    <mergeCell ref="A56:F56"/>
    <mergeCell ref="A60:F60"/>
    <mergeCell ref="A57:F57"/>
    <mergeCell ref="A58:F58"/>
    <mergeCell ref="A61:F61"/>
    <mergeCell ref="A52:A53"/>
    <mergeCell ref="B52:B53"/>
    <mergeCell ref="Q52:Q53"/>
    <mergeCell ref="A54:A55"/>
    <mergeCell ref="B54:B55"/>
    <mergeCell ref="L54:L55"/>
    <mergeCell ref="Q54:Q55"/>
    <mergeCell ref="A45:A46"/>
    <mergeCell ref="B45:B46"/>
    <mergeCell ref="Q45:Q46"/>
    <mergeCell ref="A35:A36"/>
    <mergeCell ref="B35:B36"/>
    <mergeCell ref="M35:M36"/>
    <mergeCell ref="Q35:Q36"/>
    <mergeCell ref="A38:A39"/>
    <mergeCell ref="B38:B39"/>
    <mergeCell ref="Q38:Q39"/>
    <mergeCell ref="A40:A41"/>
    <mergeCell ref="B40:B41"/>
    <mergeCell ref="A1:R1"/>
    <mergeCell ref="A2:R2"/>
    <mergeCell ref="A3:R3"/>
    <mergeCell ref="A4:C4"/>
    <mergeCell ref="A5:A7"/>
    <mergeCell ref="B5:B7"/>
    <mergeCell ref="C5:C7"/>
    <mergeCell ref="D5:D7"/>
    <mergeCell ref="E5:F5"/>
    <mergeCell ref="G5:J5"/>
    <mergeCell ref="K5:K7"/>
    <mergeCell ref="L5:M6"/>
    <mergeCell ref="R5:R7"/>
    <mergeCell ref="H6:I6"/>
    <mergeCell ref="P5:P7"/>
    <mergeCell ref="E6:E7"/>
    <mergeCell ref="F6:F7"/>
    <mergeCell ref="Q5:Q7"/>
    <mergeCell ref="N5:O6"/>
    <mergeCell ref="A10:A11"/>
    <mergeCell ref="B10:B11"/>
    <mergeCell ref="Q10:Q11"/>
    <mergeCell ref="A8:A9"/>
    <mergeCell ref="B8:B9"/>
    <mergeCell ref="M8:M9"/>
    <mergeCell ref="Q8:Q9"/>
    <mergeCell ref="M10:M11"/>
    <mergeCell ref="A13:A14"/>
    <mergeCell ref="B13:B14"/>
    <mergeCell ref="Q13:Q14"/>
    <mergeCell ref="A15:A16"/>
    <mergeCell ref="B15:B16"/>
    <mergeCell ref="Q15:Q16"/>
    <mergeCell ref="Q40:Q41"/>
    <mergeCell ref="A17:A19"/>
    <mergeCell ref="B17:B19"/>
    <mergeCell ref="M17:M19"/>
    <mergeCell ref="Q17:Q19"/>
    <mergeCell ref="B28:B30"/>
    <mergeCell ref="L28:L29"/>
    <mergeCell ref="Q28:Q30"/>
    <mergeCell ref="A22:A23"/>
    <mergeCell ref="B22:B23"/>
    <mergeCell ref="Q22:Q23"/>
    <mergeCell ref="A28:A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71"/>
  <sheetViews>
    <sheetView topLeftCell="B1" zoomScale="85" zoomScaleNormal="85" workbookViewId="0">
      <selection activeCell="K20" sqref="K20"/>
    </sheetView>
  </sheetViews>
  <sheetFormatPr defaultColWidth="9.140625" defaultRowHeight="15"/>
  <cols>
    <col min="1" max="1" width="8.42578125" style="1" customWidth="1"/>
    <col min="2" max="2" width="13.28515625" style="107" customWidth="1"/>
    <col min="3" max="3" width="12.7109375" style="3" customWidth="1"/>
    <col min="4" max="4" width="22.28515625" style="3" customWidth="1"/>
    <col min="5" max="5" width="14.5703125" style="43" customWidth="1"/>
    <col min="6" max="6" width="20" style="44" customWidth="1"/>
    <col min="7" max="7" width="14.5703125" style="37" customWidth="1"/>
    <col min="8" max="8" width="15.85546875" style="48" customWidth="1"/>
    <col min="9" max="9" width="12.42578125" style="46" customWidth="1"/>
    <col min="10" max="10" width="14.28515625" style="74" customWidth="1"/>
    <col min="11" max="11" width="13.42578125" style="7" customWidth="1"/>
    <col min="12" max="12" width="16.7109375" style="7" customWidth="1"/>
    <col min="13" max="13" width="15.85546875" style="7" customWidth="1"/>
    <col min="14" max="15" width="13.7109375" style="7" customWidth="1"/>
    <col min="16" max="16" width="15.28515625" style="7" customWidth="1"/>
    <col min="17" max="17" width="16.7109375" style="120" customWidth="1"/>
    <col min="18" max="18" width="41.7109375" style="3" customWidth="1"/>
    <col min="19" max="19" width="25.28515625" style="3" customWidth="1"/>
    <col min="20" max="16384" width="9.140625" style="1"/>
  </cols>
  <sheetData>
    <row r="1" spans="1:19">
      <c r="A1" s="307" t="str">
        <f>'[1]A VIEN'!A1:Q1</f>
        <v xml:space="preserve">2025年09销路运费 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</row>
    <row r="2" spans="1:19" ht="18.75">
      <c r="A2" s="308" t="s">
        <v>0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</row>
    <row r="3" spans="1:19">
      <c r="A3" s="307" t="str">
        <f>'[1]A VIEN'!A3:Q3</f>
        <v xml:space="preserve"> THÁNG 09 NĂM 2025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</row>
    <row r="4" spans="1:19">
      <c r="A4" s="392" t="s">
        <v>141</v>
      </c>
      <c r="B4" s="392"/>
      <c r="C4" s="392"/>
      <c r="D4" s="2"/>
      <c r="E4" s="3"/>
      <c r="F4" s="3"/>
      <c r="G4" s="4"/>
      <c r="H4" s="5"/>
      <c r="I4" s="6"/>
      <c r="J4" s="6"/>
    </row>
    <row r="5" spans="1:19" s="9" customFormat="1" ht="29.25" customHeight="1">
      <c r="A5" s="344" t="s">
        <v>1</v>
      </c>
      <c r="B5" s="345" t="s">
        <v>2</v>
      </c>
      <c r="C5" s="344" t="s">
        <v>3</v>
      </c>
      <c r="D5" s="344" t="s">
        <v>4</v>
      </c>
      <c r="E5" s="344" t="s">
        <v>5</v>
      </c>
      <c r="F5" s="344"/>
      <c r="G5" s="313" t="s">
        <v>6</v>
      </c>
      <c r="H5" s="314"/>
      <c r="I5" s="314"/>
      <c r="J5" s="393"/>
      <c r="K5" s="347" t="s">
        <v>7</v>
      </c>
      <c r="L5" s="319" t="s">
        <v>8</v>
      </c>
      <c r="M5" s="320"/>
      <c r="N5" s="350" t="s">
        <v>9</v>
      </c>
      <c r="O5" s="350"/>
      <c r="P5" s="323" t="s">
        <v>10</v>
      </c>
      <c r="Q5" s="350" t="s">
        <v>11</v>
      </c>
      <c r="R5" s="394" t="s">
        <v>12</v>
      </c>
      <c r="S5" s="81"/>
    </row>
    <row r="6" spans="1:19" s="9" customFormat="1" ht="23.25" customHeight="1">
      <c r="A6" s="344"/>
      <c r="B6" s="345"/>
      <c r="C6" s="344"/>
      <c r="D6" s="344"/>
      <c r="E6" s="344" t="s">
        <v>13</v>
      </c>
      <c r="F6" s="344" t="s">
        <v>14</v>
      </c>
      <c r="G6" s="233" t="s">
        <v>15</v>
      </c>
      <c r="H6" s="346" t="s">
        <v>16</v>
      </c>
      <c r="I6" s="346"/>
      <c r="J6" s="63" t="s">
        <v>17</v>
      </c>
      <c r="K6" s="347"/>
      <c r="L6" s="348"/>
      <c r="M6" s="349"/>
      <c r="N6" s="350"/>
      <c r="O6" s="350"/>
      <c r="P6" s="324"/>
      <c r="Q6" s="350"/>
      <c r="R6" s="394"/>
      <c r="S6" s="81"/>
    </row>
    <row r="7" spans="1:19" s="9" customFormat="1" ht="22.5" customHeight="1">
      <c r="A7" s="344"/>
      <c r="B7" s="345"/>
      <c r="C7" s="344"/>
      <c r="D7" s="344"/>
      <c r="E7" s="344"/>
      <c r="F7" s="344"/>
      <c r="G7" s="233" t="s">
        <v>18</v>
      </c>
      <c r="H7" s="228" t="s">
        <v>19</v>
      </c>
      <c r="I7" s="232" t="s">
        <v>18</v>
      </c>
      <c r="J7" s="63" t="s">
        <v>18</v>
      </c>
      <c r="K7" s="347"/>
      <c r="L7" s="233" t="s">
        <v>15</v>
      </c>
      <c r="M7" s="10" t="s">
        <v>16</v>
      </c>
      <c r="N7" s="233" t="s">
        <v>15</v>
      </c>
      <c r="O7" s="93" t="s">
        <v>16</v>
      </c>
      <c r="P7" s="325"/>
      <c r="Q7" s="350"/>
      <c r="R7" s="394"/>
      <c r="S7" s="81"/>
    </row>
    <row r="8" spans="1:19" s="9" customFormat="1" ht="27.6" customHeight="1">
      <c r="A8" s="223">
        <v>1</v>
      </c>
      <c r="B8" s="206" t="s">
        <v>208</v>
      </c>
      <c r="C8" s="239">
        <v>19</v>
      </c>
      <c r="D8" s="236" t="s">
        <v>99</v>
      </c>
      <c r="E8" s="236"/>
      <c r="F8" s="236" t="s">
        <v>49</v>
      </c>
      <c r="G8" s="237"/>
      <c r="H8" s="237">
        <v>154720</v>
      </c>
      <c r="I8" s="237">
        <v>3446.8933000000002</v>
      </c>
      <c r="J8" s="119"/>
      <c r="K8" s="223"/>
      <c r="L8" s="14"/>
      <c r="M8" s="13">
        <v>1900000</v>
      </c>
      <c r="N8" s="13"/>
      <c r="O8" s="13"/>
      <c r="P8" s="13"/>
      <c r="Q8" s="155">
        <f>SUM(L8:P8)</f>
        <v>1900000</v>
      </c>
      <c r="R8" s="235"/>
      <c r="S8" s="81"/>
    </row>
    <row r="9" spans="1:19" s="9" customFormat="1" ht="27.6" customHeight="1">
      <c r="A9" s="363">
        <v>2</v>
      </c>
      <c r="B9" s="377" t="s">
        <v>210</v>
      </c>
      <c r="C9" s="239">
        <v>19</v>
      </c>
      <c r="D9" s="239" t="s">
        <v>61</v>
      </c>
      <c r="E9" s="236"/>
      <c r="F9" s="236" t="s">
        <v>34</v>
      </c>
      <c r="G9" s="240"/>
      <c r="H9" s="237">
        <v>204600</v>
      </c>
      <c r="I9" s="237">
        <v>1664.7026000000001</v>
      </c>
      <c r="J9" s="119"/>
      <c r="K9" s="223"/>
      <c r="L9" s="14"/>
      <c r="M9" s="366">
        <v>1200000</v>
      </c>
      <c r="N9" s="13"/>
      <c r="O9" s="13"/>
      <c r="P9" s="13"/>
      <c r="Q9" s="379">
        <f>SUM(L9:P10)</f>
        <v>1200000</v>
      </c>
      <c r="R9" s="235"/>
      <c r="S9" s="81"/>
    </row>
    <row r="10" spans="1:19" s="9" customFormat="1" ht="27.6" customHeight="1">
      <c r="A10" s="365"/>
      <c r="B10" s="378"/>
      <c r="C10" s="239">
        <v>23</v>
      </c>
      <c r="D10" s="239" t="s">
        <v>89</v>
      </c>
      <c r="E10" s="236"/>
      <c r="F10" s="236" t="s">
        <v>74</v>
      </c>
      <c r="G10" s="240"/>
      <c r="H10" s="237">
        <v>149830</v>
      </c>
      <c r="I10" s="237">
        <v>2572.5554999999999</v>
      </c>
      <c r="J10" s="119"/>
      <c r="K10" s="223"/>
      <c r="L10" s="14"/>
      <c r="M10" s="368"/>
      <c r="N10" s="13"/>
      <c r="O10" s="13"/>
      <c r="P10" s="13"/>
      <c r="Q10" s="380"/>
      <c r="R10" s="235"/>
      <c r="S10" s="81"/>
    </row>
    <row r="11" spans="1:19" s="9" customFormat="1" ht="27.6" customHeight="1">
      <c r="A11" s="223">
        <v>3</v>
      </c>
      <c r="B11" s="206" t="s">
        <v>210</v>
      </c>
      <c r="C11" s="239" t="s">
        <v>123</v>
      </c>
      <c r="D11" s="239" t="s">
        <v>138</v>
      </c>
      <c r="E11" s="236"/>
      <c r="F11" s="236" t="s">
        <v>51</v>
      </c>
      <c r="G11" s="240"/>
      <c r="H11" s="237">
        <v>187920</v>
      </c>
      <c r="I11" s="230">
        <v>3906.8568</v>
      </c>
      <c r="J11" s="92"/>
      <c r="K11" s="223"/>
      <c r="L11" s="14"/>
      <c r="M11" s="14">
        <v>1900000</v>
      </c>
      <c r="N11" s="19"/>
      <c r="O11" s="19"/>
      <c r="P11" s="19"/>
      <c r="Q11" s="155">
        <f t="shared" ref="Q11:Q54" si="0">SUM(L11:P11)</f>
        <v>1900000</v>
      </c>
      <c r="R11" s="137" t="s">
        <v>58</v>
      </c>
      <c r="S11" s="81"/>
    </row>
    <row r="12" spans="1:19" s="9" customFormat="1" ht="27.6" customHeight="1">
      <c r="A12" s="223">
        <v>4</v>
      </c>
      <c r="B12" s="206" t="s">
        <v>215</v>
      </c>
      <c r="C12" s="239" t="s">
        <v>369</v>
      </c>
      <c r="D12" s="239" t="s">
        <v>99</v>
      </c>
      <c r="E12" s="236"/>
      <c r="F12" s="236" t="s">
        <v>49</v>
      </c>
      <c r="G12" s="240"/>
      <c r="H12" s="237">
        <f>184000+21000</f>
        <v>205000</v>
      </c>
      <c r="I12" s="222">
        <f>2849.8231+686.7</f>
        <v>3536.5231000000003</v>
      </c>
      <c r="J12" s="92"/>
      <c r="K12" s="223"/>
      <c r="L12" s="14"/>
      <c r="M12" s="14">
        <v>1950000</v>
      </c>
      <c r="N12" s="19"/>
      <c r="O12" s="19"/>
      <c r="P12" s="19"/>
      <c r="Q12" s="155">
        <f t="shared" si="0"/>
        <v>1950000</v>
      </c>
      <c r="R12" s="198" t="s">
        <v>56</v>
      </c>
      <c r="S12" s="81"/>
    </row>
    <row r="13" spans="1:19" s="9" customFormat="1" ht="27.6" customHeight="1">
      <c r="A13" s="363">
        <v>5</v>
      </c>
      <c r="B13" s="377" t="s">
        <v>216</v>
      </c>
      <c r="C13" s="239">
        <v>2</v>
      </c>
      <c r="D13" s="239" t="s">
        <v>370</v>
      </c>
      <c r="E13" s="236"/>
      <c r="F13" s="236" t="s">
        <v>34</v>
      </c>
      <c r="G13" s="240"/>
      <c r="H13" s="237">
        <v>110275</v>
      </c>
      <c r="I13" s="237">
        <v>2738.2829000000002</v>
      </c>
      <c r="J13" s="119"/>
      <c r="K13" s="223"/>
      <c r="L13" s="14"/>
      <c r="M13" s="366">
        <v>1600000</v>
      </c>
      <c r="N13" s="21"/>
      <c r="O13" s="21"/>
      <c r="P13" s="18"/>
      <c r="Q13" s="379">
        <f>SUM(L13:P14)</f>
        <v>1600000</v>
      </c>
      <c r="R13" s="234" t="s">
        <v>56</v>
      </c>
      <c r="S13" s="81"/>
    </row>
    <row r="14" spans="1:19" s="9" customFormat="1" ht="27.6" customHeight="1">
      <c r="A14" s="365"/>
      <c r="B14" s="378"/>
      <c r="C14" s="239">
        <v>9</v>
      </c>
      <c r="D14" s="239" t="s">
        <v>61</v>
      </c>
      <c r="E14" s="236"/>
      <c r="F14" s="236" t="s">
        <v>34</v>
      </c>
      <c r="G14" s="240"/>
      <c r="H14" s="237">
        <v>700000</v>
      </c>
      <c r="I14" s="237">
        <v>1365</v>
      </c>
      <c r="J14" s="119"/>
      <c r="K14" s="223"/>
      <c r="L14" s="14"/>
      <c r="M14" s="368"/>
      <c r="N14" s="14"/>
      <c r="O14" s="14"/>
      <c r="P14" s="18"/>
      <c r="Q14" s="380"/>
      <c r="R14" s="234"/>
      <c r="S14" s="81"/>
    </row>
    <row r="15" spans="1:19" s="9" customFormat="1" ht="27.6" customHeight="1">
      <c r="A15" s="223">
        <v>6</v>
      </c>
      <c r="B15" s="206" t="s">
        <v>216</v>
      </c>
      <c r="C15" s="239">
        <v>7</v>
      </c>
      <c r="D15" s="239" t="s">
        <v>91</v>
      </c>
      <c r="E15" s="236"/>
      <c r="F15" s="236" t="s">
        <v>101</v>
      </c>
      <c r="G15" s="277"/>
      <c r="H15" s="277">
        <v>346000</v>
      </c>
      <c r="I15" s="230">
        <v>5235.3149999999996</v>
      </c>
      <c r="J15" s="119"/>
      <c r="K15" s="223"/>
      <c r="L15" s="14"/>
      <c r="M15" s="14">
        <v>2600000</v>
      </c>
      <c r="N15" s="14"/>
      <c r="O15" s="14">
        <v>200000</v>
      </c>
      <c r="P15" s="18"/>
      <c r="Q15" s="155">
        <f t="shared" si="0"/>
        <v>2800000</v>
      </c>
      <c r="R15" s="16" t="s">
        <v>371</v>
      </c>
      <c r="S15" s="81"/>
    </row>
    <row r="16" spans="1:19" s="9" customFormat="1" ht="27.6" customHeight="1">
      <c r="A16" s="223">
        <v>7</v>
      </c>
      <c r="B16" s="206" t="s">
        <v>216</v>
      </c>
      <c r="C16" s="239">
        <v>19</v>
      </c>
      <c r="D16" s="239" t="s">
        <v>99</v>
      </c>
      <c r="E16" s="236"/>
      <c r="F16" s="236" t="s">
        <v>49</v>
      </c>
      <c r="G16" s="240"/>
      <c r="H16" s="237">
        <v>209400</v>
      </c>
      <c r="I16" s="237">
        <v>4023.5999000000002</v>
      </c>
      <c r="J16" s="92"/>
      <c r="K16" s="223"/>
      <c r="L16" s="14"/>
      <c r="M16" s="14">
        <v>1850000</v>
      </c>
      <c r="N16" s="14"/>
      <c r="O16" s="14"/>
      <c r="P16" s="18"/>
      <c r="Q16" s="155">
        <f t="shared" si="0"/>
        <v>1850000</v>
      </c>
      <c r="R16" s="198" t="s">
        <v>58</v>
      </c>
      <c r="S16" s="81"/>
    </row>
    <row r="17" spans="1:19" s="9" customFormat="1" ht="27.6" customHeight="1">
      <c r="A17" s="223">
        <v>8</v>
      </c>
      <c r="B17" s="206" t="s">
        <v>217</v>
      </c>
      <c r="C17" s="239">
        <v>1</v>
      </c>
      <c r="D17" s="239" t="s">
        <v>138</v>
      </c>
      <c r="E17" s="236"/>
      <c r="F17" s="236" t="s">
        <v>51</v>
      </c>
      <c r="G17" s="240"/>
      <c r="H17" s="237">
        <v>146880</v>
      </c>
      <c r="I17" s="222">
        <v>3053.6352000000002</v>
      </c>
      <c r="J17" s="92"/>
      <c r="K17" s="223"/>
      <c r="L17" s="14"/>
      <c r="M17" s="14">
        <v>1950000</v>
      </c>
      <c r="N17" s="14"/>
      <c r="O17" s="14"/>
      <c r="P17" s="18"/>
      <c r="Q17" s="155">
        <f t="shared" si="0"/>
        <v>1950000</v>
      </c>
      <c r="R17" s="198"/>
      <c r="S17" s="81"/>
    </row>
    <row r="18" spans="1:19" s="9" customFormat="1" ht="27.6" customHeight="1">
      <c r="A18" s="223">
        <v>9</v>
      </c>
      <c r="B18" s="206" t="s">
        <v>218</v>
      </c>
      <c r="C18" s="239" t="s">
        <v>123</v>
      </c>
      <c r="D18" s="239" t="s">
        <v>206</v>
      </c>
      <c r="E18" s="236"/>
      <c r="F18" s="236" t="s">
        <v>142</v>
      </c>
      <c r="G18" s="240"/>
      <c r="H18" s="237">
        <f>228400+60000</f>
        <v>288400</v>
      </c>
      <c r="I18" s="237">
        <f>3835.8865+445.7</f>
        <v>4281.5865000000003</v>
      </c>
      <c r="J18" s="92"/>
      <c r="K18" s="223"/>
      <c r="L18" s="14"/>
      <c r="M18" s="14">
        <v>2700000</v>
      </c>
      <c r="N18" s="14"/>
      <c r="O18" s="14"/>
      <c r="P18" s="18"/>
      <c r="Q18" s="155">
        <f t="shared" si="0"/>
        <v>2700000</v>
      </c>
      <c r="R18" s="198"/>
      <c r="S18" s="81"/>
    </row>
    <row r="19" spans="1:19" s="9" customFormat="1" ht="27.6" customHeight="1">
      <c r="A19" s="223">
        <v>10</v>
      </c>
      <c r="B19" s="206" t="s">
        <v>220</v>
      </c>
      <c r="C19" s="239" t="s">
        <v>372</v>
      </c>
      <c r="D19" s="239" t="s">
        <v>138</v>
      </c>
      <c r="E19" s="236"/>
      <c r="F19" s="236" t="s">
        <v>51</v>
      </c>
      <c r="G19" s="240"/>
      <c r="H19" s="237">
        <f>105840+41040</f>
        <v>146880</v>
      </c>
      <c r="I19" s="222">
        <f>2200.4136+853</f>
        <v>3053.4135999999999</v>
      </c>
      <c r="J19" s="119"/>
      <c r="K19" s="223"/>
      <c r="L19" s="14"/>
      <c r="M19" s="14">
        <v>1950000</v>
      </c>
      <c r="N19" s="21"/>
      <c r="O19" s="21"/>
      <c r="P19" s="21"/>
      <c r="Q19" s="155">
        <f t="shared" si="0"/>
        <v>1950000</v>
      </c>
      <c r="R19" s="234"/>
      <c r="S19" s="81"/>
    </row>
    <row r="20" spans="1:19" s="9" customFormat="1" ht="27.6" customHeight="1">
      <c r="A20" s="223">
        <v>11</v>
      </c>
      <c r="B20" s="206" t="s">
        <v>222</v>
      </c>
      <c r="C20" s="239" t="s">
        <v>373</v>
      </c>
      <c r="D20" s="239" t="s">
        <v>99</v>
      </c>
      <c r="E20" s="236"/>
      <c r="F20" s="236" t="s">
        <v>49</v>
      </c>
      <c r="G20" s="240"/>
      <c r="H20" s="237">
        <f>32400+490000</f>
        <v>522400</v>
      </c>
      <c r="I20" s="230">
        <f>631.8+5759</f>
        <v>6390.8</v>
      </c>
      <c r="J20" s="77"/>
      <c r="K20" s="223"/>
      <c r="L20" s="14"/>
      <c r="M20" s="14">
        <v>1900000</v>
      </c>
      <c r="N20" s="21"/>
      <c r="O20" s="21"/>
      <c r="P20" s="21"/>
      <c r="Q20" s="155">
        <f t="shared" si="0"/>
        <v>1900000</v>
      </c>
      <c r="R20" s="234"/>
      <c r="S20" s="81"/>
    </row>
    <row r="21" spans="1:19" s="9" customFormat="1" ht="27.6" customHeight="1">
      <c r="A21" s="223">
        <v>12</v>
      </c>
      <c r="B21" s="206" t="s">
        <v>222</v>
      </c>
      <c r="C21" s="239">
        <v>1</v>
      </c>
      <c r="D21" s="239" t="s">
        <v>91</v>
      </c>
      <c r="E21" s="236"/>
      <c r="F21" s="236" t="s">
        <v>101</v>
      </c>
      <c r="G21" s="240"/>
      <c r="H21" s="237">
        <v>548810</v>
      </c>
      <c r="I21" s="252">
        <v>1524.36</v>
      </c>
      <c r="J21" s="77"/>
      <c r="K21" s="223"/>
      <c r="L21" s="14"/>
      <c r="M21" s="14">
        <v>2650000</v>
      </c>
      <c r="N21" s="14"/>
      <c r="O21" s="14"/>
      <c r="P21" s="21"/>
      <c r="Q21" s="155">
        <f t="shared" si="0"/>
        <v>2650000</v>
      </c>
      <c r="R21" s="234"/>
      <c r="S21" s="81"/>
    </row>
    <row r="22" spans="1:19" s="9" customFormat="1" ht="27.6" customHeight="1">
      <c r="A22" s="223">
        <v>13</v>
      </c>
      <c r="B22" s="206" t="s">
        <v>224</v>
      </c>
      <c r="C22" s="239">
        <v>40</v>
      </c>
      <c r="D22" s="239" t="s">
        <v>87</v>
      </c>
      <c r="E22" s="236"/>
      <c r="F22" s="236" t="s">
        <v>71</v>
      </c>
      <c r="G22" s="273"/>
      <c r="H22" s="237">
        <v>163800</v>
      </c>
      <c r="I22" s="222">
        <v>3878.9901</v>
      </c>
      <c r="J22" s="77"/>
      <c r="K22" s="223"/>
      <c r="L22" s="14"/>
      <c r="M22" s="14">
        <v>2100000</v>
      </c>
      <c r="N22" s="14"/>
      <c r="O22" s="14"/>
      <c r="P22" s="21"/>
      <c r="Q22" s="155">
        <f t="shared" si="0"/>
        <v>2100000</v>
      </c>
      <c r="R22" s="234"/>
      <c r="S22" s="81"/>
    </row>
    <row r="23" spans="1:19" s="9" customFormat="1" ht="27.6" customHeight="1">
      <c r="A23" s="223">
        <v>14</v>
      </c>
      <c r="B23" s="206" t="s">
        <v>224</v>
      </c>
      <c r="C23" s="220">
        <v>12</v>
      </c>
      <c r="D23" s="220" t="s">
        <v>91</v>
      </c>
      <c r="E23" s="12"/>
      <c r="F23" s="12" t="s">
        <v>101</v>
      </c>
      <c r="G23" s="77"/>
      <c r="H23" s="222">
        <v>247000</v>
      </c>
      <c r="I23" s="222">
        <v>4120.4930999999997</v>
      </c>
      <c r="J23" s="77"/>
      <c r="K23" s="223"/>
      <c r="L23" s="14"/>
      <c r="M23" s="14">
        <v>2600000</v>
      </c>
      <c r="N23" s="14"/>
      <c r="O23" s="14">
        <v>200000</v>
      </c>
      <c r="P23" s="21"/>
      <c r="Q23" s="155">
        <f t="shared" si="0"/>
        <v>2800000</v>
      </c>
      <c r="R23" s="234" t="s">
        <v>108</v>
      </c>
      <c r="S23" s="196"/>
    </row>
    <row r="24" spans="1:19" s="9" customFormat="1" ht="27.6" customHeight="1">
      <c r="A24" s="223">
        <v>15</v>
      </c>
      <c r="B24" s="206" t="s">
        <v>225</v>
      </c>
      <c r="C24" s="239">
        <v>41</v>
      </c>
      <c r="D24" s="239" t="s">
        <v>87</v>
      </c>
      <c r="E24" s="236"/>
      <c r="F24" s="236" t="s">
        <v>71</v>
      </c>
      <c r="G24" s="273"/>
      <c r="H24" s="278">
        <v>216000</v>
      </c>
      <c r="I24" s="222">
        <v>4069.5</v>
      </c>
      <c r="J24" s="119"/>
      <c r="K24" s="234"/>
      <c r="L24" s="14"/>
      <c r="M24" s="14">
        <v>2100000</v>
      </c>
      <c r="N24" s="11"/>
      <c r="O24" s="19"/>
      <c r="P24" s="21"/>
      <c r="Q24" s="155">
        <f t="shared" si="0"/>
        <v>2100000</v>
      </c>
      <c r="R24" s="198"/>
      <c r="S24" s="81"/>
    </row>
    <row r="25" spans="1:19" s="9" customFormat="1" ht="27.6" customHeight="1">
      <c r="A25" s="223">
        <v>16</v>
      </c>
      <c r="B25" s="206" t="s">
        <v>227</v>
      </c>
      <c r="C25" s="239" t="s">
        <v>374</v>
      </c>
      <c r="D25" s="236" t="s">
        <v>86</v>
      </c>
      <c r="E25" s="236"/>
      <c r="F25" s="236" t="s">
        <v>34</v>
      </c>
      <c r="G25" s="278">
        <f>2997.6+4000+2000</f>
        <v>8997.6</v>
      </c>
      <c r="H25" s="278"/>
      <c r="I25" s="237"/>
      <c r="J25" s="119"/>
      <c r="K25" s="234"/>
      <c r="L25" s="14"/>
      <c r="M25" s="14">
        <v>1150000</v>
      </c>
      <c r="N25" s="21"/>
      <c r="O25" s="21"/>
      <c r="P25" s="21"/>
      <c r="Q25" s="155">
        <f t="shared" si="0"/>
        <v>1150000</v>
      </c>
      <c r="R25" s="198"/>
      <c r="S25" s="81"/>
    </row>
    <row r="26" spans="1:19" s="9" customFormat="1" ht="27.6" customHeight="1">
      <c r="A26" s="223">
        <v>17</v>
      </c>
      <c r="B26" s="206" t="s">
        <v>227</v>
      </c>
      <c r="C26" s="279" t="s">
        <v>375</v>
      </c>
      <c r="D26" s="239" t="s">
        <v>91</v>
      </c>
      <c r="E26" s="236"/>
      <c r="F26" s="236" t="s">
        <v>101</v>
      </c>
      <c r="G26" s="240"/>
      <c r="H26" s="237">
        <f>19000+19000+331600</f>
        <v>369600</v>
      </c>
      <c r="I26" s="222">
        <f>243.2+243.2+4618.763</f>
        <v>5105.1629999999996</v>
      </c>
      <c r="J26" s="119"/>
      <c r="K26" s="223"/>
      <c r="L26" s="14"/>
      <c r="M26" s="14">
        <v>2650000</v>
      </c>
      <c r="N26" s="19"/>
      <c r="O26" s="19"/>
      <c r="P26" s="19"/>
      <c r="Q26" s="155">
        <f t="shared" si="0"/>
        <v>2650000</v>
      </c>
      <c r="R26" s="198"/>
      <c r="S26" s="81"/>
    </row>
    <row r="27" spans="1:19" s="9" customFormat="1" ht="27.6" customHeight="1">
      <c r="A27" s="223">
        <v>18</v>
      </c>
      <c r="B27" s="206" t="s">
        <v>229</v>
      </c>
      <c r="C27" s="239" t="s">
        <v>137</v>
      </c>
      <c r="D27" s="239" t="s">
        <v>99</v>
      </c>
      <c r="E27" s="236"/>
      <c r="F27" s="236" t="s">
        <v>49</v>
      </c>
      <c r="G27" s="273"/>
      <c r="H27" s="237">
        <v>163300</v>
      </c>
      <c r="I27" s="237">
        <v>3347.79</v>
      </c>
      <c r="J27" s="156"/>
      <c r="K27" s="223"/>
      <c r="L27" s="14"/>
      <c r="M27" s="14">
        <v>1950000</v>
      </c>
      <c r="N27" s="19"/>
      <c r="O27" s="19"/>
      <c r="P27" s="19"/>
      <c r="Q27" s="155">
        <f t="shared" si="0"/>
        <v>1950000</v>
      </c>
      <c r="R27" s="53" t="s">
        <v>56</v>
      </c>
      <c r="S27" s="81"/>
    </row>
    <row r="28" spans="1:19" s="9" customFormat="1" ht="27.6" customHeight="1">
      <c r="A28" s="363">
        <v>19</v>
      </c>
      <c r="B28" s="377" t="s">
        <v>231</v>
      </c>
      <c r="C28" s="239" t="s">
        <v>130</v>
      </c>
      <c r="D28" s="239" t="s">
        <v>99</v>
      </c>
      <c r="E28" s="236"/>
      <c r="F28" s="236" t="s">
        <v>49</v>
      </c>
      <c r="G28" s="240"/>
      <c r="H28" s="237">
        <v>83400</v>
      </c>
      <c r="I28" s="237">
        <v>1878.4889000000001</v>
      </c>
      <c r="J28" s="77"/>
      <c r="K28" s="11"/>
      <c r="L28" s="14"/>
      <c r="M28" s="14">
        <v>1200000</v>
      </c>
      <c r="N28" s="19"/>
      <c r="O28" s="19"/>
      <c r="P28" s="19"/>
      <c r="Q28" s="379">
        <f>SUM(L28:P29)</f>
        <v>2050000</v>
      </c>
      <c r="R28" s="219" t="s">
        <v>56</v>
      </c>
      <c r="S28" s="81"/>
    </row>
    <row r="29" spans="1:19" s="9" customFormat="1" ht="27.6" customHeight="1">
      <c r="A29" s="365"/>
      <c r="B29" s="378"/>
      <c r="C29" s="239">
        <v>41</v>
      </c>
      <c r="D29" s="239" t="s">
        <v>376</v>
      </c>
      <c r="E29" s="236"/>
      <c r="F29" s="236" t="s">
        <v>80</v>
      </c>
      <c r="G29" s="240">
        <v>4074.5</v>
      </c>
      <c r="H29" s="237"/>
      <c r="I29" s="237"/>
      <c r="J29" s="77"/>
      <c r="K29" s="11"/>
      <c r="L29" s="14">
        <v>850000</v>
      </c>
      <c r="M29" s="14"/>
      <c r="N29" s="14"/>
      <c r="O29" s="14"/>
      <c r="P29" s="18"/>
      <c r="Q29" s="380"/>
      <c r="R29" s="234"/>
      <c r="S29" s="81"/>
    </row>
    <row r="30" spans="1:19" s="9" customFormat="1" ht="27.6" customHeight="1">
      <c r="A30" s="223">
        <v>20</v>
      </c>
      <c r="B30" s="206" t="s">
        <v>231</v>
      </c>
      <c r="C30" s="239" t="s">
        <v>377</v>
      </c>
      <c r="D30" s="236" t="s">
        <v>86</v>
      </c>
      <c r="E30" s="236"/>
      <c r="F30" s="236" t="s">
        <v>34</v>
      </c>
      <c r="G30" s="240">
        <v>8900</v>
      </c>
      <c r="H30" s="237"/>
      <c r="I30" s="237"/>
      <c r="J30" s="77"/>
      <c r="K30" s="11"/>
      <c r="L30" s="14">
        <v>1150000</v>
      </c>
      <c r="M30" s="14"/>
      <c r="N30" s="19"/>
      <c r="O30" s="19"/>
      <c r="P30" s="19"/>
      <c r="Q30" s="155">
        <f t="shared" si="0"/>
        <v>1150000</v>
      </c>
      <c r="R30" s="234"/>
      <c r="S30" s="81"/>
    </row>
    <row r="31" spans="1:19" s="9" customFormat="1" ht="27.6" customHeight="1">
      <c r="A31" s="223">
        <v>21</v>
      </c>
      <c r="B31" s="206" t="s">
        <v>232</v>
      </c>
      <c r="C31" s="239">
        <v>1</v>
      </c>
      <c r="D31" s="239" t="s">
        <v>138</v>
      </c>
      <c r="E31" s="236"/>
      <c r="F31" s="236" t="s">
        <v>51</v>
      </c>
      <c r="G31" s="240"/>
      <c r="H31" s="237">
        <v>146880</v>
      </c>
      <c r="I31" s="237">
        <v>2864.16</v>
      </c>
      <c r="J31" s="11"/>
      <c r="K31" s="11"/>
      <c r="L31" s="14"/>
      <c r="M31" s="14">
        <v>1900000</v>
      </c>
      <c r="N31" s="19"/>
      <c r="O31" s="19"/>
      <c r="P31" s="19"/>
      <c r="Q31" s="155">
        <f t="shared" si="0"/>
        <v>1900000</v>
      </c>
      <c r="R31" s="234" t="s">
        <v>58</v>
      </c>
      <c r="S31" s="81"/>
    </row>
    <row r="32" spans="1:19" s="9" customFormat="1" ht="27.6" customHeight="1">
      <c r="A32" s="223">
        <v>22</v>
      </c>
      <c r="B32" s="206" t="s">
        <v>232</v>
      </c>
      <c r="C32" s="239" t="s">
        <v>378</v>
      </c>
      <c r="D32" s="236" t="s">
        <v>86</v>
      </c>
      <c r="E32" s="236"/>
      <c r="F32" s="236" t="s">
        <v>34</v>
      </c>
      <c r="G32" s="240">
        <v>8900</v>
      </c>
      <c r="H32" s="237"/>
      <c r="I32" s="237"/>
      <c r="J32" s="55"/>
      <c r="K32" s="11"/>
      <c r="L32" s="14">
        <v>1150000</v>
      </c>
      <c r="M32" s="14"/>
      <c r="N32" s="223"/>
      <c r="O32" s="11"/>
      <c r="P32" s="18"/>
      <c r="Q32" s="155">
        <f t="shared" si="0"/>
        <v>1150000</v>
      </c>
      <c r="R32" s="198"/>
      <c r="S32" s="81"/>
    </row>
    <row r="33" spans="1:19" s="9" customFormat="1" ht="27.6" customHeight="1">
      <c r="A33" s="223">
        <v>23</v>
      </c>
      <c r="B33" s="206" t="s">
        <v>232</v>
      </c>
      <c r="C33" s="239">
        <v>47</v>
      </c>
      <c r="D33" s="239" t="s">
        <v>87</v>
      </c>
      <c r="E33" s="236"/>
      <c r="F33" s="236" t="s">
        <v>71</v>
      </c>
      <c r="G33" s="240"/>
      <c r="H33" s="237">
        <v>165000</v>
      </c>
      <c r="I33" s="222">
        <v>5090.25</v>
      </c>
      <c r="J33" s="55"/>
      <c r="K33" s="11"/>
      <c r="L33" s="14"/>
      <c r="M33" s="14">
        <v>2050000</v>
      </c>
      <c r="N33" s="223"/>
      <c r="O33" s="11">
        <v>200000</v>
      </c>
      <c r="P33" s="18"/>
      <c r="Q33" s="155">
        <f t="shared" si="0"/>
        <v>2250000</v>
      </c>
      <c r="R33" s="198" t="s">
        <v>371</v>
      </c>
      <c r="S33" s="81"/>
    </row>
    <row r="34" spans="1:19" s="9" customFormat="1" ht="27.6" customHeight="1">
      <c r="A34" s="223">
        <v>24</v>
      </c>
      <c r="B34" s="206" t="s">
        <v>236</v>
      </c>
      <c r="C34" s="239">
        <v>2</v>
      </c>
      <c r="D34" s="239" t="s">
        <v>138</v>
      </c>
      <c r="E34" s="236"/>
      <c r="F34" s="236" t="s">
        <v>51</v>
      </c>
      <c r="G34" s="240"/>
      <c r="H34" s="237">
        <v>159840</v>
      </c>
      <c r="I34" s="237">
        <v>3116.88</v>
      </c>
      <c r="J34" s="55"/>
      <c r="K34" s="11"/>
      <c r="L34" s="14"/>
      <c r="M34" s="14">
        <v>1950000</v>
      </c>
      <c r="N34" s="223"/>
      <c r="O34" s="11"/>
      <c r="P34" s="18"/>
      <c r="Q34" s="155">
        <f t="shared" si="0"/>
        <v>1950000</v>
      </c>
      <c r="R34" s="198"/>
      <c r="S34" s="81"/>
    </row>
    <row r="35" spans="1:19" s="9" customFormat="1" ht="27.6" customHeight="1">
      <c r="A35" s="223">
        <v>25</v>
      </c>
      <c r="B35" s="206" t="s">
        <v>236</v>
      </c>
      <c r="C35" s="279" t="s">
        <v>379</v>
      </c>
      <c r="D35" s="236" t="s">
        <v>91</v>
      </c>
      <c r="E35" s="236"/>
      <c r="F35" s="236" t="s">
        <v>101</v>
      </c>
      <c r="G35" s="240"/>
      <c r="H35" s="237">
        <f>223460+510000</f>
        <v>733460</v>
      </c>
      <c r="I35" s="237">
        <f>3540.421+714</f>
        <v>4254.4210000000003</v>
      </c>
      <c r="J35" s="55"/>
      <c r="K35" s="11"/>
      <c r="L35" s="11"/>
      <c r="M35" s="14">
        <v>2600000</v>
      </c>
      <c r="N35" s="223"/>
      <c r="O35" s="11">
        <v>200000</v>
      </c>
      <c r="P35" s="18"/>
      <c r="Q35" s="155">
        <f t="shared" si="0"/>
        <v>2800000</v>
      </c>
      <c r="R35" s="198" t="s">
        <v>171</v>
      </c>
      <c r="S35" s="81"/>
    </row>
    <row r="36" spans="1:19" s="9" customFormat="1" ht="27.6" customHeight="1">
      <c r="A36" s="223">
        <v>26</v>
      </c>
      <c r="B36" s="206" t="s">
        <v>237</v>
      </c>
      <c r="C36" s="239">
        <v>18</v>
      </c>
      <c r="D36" s="239" t="s">
        <v>107</v>
      </c>
      <c r="E36" s="236"/>
      <c r="F36" s="236" t="s">
        <v>78</v>
      </c>
      <c r="G36" s="240"/>
      <c r="H36" s="237">
        <v>74200</v>
      </c>
      <c r="I36" s="237">
        <v>1929.2</v>
      </c>
      <c r="J36" s="55"/>
      <c r="K36" s="11"/>
      <c r="L36" s="11"/>
      <c r="M36" s="14">
        <v>2650000</v>
      </c>
      <c r="N36" s="223"/>
      <c r="O36" s="11"/>
      <c r="P36" s="18"/>
      <c r="Q36" s="155">
        <f t="shared" si="0"/>
        <v>2650000</v>
      </c>
      <c r="R36" s="198"/>
      <c r="S36" s="81"/>
    </row>
    <row r="37" spans="1:19" s="9" customFormat="1" ht="27.6" customHeight="1">
      <c r="A37" s="223">
        <v>27</v>
      </c>
      <c r="B37" s="206" t="s">
        <v>240</v>
      </c>
      <c r="C37" s="220">
        <v>1</v>
      </c>
      <c r="D37" s="220" t="s">
        <v>138</v>
      </c>
      <c r="E37" s="12"/>
      <c r="F37" s="12" t="s">
        <v>51</v>
      </c>
      <c r="G37" s="222"/>
      <c r="H37" s="222">
        <v>159840</v>
      </c>
      <c r="I37" s="222">
        <v>3116.88</v>
      </c>
      <c r="J37" s="55"/>
      <c r="K37" s="11"/>
      <c r="L37" s="11"/>
      <c r="M37" s="14">
        <v>1950000</v>
      </c>
      <c r="N37" s="223"/>
      <c r="O37" s="11"/>
      <c r="P37" s="18"/>
      <c r="Q37" s="155">
        <f t="shared" si="0"/>
        <v>1950000</v>
      </c>
      <c r="R37" s="53"/>
      <c r="S37" s="81"/>
    </row>
    <row r="38" spans="1:19" s="9" customFormat="1" ht="23.45" customHeight="1">
      <c r="A38" s="223">
        <v>28</v>
      </c>
      <c r="B38" s="206" t="s">
        <v>240</v>
      </c>
      <c r="C38" s="266" t="s">
        <v>380</v>
      </c>
      <c r="D38" s="12" t="s">
        <v>91</v>
      </c>
      <c r="E38" s="12"/>
      <c r="F38" s="12" t="s">
        <v>101</v>
      </c>
      <c r="G38" s="77"/>
      <c r="H38" s="222">
        <f>1057200+143000</f>
        <v>1200200</v>
      </c>
      <c r="I38" s="222">
        <f>2060.503+1699.2164</f>
        <v>3759.7194</v>
      </c>
      <c r="J38" s="10"/>
      <c r="K38" s="234"/>
      <c r="L38" s="87"/>
      <c r="M38" s="14">
        <v>2600000</v>
      </c>
      <c r="N38" s="87"/>
      <c r="O38" s="87">
        <v>200000</v>
      </c>
      <c r="P38" s="98"/>
      <c r="Q38" s="155">
        <f t="shared" si="0"/>
        <v>2800000</v>
      </c>
      <c r="R38" s="234" t="s">
        <v>171</v>
      </c>
      <c r="S38" s="81"/>
    </row>
    <row r="39" spans="1:19" s="9" customFormat="1" ht="23.45" customHeight="1">
      <c r="A39" s="223">
        <v>29</v>
      </c>
      <c r="B39" s="206" t="s">
        <v>241</v>
      </c>
      <c r="C39" s="280" t="s">
        <v>381</v>
      </c>
      <c r="D39" s="220" t="s">
        <v>91</v>
      </c>
      <c r="E39" s="12"/>
      <c r="F39" s="12" t="s">
        <v>101</v>
      </c>
      <c r="G39" s="77"/>
      <c r="H39" s="222">
        <f>272800+21600+94000</f>
        <v>388400</v>
      </c>
      <c r="I39" s="222">
        <f>3923.024+440.748+258.5</f>
        <v>4622.2719999999999</v>
      </c>
      <c r="J39" s="10"/>
      <c r="K39" s="234"/>
      <c r="L39" s="87"/>
      <c r="M39" s="14">
        <v>2650000</v>
      </c>
      <c r="N39" s="87"/>
      <c r="O39" s="87"/>
      <c r="P39" s="98"/>
      <c r="Q39" s="155">
        <f t="shared" si="0"/>
        <v>2650000</v>
      </c>
      <c r="R39" s="138"/>
      <c r="S39" s="81"/>
    </row>
    <row r="40" spans="1:19" s="9" customFormat="1" ht="23.45" customHeight="1">
      <c r="A40" s="223">
        <v>30</v>
      </c>
      <c r="B40" s="206" t="s">
        <v>245</v>
      </c>
      <c r="C40" s="220" t="s">
        <v>382</v>
      </c>
      <c r="D40" s="220" t="s">
        <v>99</v>
      </c>
      <c r="E40" s="12"/>
      <c r="F40" s="12" t="s">
        <v>49</v>
      </c>
      <c r="G40" s="77"/>
      <c r="H40" s="222">
        <f>154000+60500</f>
        <v>214500</v>
      </c>
      <c r="I40" s="230">
        <f>2460+1492.0661</f>
        <v>3952.0661</v>
      </c>
      <c r="J40" s="10"/>
      <c r="K40" s="234"/>
      <c r="L40" s="87"/>
      <c r="M40" s="14">
        <v>1900000</v>
      </c>
      <c r="N40" s="87"/>
      <c r="O40" s="87"/>
      <c r="P40" s="98"/>
      <c r="Q40" s="155">
        <f t="shared" si="0"/>
        <v>1900000</v>
      </c>
      <c r="R40" s="234"/>
      <c r="S40" s="81"/>
    </row>
    <row r="41" spans="1:19" s="9" customFormat="1" ht="24" customHeight="1">
      <c r="A41" s="223">
        <v>31</v>
      </c>
      <c r="B41" s="206" t="s">
        <v>245</v>
      </c>
      <c r="C41" s="220" t="s">
        <v>316</v>
      </c>
      <c r="D41" s="220" t="s">
        <v>91</v>
      </c>
      <c r="E41" s="12"/>
      <c r="F41" s="12" t="s">
        <v>101</v>
      </c>
      <c r="G41" s="77"/>
      <c r="H41" s="222">
        <f>474800+37000+37000</f>
        <v>548800</v>
      </c>
      <c r="I41" s="230">
        <v>1524.36</v>
      </c>
      <c r="J41" s="10"/>
      <c r="K41" s="234"/>
      <c r="L41" s="87"/>
      <c r="M41" s="87">
        <v>2650000</v>
      </c>
      <c r="N41" s="87"/>
      <c r="O41" s="87"/>
      <c r="P41" s="98"/>
      <c r="Q41" s="155">
        <f t="shared" si="0"/>
        <v>2650000</v>
      </c>
      <c r="R41" s="234"/>
      <c r="S41" s="81"/>
    </row>
    <row r="42" spans="1:19" s="9" customFormat="1" ht="23.45" customHeight="1">
      <c r="A42" s="223">
        <v>32</v>
      </c>
      <c r="B42" s="206" t="s">
        <v>248</v>
      </c>
      <c r="C42" s="220" t="s">
        <v>166</v>
      </c>
      <c r="D42" s="220" t="s">
        <v>87</v>
      </c>
      <c r="E42" s="12"/>
      <c r="F42" s="12" t="s">
        <v>71</v>
      </c>
      <c r="G42" s="77"/>
      <c r="H42" s="222">
        <v>300000</v>
      </c>
      <c r="I42" s="222">
        <v>3987.3775000000001</v>
      </c>
      <c r="J42" s="10"/>
      <c r="K42" s="234"/>
      <c r="L42" s="87"/>
      <c r="M42" s="87">
        <v>2150000</v>
      </c>
      <c r="N42" s="87"/>
      <c r="O42" s="87"/>
      <c r="P42" s="98"/>
      <c r="Q42" s="155">
        <f t="shared" si="0"/>
        <v>2150000</v>
      </c>
      <c r="R42" s="198" t="s">
        <v>56</v>
      </c>
      <c r="S42" s="81"/>
    </row>
    <row r="43" spans="1:19" s="9" customFormat="1" ht="23.45" customHeight="1">
      <c r="A43" s="223">
        <v>33</v>
      </c>
      <c r="B43" s="206" t="s">
        <v>250</v>
      </c>
      <c r="C43" s="220" t="s">
        <v>383</v>
      </c>
      <c r="D43" s="220" t="s">
        <v>99</v>
      </c>
      <c r="E43" s="12"/>
      <c r="F43" s="12" t="s">
        <v>49</v>
      </c>
      <c r="G43" s="77"/>
      <c r="H43" s="222">
        <f>112000+25200</f>
        <v>137200</v>
      </c>
      <c r="I43" s="222">
        <f>2367.68+719.7649</f>
        <v>3087.4449</v>
      </c>
      <c r="J43" s="10"/>
      <c r="K43" s="234"/>
      <c r="L43" s="87"/>
      <c r="M43" s="87">
        <v>1950000</v>
      </c>
      <c r="N43" s="87"/>
      <c r="O43" s="87"/>
      <c r="P43" s="98"/>
      <c r="Q43" s="155">
        <f t="shared" si="0"/>
        <v>1950000</v>
      </c>
      <c r="R43" s="234" t="s">
        <v>56</v>
      </c>
      <c r="S43" s="81"/>
    </row>
    <row r="44" spans="1:19" s="9" customFormat="1" ht="23.45" customHeight="1">
      <c r="A44" s="223">
        <v>34</v>
      </c>
      <c r="B44" s="206" t="s">
        <v>250</v>
      </c>
      <c r="C44" s="266" t="s">
        <v>384</v>
      </c>
      <c r="D44" s="220" t="s">
        <v>91</v>
      </c>
      <c r="E44" s="12"/>
      <c r="F44" s="12" t="s">
        <v>101</v>
      </c>
      <c r="G44" s="77"/>
      <c r="H44" s="222">
        <v>361400</v>
      </c>
      <c r="I44" s="222">
        <v>4770.3388000000004</v>
      </c>
      <c r="J44" s="10"/>
      <c r="K44" s="234"/>
      <c r="L44" s="87"/>
      <c r="M44" s="87">
        <v>2650000</v>
      </c>
      <c r="N44" s="87"/>
      <c r="O44" s="87"/>
      <c r="P44" s="98"/>
      <c r="Q44" s="155">
        <f t="shared" si="0"/>
        <v>2650000</v>
      </c>
      <c r="R44" s="234"/>
      <c r="S44" s="81"/>
    </row>
    <row r="45" spans="1:19" s="9" customFormat="1" ht="23.45" customHeight="1">
      <c r="A45" s="223">
        <v>35</v>
      </c>
      <c r="B45" s="206" t="s">
        <v>252</v>
      </c>
      <c r="C45" s="220" t="s">
        <v>385</v>
      </c>
      <c r="D45" s="220" t="s">
        <v>191</v>
      </c>
      <c r="E45" s="12"/>
      <c r="F45" s="12" t="s">
        <v>71</v>
      </c>
      <c r="G45" s="77">
        <v>8688</v>
      </c>
      <c r="H45" s="77"/>
      <c r="I45" s="77"/>
      <c r="J45" s="10"/>
      <c r="K45" s="234"/>
      <c r="L45" s="87">
        <v>2100000</v>
      </c>
      <c r="M45" s="87"/>
      <c r="N45" s="87"/>
      <c r="O45" s="87"/>
      <c r="P45" s="98"/>
      <c r="Q45" s="155">
        <f t="shared" si="0"/>
        <v>2100000</v>
      </c>
      <c r="R45" s="198"/>
      <c r="S45" s="81"/>
    </row>
    <row r="46" spans="1:19" s="9" customFormat="1" ht="23.45" customHeight="1">
      <c r="A46" s="223">
        <v>36</v>
      </c>
      <c r="B46" s="206" t="s">
        <v>252</v>
      </c>
      <c r="C46" s="220">
        <v>44</v>
      </c>
      <c r="D46" s="220" t="s">
        <v>91</v>
      </c>
      <c r="E46" s="12"/>
      <c r="F46" s="12" t="s">
        <v>101</v>
      </c>
      <c r="G46" s="77"/>
      <c r="H46" s="222">
        <v>241000</v>
      </c>
      <c r="I46" s="222">
        <v>1446</v>
      </c>
      <c r="J46" s="156"/>
      <c r="K46" s="234"/>
      <c r="L46" s="87"/>
      <c r="M46" s="87">
        <v>2600000</v>
      </c>
      <c r="N46" s="87"/>
      <c r="O46" s="87">
        <v>200000</v>
      </c>
      <c r="P46" s="98"/>
      <c r="Q46" s="155">
        <f t="shared" si="0"/>
        <v>2800000</v>
      </c>
      <c r="R46" s="234" t="s">
        <v>171</v>
      </c>
      <c r="S46" s="81"/>
    </row>
    <row r="47" spans="1:19" s="9" customFormat="1" ht="23.45" customHeight="1">
      <c r="A47" s="223">
        <v>37</v>
      </c>
      <c r="B47" s="206" t="s">
        <v>254</v>
      </c>
      <c r="C47" s="220">
        <v>2</v>
      </c>
      <c r="D47" s="220" t="s">
        <v>138</v>
      </c>
      <c r="E47" s="12"/>
      <c r="F47" s="12" t="s">
        <v>51</v>
      </c>
      <c r="G47" s="77"/>
      <c r="H47" s="222">
        <v>159840</v>
      </c>
      <c r="I47" s="222">
        <v>3116.88</v>
      </c>
      <c r="J47" s="10"/>
      <c r="K47" s="234"/>
      <c r="L47" s="87"/>
      <c r="M47" s="87">
        <v>1950000</v>
      </c>
      <c r="N47" s="87"/>
      <c r="O47" s="87"/>
      <c r="P47" s="98"/>
      <c r="Q47" s="155">
        <f t="shared" si="0"/>
        <v>1950000</v>
      </c>
      <c r="R47" s="234"/>
      <c r="S47" s="81"/>
    </row>
    <row r="48" spans="1:19" s="9" customFormat="1" ht="23.45" customHeight="1">
      <c r="A48" s="223">
        <v>38</v>
      </c>
      <c r="B48" s="206" t="s">
        <v>256</v>
      </c>
      <c r="C48" s="220" t="s">
        <v>386</v>
      </c>
      <c r="D48" s="220" t="s">
        <v>157</v>
      </c>
      <c r="E48" s="12"/>
      <c r="F48" s="12" t="s">
        <v>134</v>
      </c>
      <c r="G48" s="77"/>
      <c r="H48" s="222">
        <v>112800</v>
      </c>
      <c r="I48" s="222">
        <v>3764.9423999999999</v>
      </c>
      <c r="J48" s="10"/>
      <c r="K48" s="234"/>
      <c r="L48" s="87"/>
      <c r="M48" s="87">
        <v>2650000</v>
      </c>
      <c r="N48" s="87"/>
      <c r="O48" s="87"/>
      <c r="P48" s="98"/>
      <c r="Q48" s="155">
        <f t="shared" si="0"/>
        <v>2650000</v>
      </c>
      <c r="R48" s="234"/>
      <c r="S48" s="81"/>
    </row>
    <row r="49" spans="1:19" s="9" customFormat="1" ht="23.45" customHeight="1">
      <c r="A49" s="223">
        <v>39</v>
      </c>
      <c r="B49" s="206" t="s">
        <v>260</v>
      </c>
      <c r="C49" s="220">
        <v>2</v>
      </c>
      <c r="D49" s="220" t="s">
        <v>191</v>
      </c>
      <c r="E49" s="12"/>
      <c r="F49" s="12" t="s">
        <v>71</v>
      </c>
      <c r="G49" s="77">
        <v>8448</v>
      </c>
      <c r="H49" s="77"/>
      <c r="I49" s="77"/>
      <c r="J49" s="10"/>
      <c r="K49" s="234"/>
      <c r="L49" s="87">
        <v>2100000</v>
      </c>
      <c r="M49" s="87"/>
      <c r="N49" s="87"/>
      <c r="O49" s="87"/>
      <c r="P49" s="98"/>
      <c r="Q49" s="155">
        <f t="shared" si="0"/>
        <v>2100000</v>
      </c>
      <c r="R49" s="137"/>
      <c r="S49" s="81"/>
    </row>
    <row r="50" spans="1:19" s="9" customFormat="1" ht="23.45" customHeight="1">
      <c r="A50" s="223">
        <v>40</v>
      </c>
      <c r="B50" s="206" t="s">
        <v>260</v>
      </c>
      <c r="C50" s="220" t="s">
        <v>387</v>
      </c>
      <c r="D50" s="220" t="s">
        <v>99</v>
      </c>
      <c r="E50" s="12"/>
      <c r="F50" s="12" t="s">
        <v>49</v>
      </c>
      <c r="G50" s="77"/>
      <c r="H50" s="222">
        <f>46200+71000</f>
        <v>117200</v>
      </c>
      <c r="I50" s="222">
        <f>801.6751+763.118</f>
        <v>1564.7931000000001</v>
      </c>
      <c r="J50" s="10"/>
      <c r="K50" s="234"/>
      <c r="L50" s="87"/>
      <c r="M50" s="87">
        <v>1850000</v>
      </c>
      <c r="N50" s="87"/>
      <c r="O50" s="87"/>
      <c r="P50" s="98"/>
      <c r="Q50" s="155">
        <f t="shared" si="0"/>
        <v>1850000</v>
      </c>
      <c r="R50" s="234" t="s">
        <v>58</v>
      </c>
      <c r="S50" s="81"/>
    </row>
    <row r="51" spans="1:19" s="9" customFormat="1" ht="23.45" customHeight="1">
      <c r="A51" s="223">
        <v>41</v>
      </c>
      <c r="B51" s="206" t="s">
        <v>260</v>
      </c>
      <c r="C51" s="266" t="s">
        <v>388</v>
      </c>
      <c r="D51" s="220" t="s">
        <v>91</v>
      </c>
      <c r="E51" s="12"/>
      <c r="F51" s="12" t="s">
        <v>101</v>
      </c>
      <c r="G51" s="77"/>
      <c r="H51" s="222">
        <v>476400</v>
      </c>
      <c r="I51" s="222">
        <v>5295.9719999999998</v>
      </c>
      <c r="J51" s="10"/>
      <c r="K51" s="234"/>
      <c r="L51" s="87"/>
      <c r="M51" s="87">
        <v>2600000</v>
      </c>
      <c r="N51" s="87"/>
      <c r="O51" s="87">
        <v>200000</v>
      </c>
      <c r="P51" s="98"/>
      <c r="Q51" s="155">
        <f t="shared" si="0"/>
        <v>2800000</v>
      </c>
      <c r="R51" s="196" t="s">
        <v>389</v>
      </c>
      <c r="S51" s="81"/>
    </row>
    <row r="52" spans="1:19" s="9" customFormat="1" ht="23.45" customHeight="1">
      <c r="A52" s="223">
        <v>42</v>
      </c>
      <c r="B52" s="206" t="s">
        <v>263</v>
      </c>
      <c r="C52" s="220">
        <v>38</v>
      </c>
      <c r="D52" s="220" t="s">
        <v>86</v>
      </c>
      <c r="E52" s="12"/>
      <c r="F52" s="12" t="s">
        <v>34</v>
      </c>
      <c r="G52" s="77">
        <v>8800</v>
      </c>
      <c r="H52" s="222"/>
      <c r="I52" s="222"/>
      <c r="J52" s="10"/>
      <c r="K52" s="234"/>
      <c r="L52" s="87">
        <v>1150000</v>
      </c>
      <c r="M52" s="87"/>
      <c r="N52" s="87"/>
      <c r="O52" s="87"/>
      <c r="P52" s="98"/>
      <c r="Q52" s="155">
        <f t="shared" si="0"/>
        <v>1150000</v>
      </c>
      <c r="R52" s="82"/>
      <c r="S52" s="81"/>
    </row>
    <row r="53" spans="1:19" s="9" customFormat="1" ht="23.45" customHeight="1">
      <c r="A53" s="223">
        <v>43</v>
      </c>
      <c r="B53" s="206" t="s">
        <v>263</v>
      </c>
      <c r="C53" s="220" t="s">
        <v>390</v>
      </c>
      <c r="D53" s="220" t="s">
        <v>86</v>
      </c>
      <c r="E53" s="12"/>
      <c r="F53" s="12" t="s">
        <v>34</v>
      </c>
      <c r="G53" s="77">
        <v>8700</v>
      </c>
      <c r="H53" s="222"/>
      <c r="I53" s="222"/>
      <c r="J53" s="10"/>
      <c r="K53" s="234"/>
      <c r="L53" s="87">
        <v>1100000</v>
      </c>
      <c r="M53" s="87"/>
      <c r="N53" s="87"/>
      <c r="O53" s="87"/>
      <c r="P53" s="98"/>
      <c r="Q53" s="155">
        <f t="shared" si="0"/>
        <v>1100000</v>
      </c>
      <c r="R53" s="82"/>
      <c r="S53" s="81"/>
    </row>
    <row r="54" spans="1:19" s="9" customFormat="1" ht="23.45" customHeight="1">
      <c r="A54" s="223">
        <v>44</v>
      </c>
      <c r="B54" s="206" t="s">
        <v>263</v>
      </c>
      <c r="C54" s="220">
        <v>10</v>
      </c>
      <c r="D54" s="220" t="s">
        <v>91</v>
      </c>
      <c r="E54" s="12"/>
      <c r="F54" s="12" t="s">
        <v>101</v>
      </c>
      <c r="G54" s="77"/>
      <c r="H54" s="222">
        <v>480800</v>
      </c>
      <c r="I54" s="222">
        <v>2234.8780000000002</v>
      </c>
      <c r="J54" s="10"/>
      <c r="K54" s="234"/>
      <c r="L54" s="87"/>
      <c r="M54" s="87">
        <v>2600000</v>
      </c>
      <c r="N54" s="87"/>
      <c r="O54" s="87">
        <v>200000</v>
      </c>
      <c r="P54" s="98"/>
      <c r="Q54" s="155">
        <f t="shared" si="0"/>
        <v>2800000</v>
      </c>
      <c r="R54" s="196" t="s">
        <v>371</v>
      </c>
      <c r="S54" s="81"/>
    </row>
    <row r="55" spans="1:19" s="23" customFormat="1" ht="27" customHeight="1">
      <c r="A55" s="360" t="s">
        <v>20</v>
      </c>
      <c r="B55" s="361"/>
      <c r="C55" s="361"/>
      <c r="D55" s="361"/>
      <c r="E55" s="361"/>
      <c r="F55" s="362"/>
      <c r="G55" s="22">
        <f t="shared" ref="G55:Q55" si="1">SUM(G8:G54)</f>
        <v>65508.1</v>
      </c>
      <c r="H55" s="22">
        <f t="shared" si="1"/>
        <v>11341975</v>
      </c>
      <c r="I55" s="22">
        <f t="shared" si="1"/>
        <v>132692.78470000002</v>
      </c>
      <c r="J55" s="64">
        <f t="shared" si="1"/>
        <v>0</v>
      </c>
      <c r="K55" s="22">
        <f t="shared" si="1"/>
        <v>0</v>
      </c>
      <c r="L55" s="22">
        <f t="shared" si="1"/>
        <v>9600000</v>
      </c>
      <c r="M55" s="22">
        <f t="shared" si="1"/>
        <v>81800000</v>
      </c>
      <c r="N55" s="22">
        <f t="shared" si="1"/>
        <v>0</v>
      </c>
      <c r="O55" s="22">
        <f t="shared" si="1"/>
        <v>1600000</v>
      </c>
      <c r="P55" s="22">
        <f t="shared" si="1"/>
        <v>0</v>
      </c>
      <c r="Q55" s="150">
        <f t="shared" si="1"/>
        <v>93000000</v>
      </c>
      <c r="R55" s="65"/>
      <c r="S55" s="112"/>
    </row>
    <row r="56" spans="1:19" s="23" customFormat="1" ht="26.45" customHeight="1">
      <c r="A56" s="336" t="s">
        <v>21</v>
      </c>
      <c r="B56" s="336"/>
      <c r="C56" s="336"/>
      <c r="D56" s="336"/>
      <c r="E56" s="336"/>
      <c r="F56" s="336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>
        <f>8%*Q55</f>
        <v>7440000</v>
      </c>
      <c r="R56" s="66"/>
      <c r="S56" s="231"/>
    </row>
    <row r="57" spans="1:19" s="23" customFormat="1" ht="27" customHeight="1">
      <c r="A57" s="336" t="s">
        <v>22</v>
      </c>
      <c r="B57" s="336"/>
      <c r="C57" s="336"/>
      <c r="D57" s="336"/>
      <c r="E57" s="336"/>
      <c r="F57" s="336"/>
      <c r="G57" s="22"/>
      <c r="H57" s="22"/>
      <c r="I57" s="22"/>
      <c r="J57" s="64"/>
      <c r="K57" s="22"/>
      <c r="L57" s="22"/>
      <c r="M57" s="22"/>
      <c r="N57" s="22"/>
      <c r="O57" s="22"/>
      <c r="P57" s="22"/>
      <c r="Q57" s="22">
        <f>Q56+Q55</f>
        <v>100440000</v>
      </c>
      <c r="R57" s="67"/>
      <c r="S57" s="28"/>
    </row>
    <row r="58" spans="1:19" s="23" customFormat="1" ht="28.9" customHeight="1">
      <c r="A58" s="25"/>
      <c r="B58" s="154"/>
      <c r="C58" s="25"/>
      <c r="D58" s="25"/>
      <c r="E58" s="25"/>
      <c r="F58" s="25"/>
      <c r="G58" s="26"/>
      <c r="H58" s="26"/>
      <c r="I58" s="26"/>
      <c r="J58" s="68"/>
      <c r="K58" s="26"/>
      <c r="L58" s="26"/>
      <c r="M58" s="26"/>
      <c r="N58" s="26"/>
      <c r="O58" s="26"/>
      <c r="P58" s="26"/>
      <c r="Q58" s="26"/>
      <c r="R58" s="50"/>
      <c r="S58" s="28"/>
    </row>
    <row r="59" spans="1:19" s="23" customFormat="1" ht="24.6" customHeight="1">
      <c r="A59" s="337" t="s">
        <v>23</v>
      </c>
      <c r="B59" s="337"/>
      <c r="C59" s="337"/>
      <c r="D59" s="337"/>
      <c r="E59" s="337"/>
      <c r="F59" s="337"/>
      <c r="G59" s="29">
        <f>G55</f>
        <v>65508.1</v>
      </c>
      <c r="H59" s="29"/>
      <c r="I59" s="29"/>
      <c r="J59" s="69"/>
      <c r="K59" s="30">
        <f>G55+I55</f>
        <v>198200.88470000002</v>
      </c>
      <c r="L59" s="29"/>
      <c r="M59" s="29"/>
      <c r="N59" s="29"/>
      <c r="O59" s="29"/>
      <c r="P59" s="29"/>
      <c r="Q59" s="29">
        <f>L55+N55</f>
        <v>9600000</v>
      </c>
      <c r="R59" s="70">
        <f>Q59/G59</f>
        <v>146.54676291939469</v>
      </c>
      <c r="S59" s="112"/>
    </row>
    <row r="60" spans="1:19" s="23" customFormat="1" ht="24.6" customHeight="1">
      <c r="A60" s="337" t="s">
        <v>24</v>
      </c>
      <c r="B60" s="337"/>
      <c r="C60" s="337"/>
      <c r="D60" s="337"/>
      <c r="E60" s="337"/>
      <c r="F60" s="337"/>
      <c r="G60" s="29"/>
      <c r="H60" s="29"/>
      <c r="I60" s="29">
        <f>I55</f>
        <v>132692.78470000002</v>
      </c>
      <c r="J60" s="69"/>
      <c r="K60" s="29"/>
      <c r="L60" s="29"/>
      <c r="M60" s="29"/>
      <c r="N60" s="29"/>
      <c r="O60" s="29"/>
      <c r="P60" s="29"/>
      <c r="Q60" s="29">
        <f>M55+O55</f>
        <v>83400000</v>
      </c>
      <c r="R60" s="70">
        <f>Q60/I60</f>
        <v>628.51947970310391</v>
      </c>
      <c r="S60" s="112"/>
    </row>
    <row r="61" spans="1:19" s="23" customFormat="1" ht="24.6" customHeight="1">
      <c r="A61" s="337" t="s">
        <v>25</v>
      </c>
      <c r="B61" s="337"/>
      <c r="C61" s="337"/>
      <c r="D61" s="337"/>
      <c r="E61" s="337"/>
      <c r="F61" s="337"/>
      <c r="G61" s="29"/>
      <c r="H61" s="29"/>
      <c r="I61" s="29"/>
      <c r="J61" s="69"/>
      <c r="K61" s="29"/>
      <c r="L61" s="29"/>
      <c r="M61" s="29"/>
      <c r="N61" s="29"/>
      <c r="O61" s="29"/>
      <c r="P61" s="29">
        <f>J55</f>
        <v>0</v>
      </c>
      <c r="Q61" s="29">
        <f>P55</f>
        <v>0</v>
      </c>
      <c r="R61" s="70" t="e">
        <f>Q61/P61</f>
        <v>#DIV/0!</v>
      </c>
      <c r="S61" s="112">
        <f>Q59+Q60+Q61</f>
        <v>93000000</v>
      </c>
    </row>
    <row r="62" spans="1:19" s="23" customFormat="1" ht="24.6" hidden="1" customHeight="1">
      <c r="A62" s="337" t="s">
        <v>26</v>
      </c>
      <c r="B62" s="337"/>
      <c r="C62" s="337"/>
      <c r="D62" s="337"/>
      <c r="E62" s="337"/>
      <c r="F62" s="337"/>
      <c r="G62" s="29"/>
      <c r="H62" s="29"/>
      <c r="I62" s="29"/>
      <c r="J62" s="69"/>
      <c r="K62" s="29" t="e">
        <f>SUM(#REF!)</f>
        <v>#REF!</v>
      </c>
      <c r="L62" s="29"/>
      <c r="M62" s="29"/>
      <c r="N62" s="29"/>
      <c r="O62" s="29"/>
      <c r="P62" s="29"/>
      <c r="Q62" s="29" t="e">
        <f>SUM(#REF!)</f>
        <v>#REF!</v>
      </c>
      <c r="R62" s="70" t="e">
        <f>Q62/P62</f>
        <v>#REF!</v>
      </c>
      <c r="S62" s="112" t="e">
        <f>Q60+Q61+Q62</f>
        <v>#REF!</v>
      </c>
    </row>
    <row r="63" spans="1:19" ht="21" customHeight="1">
      <c r="A63" s="33"/>
      <c r="B63" s="157"/>
      <c r="C63" s="3" t="s">
        <v>27</v>
      </c>
      <c r="D63" s="34"/>
      <c r="E63" s="35"/>
      <c r="F63" s="35"/>
      <c r="G63" s="36" t="s">
        <v>264</v>
      </c>
      <c r="H63" s="37"/>
      <c r="I63" s="37"/>
      <c r="J63" s="71"/>
      <c r="K63" s="38"/>
      <c r="M63" s="7">
        <f>+Q55-Q59-Q60-Q61</f>
        <v>0</v>
      </c>
      <c r="N63" s="1"/>
      <c r="O63" s="1"/>
      <c r="P63" s="1"/>
      <c r="Q63" s="151" t="s">
        <v>28</v>
      </c>
    </row>
    <row r="64" spans="1:19" ht="21" customHeight="1">
      <c r="B64" s="106"/>
      <c r="D64" s="34"/>
      <c r="E64" s="39"/>
      <c r="F64" s="39"/>
      <c r="G64" s="40"/>
      <c r="H64" s="33"/>
      <c r="I64" s="34"/>
      <c r="J64" s="72"/>
      <c r="K64" s="34"/>
    </row>
    <row r="65" spans="1:19" s="8" customFormat="1" ht="21" customHeight="1">
      <c r="A65" s="1"/>
      <c r="B65" s="106"/>
      <c r="C65" s="3"/>
      <c r="D65" s="3"/>
      <c r="E65" s="3"/>
      <c r="F65" s="3"/>
      <c r="G65" s="41"/>
      <c r="J65" s="73"/>
      <c r="L65" s="4"/>
      <c r="M65" s="4"/>
      <c r="Q65" s="133"/>
      <c r="R65" s="3"/>
      <c r="S65" s="3"/>
    </row>
    <row r="66" spans="1:19">
      <c r="B66" s="106"/>
      <c r="E66" s="39"/>
      <c r="F66" s="39"/>
      <c r="G66" s="40"/>
      <c r="H66" s="33"/>
      <c r="I66" s="34"/>
      <c r="J66" s="72"/>
      <c r="K66" s="34"/>
    </row>
    <row r="67" spans="1:19">
      <c r="H67" s="45"/>
      <c r="Q67" s="134"/>
    </row>
    <row r="68" spans="1:19">
      <c r="C68" s="47"/>
      <c r="G68" s="36" t="str">
        <f>'[1]A VIEN'!G66</f>
        <v>Đặng Thị Mỹ Tin</v>
      </c>
      <c r="H68" s="45"/>
      <c r="Q68" s="120" t="s">
        <v>30</v>
      </c>
    </row>
    <row r="71" spans="1:19">
      <c r="R71" s="51"/>
    </row>
  </sheetData>
  <autoFilter ref="A5:R50" xr:uid="{00000000-0009-0000-0000-000007000000}">
    <filterColumn colId="4" showButton="0"/>
    <filterColumn colId="6" showButton="0"/>
    <filterColumn colId="7" showButton="0"/>
    <filterColumn colId="8" showButton="0"/>
    <filterColumn colId="11" showButton="0"/>
    <filterColumn colId="13" showButton="0"/>
  </autoFilter>
  <mergeCells count="37">
    <mergeCell ref="A59:F59"/>
    <mergeCell ref="A60:F60"/>
    <mergeCell ref="A61:F61"/>
    <mergeCell ref="A62:F62"/>
    <mergeCell ref="A56:F56"/>
    <mergeCell ref="A57:F57"/>
    <mergeCell ref="H6:I6"/>
    <mergeCell ref="P5:P7"/>
    <mergeCell ref="Q5:Q7"/>
    <mergeCell ref="A55:F55"/>
    <mergeCell ref="A28:A29"/>
    <mergeCell ref="B28:B29"/>
    <mergeCell ref="Q28:Q29"/>
    <mergeCell ref="A9:A10"/>
    <mergeCell ref="B9:B10"/>
    <mergeCell ref="M9:M10"/>
    <mergeCell ref="Q9:Q10"/>
    <mergeCell ref="A13:A14"/>
    <mergeCell ref="B13:B14"/>
    <mergeCell ref="M13:M14"/>
    <mergeCell ref="Q13:Q14"/>
    <mergeCell ref="A1:S1"/>
    <mergeCell ref="A2:S2"/>
    <mergeCell ref="A3:S3"/>
    <mergeCell ref="A4:C4"/>
    <mergeCell ref="A5:A7"/>
    <mergeCell ref="B5:B7"/>
    <mergeCell ref="C5:C7"/>
    <mergeCell ref="D5:D7"/>
    <mergeCell ref="E5:F5"/>
    <mergeCell ref="G5:J5"/>
    <mergeCell ref="K5:K7"/>
    <mergeCell ref="L5:M6"/>
    <mergeCell ref="N5:O6"/>
    <mergeCell ref="E6:E7"/>
    <mergeCell ref="R5:R7"/>
    <mergeCell ref="F6:F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>
      <selection activeCell="M7" sqref="M7"/>
    </sheetView>
  </sheetViews>
  <sheetFormatPr defaultRowHeight="15"/>
  <cols>
    <col min="1" max="1" width="5.7109375" customWidth="1"/>
    <col min="2" max="2" width="11.28515625" customWidth="1"/>
    <col min="3" max="3" width="19.7109375" customWidth="1"/>
    <col min="4" max="4" width="13.28515625" customWidth="1"/>
    <col min="5" max="5" width="16.28515625" customWidth="1"/>
    <col min="7" max="7" width="12" bestFit="1" customWidth="1"/>
  </cols>
  <sheetData>
    <row r="1" spans="1:7" ht="30.6" customHeight="1">
      <c r="A1" s="91" t="s">
        <v>39</v>
      </c>
      <c r="B1" s="91" t="s">
        <v>40</v>
      </c>
      <c r="C1" s="91" t="s">
        <v>41</v>
      </c>
      <c r="D1" s="91" t="s">
        <v>42</v>
      </c>
      <c r="E1" s="91" t="s">
        <v>43</v>
      </c>
    </row>
    <row r="2" spans="1:7" ht="22.9" customHeight="1">
      <c r="A2" s="88">
        <v>1</v>
      </c>
      <c r="B2" s="88" t="s">
        <v>46</v>
      </c>
      <c r="C2" s="89">
        <f>HIEU!Q57</f>
        <v>37144000</v>
      </c>
      <c r="D2" s="89">
        <f>C2*8%</f>
        <v>2971520</v>
      </c>
      <c r="E2" s="89">
        <f>C2+D2</f>
        <v>40115520</v>
      </c>
      <c r="G2" s="203"/>
    </row>
    <row r="3" spans="1:7" ht="22.9" customHeight="1">
      <c r="A3" s="88">
        <v>2</v>
      </c>
      <c r="B3" s="88" t="s">
        <v>35</v>
      </c>
      <c r="C3" s="89">
        <f>NAM!Q59</f>
        <v>41330000</v>
      </c>
      <c r="D3" s="89">
        <f t="shared" ref="D3:D8" si="0">C3*8%</f>
        <v>3306400</v>
      </c>
      <c r="E3" s="89">
        <f t="shared" ref="E3:E8" si="1">C3+D3</f>
        <v>44636400</v>
      </c>
      <c r="G3" s="203"/>
    </row>
    <row r="4" spans="1:7" ht="22.9" customHeight="1">
      <c r="A4" s="88">
        <v>3</v>
      </c>
      <c r="B4" s="159" t="s">
        <v>36</v>
      </c>
      <c r="C4" s="110">
        <f>'TU 2T'!Q54</f>
        <v>36902000</v>
      </c>
      <c r="D4" s="89">
        <f t="shared" si="0"/>
        <v>2952160</v>
      </c>
      <c r="E4" s="89">
        <f t="shared" si="1"/>
        <v>39854160</v>
      </c>
      <c r="G4" s="203"/>
    </row>
    <row r="5" spans="1:7" ht="22.9" customHeight="1">
      <c r="A5" s="88">
        <v>4</v>
      </c>
      <c r="B5" s="159" t="s">
        <v>37</v>
      </c>
      <c r="C5" s="110">
        <f>HOANG!Q51</f>
        <v>32908400</v>
      </c>
      <c r="D5" s="89">
        <f t="shared" si="0"/>
        <v>2632672</v>
      </c>
      <c r="E5" s="89">
        <f t="shared" si="1"/>
        <v>35541072</v>
      </c>
    </row>
    <row r="6" spans="1:7" ht="22.9" customHeight="1">
      <c r="A6" s="88">
        <v>5</v>
      </c>
      <c r="B6" s="159" t="s">
        <v>47</v>
      </c>
      <c r="C6" s="89">
        <f>TUAN!Q55</f>
        <v>56148000</v>
      </c>
      <c r="D6" s="89">
        <f t="shared" si="0"/>
        <v>4491840</v>
      </c>
      <c r="E6" s="89">
        <f t="shared" si="1"/>
        <v>60639840</v>
      </c>
    </row>
    <row r="7" spans="1:7" ht="22.9" customHeight="1">
      <c r="A7" s="88">
        <v>6</v>
      </c>
      <c r="B7" s="159" t="s">
        <v>125</v>
      </c>
      <c r="C7" s="160">
        <f>'TU 4T'!Q56</f>
        <v>51779300</v>
      </c>
      <c r="D7" s="89">
        <f t="shared" si="0"/>
        <v>4142344</v>
      </c>
      <c r="E7" s="89">
        <f t="shared" si="1"/>
        <v>55921644</v>
      </c>
    </row>
    <row r="8" spans="1:7" ht="22.9" customHeight="1">
      <c r="A8" s="88">
        <v>7</v>
      </c>
      <c r="B8" s="88" t="s">
        <v>38</v>
      </c>
      <c r="C8" s="89">
        <f>HUU!Q55</f>
        <v>93000000</v>
      </c>
      <c r="D8" s="89">
        <f t="shared" si="0"/>
        <v>7440000</v>
      </c>
      <c r="E8" s="89">
        <f t="shared" si="1"/>
        <v>100440000</v>
      </c>
    </row>
    <row r="9" spans="1:7" ht="22.9" customHeight="1">
      <c r="A9" s="88">
        <v>8</v>
      </c>
      <c r="B9" s="88" t="s">
        <v>64</v>
      </c>
      <c r="C9" s="89">
        <f>DANH!Q46</f>
        <v>65135100</v>
      </c>
      <c r="D9" s="89">
        <f t="shared" ref="D9" si="2">C9*8%</f>
        <v>5210808</v>
      </c>
      <c r="E9" s="89">
        <f t="shared" ref="E9" si="3">C9+D9</f>
        <v>70345908</v>
      </c>
    </row>
    <row r="10" spans="1:7" ht="22.9" customHeight="1">
      <c r="A10" s="90" t="s">
        <v>44</v>
      </c>
      <c r="B10" s="90"/>
      <c r="C10" s="94">
        <f>SUM(C2:C9)</f>
        <v>414346800</v>
      </c>
      <c r="D10" s="94">
        <f>SUM(D2:D9)</f>
        <v>33147744</v>
      </c>
      <c r="E10" s="161">
        <f>SUM(E2:E9)</f>
        <v>447494544</v>
      </c>
      <c r="G10" s="20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HIEU</vt:lpstr>
      <vt:lpstr>NAM</vt:lpstr>
      <vt:lpstr>TU 2T</vt:lpstr>
      <vt:lpstr>HOANG</vt:lpstr>
      <vt:lpstr>TUAN</vt:lpstr>
      <vt:lpstr>DANH</vt:lpstr>
      <vt:lpstr>TU 4T</vt:lpstr>
      <vt:lpstr>HUU</vt:lpstr>
      <vt:lpstr>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2023-12-29T07:26:22Z</dcterms:created>
  <dcterms:modified xsi:type="dcterms:W3CDTF">2025-09-29T04:25:21Z</dcterms:modified>
</cp:coreProperties>
</file>
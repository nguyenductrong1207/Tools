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Tools\bang_ke\van_loc_phat\example\"/>
    </mc:Choice>
  </mc:AlternateContent>
  <xr:revisionPtr revIDLastSave="0" documentId="13_ncr:1_{EF4EA1CD-48E3-4D8C-AFB4-28D8BB869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EU" sheetId="7" r:id="rId1"/>
    <sheet name="NAM" sheetId="4" r:id="rId2"/>
    <sheet name="HUNG" sheetId="3" r:id="rId3"/>
    <sheet name="HOANG" sheetId="5" r:id="rId4"/>
    <sheet name="TUAN" sheetId="2" r:id="rId5"/>
    <sheet name="DANH" sheetId="9" r:id="rId6"/>
    <sheet name="TU 4T" sheetId="1" r:id="rId7"/>
    <sheet name="HUU" sheetId="6" r:id="rId8"/>
    <sheet name="TH" sheetId="8" r:id="rId9"/>
  </sheets>
  <externalReferences>
    <externalReference r:id="rId10"/>
  </externalReferences>
  <definedNames>
    <definedName name="_xlnm._FilterDatabase" localSheetId="7" hidden="1">HUU!$A$5:$R$50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7" i="7" l="1"/>
  <c r="G57" i="6"/>
  <c r="Q51" i="6"/>
  <c r="R51" i="6" s="1"/>
  <c r="K51" i="6"/>
  <c r="K48" i="6"/>
  <c r="N44" i="6"/>
  <c r="M44" i="6"/>
  <c r="L44" i="6"/>
  <c r="Q48" i="6" s="1"/>
  <c r="K44" i="6"/>
  <c r="J44" i="6"/>
  <c r="P50" i="6" s="1"/>
  <c r="I44" i="6"/>
  <c r="I49" i="6" s="1"/>
  <c r="H44" i="6"/>
  <c r="G44" i="6"/>
  <c r="G48" i="6" s="1"/>
  <c r="Q42" i="6"/>
  <c r="Q40" i="6"/>
  <c r="Q39" i="6"/>
  <c r="Q38" i="6"/>
  <c r="Q37" i="6"/>
  <c r="Q36" i="6"/>
  <c r="O35" i="6"/>
  <c r="Q35" i="6" s="1"/>
  <c r="Q34" i="6"/>
  <c r="Q33" i="6"/>
  <c r="Q32" i="6"/>
  <c r="Q30" i="6"/>
  <c r="P29" i="6"/>
  <c r="Q29" i="6" s="1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A3" i="6"/>
  <c r="A1" i="6"/>
  <c r="G67" i="1"/>
  <c r="Q60" i="1"/>
  <c r="J60" i="1"/>
  <c r="I60" i="1"/>
  <c r="Q59" i="1"/>
  <c r="K59" i="1"/>
  <c r="O55" i="1"/>
  <c r="N55" i="1"/>
  <c r="N70" i="1" s="1"/>
  <c r="M55" i="1"/>
  <c r="L55" i="1"/>
  <c r="L70" i="1" s="1"/>
  <c r="L71" i="1" s="1"/>
  <c r="K55" i="1"/>
  <c r="J55" i="1"/>
  <c r="P61" i="1" s="1"/>
  <c r="I55" i="1"/>
  <c r="H55" i="1"/>
  <c r="G55" i="1"/>
  <c r="G59" i="1" s="1"/>
  <c r="Q54" i="1"/>
  <c r="P53" i="1"/>
  <c r="Q52" i="1" s="1"/>
  <c r="Q51" i="1"/>
  <c r="Q50" i="1"/>
  <c r="Q49" i="1"/>
  <c r="Q48" i="1"/>
  <c r="Q47" i="1"/>
  <c r="Q45" i="1"/>
  <c r="P44" i="1"/>
  <c r="Q44" i="1" s="1"/>
  <c r="Q42" i="1"/>
  <c r="Q41" i="1"/>
  <c r="Q40" i="1"/>
  <c r="Q37" i="1"/>
  <c r="Q35" i="1"/>
  <c r="Q34" i="1"/>
  <c r="Q33" i="1"/>
  <c r="Q31" i="1"/>
  <c r="Q30" i="1"/>
  <c r="P29" i="1"/>
  <c r="Q29" i="1" s="1"/>
  <c r="P28" i="1"/>
  <c r="Q27" i="1"/>
  <c r="Q26" i="1"/>
  <c r="Q25" i="1"/>
  <c r="Q23" i="1"/>
  <c r="P22" i="1"/>
  <c r="Q22" i="1" s="1"/>
  <c r="Q21" i="1"/>
  <c r="Q20" i="1"/>
  <c r="Q19" i="1"/>
  <c r="Q18" i="1"/>
  <c r="P17" i="1"/>
  <c r="Q17" i="1" s="1"/>
  <c r="Q16" i="1"/>
  <c r="Q15" i="1"/>
  <c r="Q14" i="1"/>
  <c r="Q13" i="1"/>
  <c r="Q12" i="1"/>
  <c r="Q10" i="1"/>
  <c r="P9" i="1"/>
  <c r="P55" i="1" s="1"/>
  <c r="Q8" i="1"/>
  <c r="A3" i="1"/>
  <c r="A1" i="1"/>
  <c r="G53" i="9"/>
  <c r="Q47" i="9"/>
  <c r="R47" i="9" s="1"/>
  <c r="K47" i="9"/>
  <c r="N40" i="9"/>
  <c r="M40" i="9"/>
  <c r="L40" i="9"/>
  <c r="Q44" i="9" s="1"/>
  <c r="K40" i="9"/>
  <c r="J40" i="9"/>
  <c r="P46" i="9" s="1"/>
  <c r="I40" i="9"/>
  <c r="I45" i="9" s="1"/>
  <c r="Q39" i="9"/>
  <c r="Q38" i="9"/>
  <c r="Q37" i="9"/>
  <c r="Q36" i="9"/>
  <c r="P35" i="9"/>
  <c r="Q34" i="9" s="1"/>
  <c r="Q33" i="9"/>
  <c r="Q32" i="9"/>
  <c r="H32" i="9"/>
  <c r="Q30" i="9"/>
  <c r="G30" i="9"/>
  <c r="G40" i="9" s="1"/>
  <c r="Q29" i="9"/>
  <c r="I29" i="9"/>
  <c r="H29" i="9"/>
  <c r="H40" i="9" s="1"/>
  <c r="Q28" i="9"/>
  <c r="P27" i="9"/>
  <c r="Q26" i="9"/>
  <c r="Q25" i="9"/>
  <c r="Q24" i="9"/>
  <c r="Q23" i="9"/>
  <c r="P22" i="9"/>
  <c r="Q22" i="9" s="1"/>
  <c r="O21" i="9"/>
  <c r="Q21" i="9" s="1"/>
  <c r="Q20" i="9"/>
  <c r="I20" i="9"/>
  <c r="H20" i="9"/>
  <c r="Q18" i="9"/>
  <c r="P16" i="9"/>
  <c r="Q16" i="9" s="1"/>
  <c r="Q15" i="9"/>
  <c r="P14" i="9"/>
  <c r="P40" i="9" s="1"/>
  <c r="Q46" i="9" s="1"/>
  <c r="R46" i="9" s="1"/>
  <c r="Q13" i="9"/>
  <c r="Q12" i="9"/>
  <c r="Q11" i="9"/>
  <c r="Q10" i="9"/>
  <c r="Q8" i="9"/>
  <c r="A3" i="9"/>
  <c r="A1" i="9"/>
  <c r="G76" i="2"/>
  <c r="O64" i="2"/>
  <c r="N64" i="2"/>
  <c r="N79" i="2" s="1"/>
  <c r="M64" i="2"/>
  <c r="Q69" i="2" s="1"/>
  <c r="L64" i="2"/>
  <c r="L79" i="2" s="1"/>
  <c r="L80" i="2" s="1"/>
  <c r="K64" i="2"/>
  <c r="J64" i="2"/>
  <c r="P70" i="2" s="1"/>
  <c r="G64" i="2"/>
  <c r="G68" i="2" s="1"/>
  <c r="Q63" i="2"/>
  <c r="Q62" i="2"/>
  <c r="G61" i="2"/>
  <c r="Q60" i="2"/>
  <c r="P59" i="2"/>
  <c r="Q59" i="2" s="1"/>
  <c r="Q58" i="2"/>
  <c r="Q55" i="2"/>
  <c r="Q51" i="2"/>
  <c r="Q50" i="2"/>
  <c r="Q48" i="2"/>
  <c r="Q45" i="2"/>
  <c r="Q43" i="2"/>
  <c r="Q41" i="2"/>
  <c r="I41" i="2"/>
  <c r="H41" i="2"/>
  <c r="Q40" i="2"/>
  <c r="Q39" i="2"/>
  <c r="Q38" i="2"/>
  <c r="Q37" i="2"/>
  <c r="Q36" i="2"/>
  <c r="Q35" i="2"/>
  <c r="Q34" i="2"/>
  <c r="P33" i="2"/>
  <c r="Q33" i="2" s="1"/>
  <c r="Q32" i="2"/>
  <c r="Q31" i="2"/>
  <c r="Q29" i="2"/>
  <c r="P28" i="2"/>
  <c r="P64" i="2" s="1"/>
  <c r="Q27" i="2"/>
  <c r="Q26" i="2"/>
  <c r="Q25" i="2"/>
  <c r="I24" i="2"/>
  <c r="H24" i="2"/>
  <c r="Q23" i="2"/>
  <c r="Q20" i="2"/>
  <c r="Q19" i="2"/>
  <c r="Q17" i="2"/>
  <c r="Q14" i="2"/>
  <c r="I13" i="2"/>
  <c r="H13" i="2"/>
  <c r="Q12" i="2"/>
  <c r="Q11" i="2"/>
  <c r="Q10" i="2"/>
  <c r="Q8" i="2"/>
  <c r="A3" i="2"/>
  <c r="A1" i="2"/>
  <c r="G70" i="5"/>
  <c r="O59" i="5"/>
  <c r="N59" i="5"/>
  <c r="M59" i="5"/>
  <c r="L59" i="5"/>
  <c r="Q63" i="5" s="1"/>
  <c r="K59" i="5"/>
  <c r="J59" i="5"/>
  <c r="P65" i="5" s="1"/>
  <c r="Q57" i="5"/>
  <c r="Q56" i="5"/>
  <c r="Q54" i="5"/>
  <c r="Q52" i="5"/>
  <c r="Q51" i="5"/>
  <c r="Q48" i="5"/>
  <c r="Q46" i="5"/>
  <c r="I46" i="5"/>
  <c r="H46" i="5"/>
  <c r="P45" i="5"/>
  <c r="Q45" i="5" s="1"/>
  <c r="Q43" i="5"/>
  <c r="Q41" i="5"/>
  <c r="I41" i="5"/>
  <c r="H41" i="5"/>
  <c r="P40" i="5"/>
  <c r="Q40" i="5" s="1"/>
  <c r="Q39" i="5"/>
  <c r="I38" i="5"/>
  <c r="H38" i="5"/>
  <c r="Q36" i="5"/>
  <c r="Q34" i="5"/>
  <c r="Q32" i="5"/>
  <c r="Q31" i="5"/>
  <c r="Q29" i="5"/>
  <c r="Q28" i="5"/>
  <c r="Q26" i="5"/>
  <c r="Q25" i="5"/>
  <c r="Q22" i="5"/>
  <c r="Q20" i="5"/>
  <c r="G20" i="5"/>
  <c r="G59" i="5" s="1"/>
  <c r="G63" i="5" s="1"/>
  <c r="Q18" i="5"/>
  <c r="Q17" i="5"/>
  <c r="Q16" i="5"/>
  <c r="Q14" i="5"/>
  <c r="Q13" i="5"/>
  <c r="Q11" i="5"/>
  <c r="Q8" i="5"/>
  <c r="A3" i="5"/>
  <c r="A1" i="5"/>
  <c r="G62" i="3"/>
  <c r="P50" i="3"/>
  <c r="Q56" i="3" s="1"/>
  <c r="O50" i="3"/>
  <c r="N50" i="3"/>
  <c r="M50" i="3"/>
  <c r="L50" i="3"/>
  <c r="Q54" i="3" s="1"/>
  <c r="K50" i="3"/>
  <c r="G50" i="3"/>
  <c r="G54" i="3" s="1"/>
  <c r="Q49" i="3"/>
  <c r="Q48" i="3"/>
  <c r="Q47" i="3"/>
  <c r="Q46" i="3"/>
  <c r="Q45" i="3"/>
  <c r="I45" i="3"/>
  <c r="H45" i="3"/>
  <c r="Q44" i="3"/>
  <c r="Q42" i="3"/>
  <c r="Q40" i="3"/>
  <c r="I40" i="3"/>
  <c r="H40" i="3"/>
  <c r="Q39" i="3"/>
  <c r="I39" i="3"/>
  <c r="H39" i="3"/>
  <c r="Q38" i="3"/>
  <c r="Q37" i="3"/>
  <c r="Q36" i="3"/>
  <c r="Q35" i="3"/>
  <c r="I35" i="3"/>
  <c r="H35" i="3"/>
  <c r="Q34" i="3"/>
  <c r="Q33" i="3"/>
  <c r="Q32" i="3"/>
  <c r="Q31" i="3"/>
  <c r="Q30" i="3"/>
  <c r="Q29" i="3"/>
  <c r="Q28" i="3"/>
  <c r="I27" i="3"/>
  <c r="H27" i="3"/>
  <c r="Q26" i="3"/>
  <c r="Q25" i="3"/>
  <c r="Q24" i="3"/>
  <c r="Q23" i="3"/>
  <c r="Q22" i="3"/>
  <c r="Q21" i="3"/>
  <c r="I21" i="3"/>
  <c r="H21" i="3"/>
  <c r="Q20" i="3"/>
  <c r="I20" i="3"/>
  <c r="H20" i="3"/>
  <c r="Q19" i="3"/>
  <c r="Q18" i="3"/>
  <c r="Q17" i="3"/>
  <c r="Q16" i="3"/>
  <c r="Q15" i="3"/>
  <c r="Q14" i="3"/>
  <c r="I14" i="3"/>
  <c r="H14" i="3"/>
  <c r="Q13" i="3"/>
  <c r="Q12" i="3"/>
  <c r="Q11" i="3"/>
  <c r="Q9" i="3"/>
  <c r="Q8" i="3"/>
  <c r="A3" i="3"/>
  <c r="A1" i="3"/>
  <c r="G64" i="4"/>
  <c r="P58" i="4"/>
  <c r="P52" i="4"/>
  <c r="Q58" i="4" s="1"/>
  <c r="O52" i="4"/>
  <c r="N52" i="4"/>
  <c r="M52" i="4"/>
  <c r="Q57" i="4" s="1"/>
  <c r="L52" i="4"/>
  <c r="Q56" i="4" s="1"/>
  <c r="K52" i="4"/>
  <c r="G52" i="4"/>
  <c r="G56" i="4" s="1"/>
  <c r="Q51" i="4"/>
  <c r="Q49" i="4"/>
  <c r="Q48" i="4"/>
  <c r="Q46" i="4"/>
  <c r="Q45" i="4"/>
  <c r="Q44" i="4"/>
  <c r="I44" i="4"/>
  <c r="H44" i="4"/>
  <c r="Q43" i="4"/>
  <c r="Q42" i="4"/>
  <c r="I42" i="4"/>
  <c r="H42" i="4"/>
  <c r="Q41" i="4"/>
  <c r="Q40" i="4"/>
  <c r="Q39" i="4"/>
  <c r="Q38" i="4"/>
  <c r="Q37" i="4"/>
  <c r="I37" i="4"/>
  <c r="H37" i="4"/>
  <c r="Q36" i="4"/>
  <c r="Q34" i="4"/>
  <c r="Q32" i="4"/>
  <c r="Q31" i="4"/>
  <c r="Q30" i="4"/>
  <c r="Q27" i="4"/>
  <c r="Q26" i="4"/>
  <c r="Q24" i="4"/>
  <c r="Q23" i="4"/>
  <c r="Q22" i="4"/>
  <c r="Q20" i="4"/>
  <c r="I20" i="4"/>
  <c r="H20" i="4"/>
  <c r="Q19" i="4"/>
  <c r="Q18" i="4"/>
  <c r="Q17" i="4"/>
  <c r="Q13" i="4"/>
  <c r="Q12" i="4"/>
  <c r="Q11" i="4"/>
  <c r="Q9" i="4"/>
  <c r="Q8" i="4"/>
  <c r="I8" i="4"/>
  <c r="H8" i="4"/>
  <c r="A3" i="4"/>
  <c r="A1" i="4"/>
  <c r="R72" i="7"/>
  <c r="G69" i="7"/>
  <c r="P57" i="7"/>
  <c r="Q63" i="7" s="1"/>
  <c r="N57" i="7"/>
  <c r="M57" i="7"/>
  <c r="L57" i="7"/>
  <c r="Q56" i="7"/>
  <c r="Q55" i="7"/>
  <c r="Q54" i="7"/>
  <c r="Q53" i="7"/>
  <c r="Q51" i="7"/>
  <c r="Q50" i="7"/>
  <c r="Q49" i="7"/>
  <c r="Q48" i="7"/>
  <c r="Q47" i="7"/>
  <c r="G46" i="7"/>
  <c r="G45" i="7"/>
  <c r="Q44" i="7"/>
  <c r="Q41" i="7"/>
  <c r="Q40" i="7"/>
  <c r="Q39" i="7"/>
  <c r="Q38" i="7"/>
  <c r="Q37" i="7"/>
  <c r="Q36" i="7"/>
  <c r="Q35" i="7"/>
  <c r="O34" i="7"/>
  <c r="Q34" i="7" s="1"/>
  <c r="Q33" i="7"/>
  <c r="Q31" i="7"/>
  <c r="Q30" i="7"/>
  <c r="Q29" i="7"/>
  <c r="Q28" i="7"/>
  <c r="Q25" i="7"/>
  <c r="I25" i="7"/>
  <c r="I57" i="7" s="1"/>
  <c r="I62" i="7" s="1"/>
  <c r="H25" i="7"/>
  <c r="H57" i="7" s="1"/>
  <c r="Q24" i="7"/>
  <c r="O23" i="7"/>
  <c r="Q23" i="7" s="1"/>
  <c r="Q21" i="7"/>
  <c r="Q20" i="7"/>
  <c r="Q19" i="7"/>
  <c r="O18" i="7"/>
  <c r="Q18" i="7" s="1"/>
  <c r="Q17" i="7"/>
  <c r="Q16" i="7"/>
  <c r="Q13" i="7"/>
  <c r="Q12" i="7"/>
  <c r="O11" i="7"/>
  <c r="Q11" i="7" s="1"/>
  <c r="Q10" i="7"/>
  <c r="Q9" i="7"/>
  <c r="Q8" i="7"/>
  <c r="A3" i="7"/>
  <c r="A1" i="7"/>
  <c r="K44" i="9" l="1"/>
  <c r="G44" i="9"/>
  <c r="R44" i="9" s="1"/>
  <c r="Q40" i="9"/>
  <c r="P59" i="5"/>
  <c r="Q65" i="5" s="1"/>
  <c r="R65" i="5" s="1"/>
  <c r="H64" i="2"/>
  <c r="I64" i="2"/>
  <c r="I69" i="2" s="1"/>
  <c r="Q64" i="2"/>
  <c r="C6" i="8" s="1"/>
  <c r="R60" i="1"/>
  <c r="O57" i="7"/>
  <c r="Q62" i="7" s="1"/>
  <c r="R62" i="7" s="1"/>
  <c r="H59" i="5"/>
  <c r="K68" i="2"/>
  <c r="G57" i="7"/>
  <c r="Q59" i="5"/>
  <c r="C5" i="8" s="1"/>
  <c r="H52" i="4"/>
  <c r="I52" i="4"/>
  <c r="I57" i="4" s="1"/>
  <c r="R57" i="4" s="1"/>
  <c r="I59" i="5"/>
  <c r="I64" i="5" s="1"/>
  <c r="H50" i="3"/>
  <c r="J69" i="2"/>
  <c r="Q61" i="7"/>
  <c r="Q68" i="2"/>
  <c r="I50" i="3"/>
  <c r="K54" i="3" s="1"/>
  <c r="Q44" i="6"/>
  <c r="C8" i="8" s="1"/>
  <c r="R63" i="5"/>
  <c r="Q55" i="3"/>
  <c r="Q64" i="5"/>
  <c r="R64" i="5" s="1"/>
  <c r="Q52" i="4"/>
  <c r="C3" i="8" s="1"/>
  <c r="R56" i="4"/>
  <c r="Q50" i="3"/>
  <c r="C4" i="8" s="1"/>
  <c r="R58" i="4"/>
  <c r="Q45" i="6"/>
  <c r="Q46" i="6" s="1"/>
  <c r="S44" i="6"/>
  <c r="O44" i="6"/>
  <c r="Q49" i="6" s="1"/>
  <c r="P44" i="6"/>
  <c r="Q50" i="6" s="1"/>
  <c r="R50" i="6" s="1"/>
  <c r="R48" i="6"/>
  <c r="P70" i="1"/>
  <c r="Q61" i="1"/>
  <c r="R61" i="1" s="1"/>
  <c r="R59" i="1"/>
  <c r="Q9" i="1"/>
  <c r="Q55" i="1" s="1"/>
  <c r="C7" i="8" s="1"/>
  <c r="J46" i="9"/>
  <c r="O40" i="9"/>
  <c r="Q45" i="9" s="1"/>
  <c r="R45" i="9" s="1"/>
  <c r="Q79" i="2"/>
  <c r="Q65" i="2"/>
  <c r="Q66" i="2" s="1"/>
  <c r="P79" i="2"/>
  <c r="Q70" i="2"/>
  <c r="R70" i="2" s="1"/>
  <c r="R68" i="2"/>
  <c r="R69" i="2"/>
  <c r="R73" i="5"/>
  <c r="K63" i="5"/>
  <c r="I55" i="3"/>
  <c r="R67" i="4"/>
  <c r="Q53" i="4"/>
  <c r="Q54" i="4" s="1"/>
  <c r="Q57" i="7"/>
  <c r="G61" i="7" l="1"/>
  <c r="R61" i="7" s="1"/>
  <c r="K61" i="7"/>
  <c r="Q51" i="3"/>
  <c r="Q52" i="3" s="1"/>
  <c r="R65" i="3"/>
  <c r="Q58" i="7"/>
  <c r="Q59" i="7" s="1"/>
  <c r="C2" i="8"/>
  <c r="K56" i="4"/>
  <c r="Q41" i="9"/>
  <c r="Q42" i="9" s="1"/>
  <c r="C9" i="8"/>
  <c r="Q60" i="5"/>
  <c r="Q61" i="5" s="1"/>
  <c r="R49" i="6"/>
  <c r="S51" i="6"/>
  <c r="S50" i="6"/>
  <c r="M52" i="6"/>
  <c r="Q70" i="1"/>
  <c r="Q56" i="1"/>
  <c r="Q57" i="1" s="1"/>
  <c r="C10" i="8" l="1"/>
  <c r="D9" i="8" l="1"/>
  <c r="E9" i="8" s="1"/>
  <c r="D2" i="8" l="1"/>
  <c r="E2" i="8" l="1"/>
  <c r="D4" i="8" l="1"/>
  <c r="D7" i="8"/>
  <c r="E7" i="8" s="1"/>
  <c r="D3" i="8"/>
  <c r="D8" i="8" l="1"/>
  <c r="E8" i="8" s="1"/>
  <c r="D6" i="8"/>
  <c r="E6" i="8" s="1"/>
  <c r="E3" i="8"/>
  <c r="E4" i="8"/>
  <c r="D5" i="8"/>
  <c r="D10" i="8" l="1"/>
  <c r="E5" i="8"/>
  <c r="E1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ANH HƯNG BẮT ĐẦU CHẠY
</t>
        </r>
      </text>
    </comment>
  </commentList>
</comments>
</file>

<file path=xl/sharedStrings.xml><?xml version="1.0" encoding="utf-8"?>
<sst xmlns="http://schemas.openxmlformats.org/spreadsheetml/2006/main" count="1524" uniqueCount="377">
  <si>
    <t>CHI PHÍ VẬN CHUYỂN HÀNG NỘI ĐỊA</t>
  </si>
  <si>
    <t xml:space="preserve">STT
次序 </t>
  </si>
  <si>
    <t>Ngày xuất 
hàng 日期</t>
  </si>
  <si>
    <t>Đơn xuất 
hàng 销货单</t>
  </si>
  <si>
    <t xml:space="preserve">Khách hàng
客户 </t>
  </si>
  <si>
    <t>Địa chỉ 
KH 送货地址</t>
  </si>
  <si>
    <t>SỐ LƯỢNG
重量 NET WEIGHT</t>
  </si>
  <si>
    <t>SỐ LƯỢNG
重量 (kg)
GROSS WEIGHT</t>
  </si>
  <si>
    <t>PHÍ VẬN CHUYỂN
路运费</t>
  </si>
  <si>
    <t>CHI PHÍ KHÁC
(LẤY HÀNG VỀ/GIAO MẪU…)</t>
  </si>
  <si>
    <t>CHỞ PHẾ</t>
  </si>
  <si>
    <t>THÀNH TIỀN
合计</t>
  </si>
  <si>
    <t>GHI CHÚ</t>
  </si>
  <si>
    <t>NỘI THÀNH</t>
  </si>
  <si>
    <t>NGOẠI THÀNH</t>
  </si>
  <si>
    <t>MÀNG NHỰA</t>
  </si>
  <si>
    <t>ĐỊNH HÌNH</t>
  </si>
  <si>
    <t>PHẾ LIỆU</t>
  </si>
  <si>
    <t>KG</t>
  </si>
  <si>
    <t>PCS</t>
  </si>
  <si>
    <t>TỔNG CỘNG</t>
  </si>
  <si>
    <t>THUẾ VAT 8%</t>
  </si>
  <si>
    <t>TỔNG TIỀN ĐÃ BAO GỒM THUẾ</t>
  </si>
  <si>
    <t>PHÍ VẬN CHUYỂN HÀNG MÀNG NHỰA:</t>
  </si>
  <si>
    <t>PHÍ VẬN CHUYỂN HÀNG ĐỊNH HÌNH:</t>
  </si>
  <si>
    <t>PHÍ VẬN CHUYỂN LIỆU + PHẾ LIỆU</t>
  </si>
  <si>
    <t>PHÍ VẬN CHUYỂN HÀNG CHUYỂN KHO</t>
  </si>
  <si>
    <t>核准  Phê duyệt</t>
  </si>
  <si>
    <t>製表 Lập phiếu</t>
  </si>
  <si>
    <t>NGUYỄN TRỌNG HỮU</t>
  </si>
  <si>
    <t>NCC: TRỊNH MINH HIẾU</t>
  </si>
  <si>
    <t>TỔNG CỘNG:</t>
  </si>
  <si>
    <t>TRỊNH MINH HIẾU</t>
  </si>
  <si>
    <t>TAN UYEN</t>
  </si>
  <si>
    <t>NAM</t>
  </si>
  <si>
    <t>HOÀNG</t>
  </si>
  <si>
    <t>HỮU</t>
  </si>
  <si>
    <t>STT</t>
  </si>
  <si>
    <t>XE</t>
  </si>
  <si>
    <t>PHÍ VC CHƯA VAT</t>
  </si>
  <si>
    <t>VAT 8%</t>
  </si>
  <si>
    <t>THÀNH TIỀN</t>
  </si>
  <si>
    <t>TỔNG</t>
  </si>
  <si>
    <t>HIẾU</t>
  </si>
  <si>
    <t>TUẤN</t>
  </si>
  <si>
    <t>Q8</t>
  </si>
  <si>
    <t>HOC MON</t>
  </si>
  <si>
    <t>CHI YEN</t>
  </si>
  <si>
    <t>BINH TAN</t>
  </si>
  <si>
    <t>P&amp;G</t>
  </si>
  <si>
    <t>BEN CAT</t>
  </si>
  <si>
    <t>2X</t>
  </si>
  <si>
    <t>THUAN AN</t>
  </si>
  <si>
    <t>C2</t>
  </si>
  <si>
    <t>DI AN</t>
  </si>
  <si>
    <t>STARPRINT</t>
  </si>
  <si>
    <t>DAI TIEN</t>
  </si>
  <si>
    <t>Ư</t>
  </si>
  <si>
    <t>PHU HOI</t>
  </si>
  <si>
    <t>DANH</t>
  </si>
  <si>
    <t>HANA</t>
  </si>
  <si>
    <t>Q9</t>
  </si>
  <si>
    <t>TAN PHU</t>
  </si>
  <si>
    <t>THU DUC</t>
  </si>
  <si>
    <t>Q12</t>
  </si>
  <si>
    <t>MINH PHUONG</t>
  </si>
  <si>
    <t>BINH CHANH</t>
  </si>
  <si>
    <t>RVC</t>
  </si>
  <si>
    <t>NIDEC VN</t>
  </si>
  <si>
    <t>TDM</t>
  </si>
  <si>
    <t>COLGATE</t>
  </si>
  <si>
    <t>BIEN HOA</t>
  </si>
  <si>
    <t>KIEN XUONG</t>
  </si>
  <si>
    <t>CAN GIUOC</t>
  </si>
  <si>
    <t>HIEP HUNG</t>
  </si>
  <si>
    <t>CU CHI</t>
  </si>
  <si>
    <t>MP3</t>
  </si>
  <si>
    <t>DUC HOA</t>
  </si>
  <si>
    <t>THUAN THANH</t>
  </si>
  <si>
    <t>AN THAI</t>
  </si>
  <si>
    <t>WAHL</t>
  </si>
  <si>
    <t>UKP</t>
  </si>
  <si>
    <t>LONG PHAT</t>
  </si>
  <si>
    <t>MINH KHANG</t>
  </si>
  <si>
    <t>TAO LUC</t>
  </si>
  <si>
    <t>TAN BINH</t>
  </si>
  <si>
    <t>HOANG ANH</t>
  </si>
  <si>
    <t>VSIP 2</t>
  </si>
  <si>
    <t>KMS</t>
  </si>
  <si>
    <t>PLASACO</t>
  </si>
  <si>
    <t>GIA MINH</t>
  </si>
  <si>
    <t>GO VAP</t>
  </si>
  <si>
    <t>ANH HUNG</t>
  </si>
  <si>
    <t>VINATRAY</t>
  </si>
  <si>
    <t>GA ST</t>
  </si>
  <si>
    <t>BEN LUC</t>
  </si>
  <si>
    <t>VE CHANH</t>
  </si>
  <si>
    <t>Q6</t>
  </si>
  <si>
    <t>DONG BAC VINA</t>
  </si>
  <si>
    <t>HANH MINH KHOI</t>
  </si>
  <si>
    <t>GIAO TOI, C2</t>
  </si>
  <si>
    <t>THIEN MOC</t>
  </si>
  <si>
    <t>BINH THANH</t>
  </si>
  <si>
    <t>8+9</t>
  </si>
  <si>
    <t>C2, 2X</t>
  </si>
  <si>
    <t>KOYO</t>
  </si>
  <si>
    <t>PHAM NGUYEN</t>
  </si>
  <si>
    <t>TUYEN HUNG PHU</t>
  </si>
  <si>
    <t>TAN DAI LONG</t>
  </si>
  <si>
    <t>NHON TRACH</t>
  </si>
  <si>
    <t>LONG THANH</t>
  </si>
  <si>
    <t>NCC: ANH  DANH - 10T</t>
  </si>
  <si>
    <t>NCC: ĐINH TÚ 4T</t>
  </si>
  <si>
    <t>TÚ 4T</t>
  </si>
  <si>
    <t>TRỊNH VĂN HOÀNG</t>
  </si>
  <si>
    <t>NAM PHAM</t>
  </si>
  <si>
    <t>ANH NGAN</t>
  </si>
  <si>
    <t>BRVT</t>
  </si>
  <si>
    <t>DINH TU</t>
  </si>
  <si>
    <t>QUEEN PACK</t>
  </si>
  <si>
    <t>HAO PHAT</t>
  </si>
  <si>
    <t>NCC: NGUYỄN TRỌNG HỮU - 8T-61C42819</t>
  </si>
  <si>
    <t>NIDEC INS</t>
  </si>
  <si>
    <t>THE KY XANH</t>
  </si>
  <si>
    <t>MASAN</t>
  </si>
  <si>
    <t>DOBLA</t>
  </si>
  <si>
    <t>VIFON</t>
  </si>
  <si>
    <t>TAN VIET PHAT</t>
  </si>
  <si>
    <t>THIEN LONG</t>
  </si>
  <si>
    <t>C2, LAY PHE NIDEC VN</t>
  </si>
  <si>
    <t>26+27</t>
  </si>
  <si>
    <t>HIEP PHONG</t>
  </si>
  <si>
    <t>NPP THANH PHAT</t>
  </si>
  <si>
    <t>XUAN THAI THINH</t>
  </si>
  <si>
    <t>17+18</t>
  </si>
  <si>
    <t>NHA BE</t>
  </si>
  <si>
    <t>TAN PHAT</t>
  </si>
  <si>
    <t>BAU BANG</t>
  </si>
  <si>
    <t>LẤY PHẾ NIDEC VN</t>
  </si>
  <si>
    <t>JUMBO</t>
  </si>
  <si>
    <t>LONG KHANH</t>
  </si>
  <si>
    <t>HARADA</t>
  </si>
  <si>
    <t>TAN PHAT 2</t>
  </si>
  <si>
    <t>BIOPLAS</t>
  </si>
  <si>
    <t>ECOPAK</t>
  </si>
  <si>
    <t>HUNUFA</t>
  </si>
  <si>
    <t>TAIXIN</t>
  </si>
  <si>
    <t>HUNG THAO</t>
  </si>
  <si>
    <t>ECOPACK</t>
  </si>
  <si>
    <t>CHAN KHANG</t>
  </si>
  <si>
    <t>18+19</t>
  </si>
  <si>
    <t>22+23</t>
  </si>
  <si>
    <t>MEIZAN</t>
  </si>
  <si>
    <t>CAO DUONG QUOC</t>
  </si>
  <si>
    <t>C2, LẤY PHẾ NIDEC VN</t>
  </si>
  <si>
    <t>42+43</t>
  </si>
  <si>
    <t>NHU PHUC</t>
  </si>
  <si>
    <t>THU PHUONG</t>
  </si>
  <si>
    <t>KIWORK</t>
  </si>
  <si>
    <t>TAN TIEN PT</t>
  </si>
  <si>
    <t>VAN-BT</t>
  </si>
  <si>
    <t>BINH THUAN</t>
  </si>
  <si>
    <t>ANH DINH</t>
  </si>
  <si>
    <t>QUANG DUNG</t>
  </si>
  <si>
    <t>TH-FARM</t>
  </si>
  <si>
    <t>17+18+19</t>
  </si>
  <si>
    <t>8+7</t>
  </si>
  <si>
    <t>THI</t>
  </si>
  <si>
    <t>37+38</t>
  </si>
  <si>
    <t>UGEN</t>
  </si>
  <si>
    <t>19+20</t>
  </si>
  <si>
    <t>24+23</t>
  </si>
  <si>
    <t>10+9</t>
  </si>
  <si>
    <t>LAY PHE NIDEC VN</t>
  </si>
  <si>
    <t>RAW</t>
  </si>
  <si>
    <t>BB KIEN NANG</t>
  </si>
  <si>
    <t>30+31</t>
  </si>
  <si>
    <t>2X, LAY PHE NIDEC VN</t>
  </si>
  <si>
    <t>COLORMATE</t>
  </si>
  <si>
    <t>51T</t>
  </si>
  <si>
    <t>C VAN-HN</t>
  </si>
  <si>
    <t>QUOC THANG</t>
  </si>
  <si>
    <t>DONG BAC</t>
  </si>
  <si>
    <t>JOYFOOD</t>
  </si>
  <si>
    <t>TSUKASA</t>
  </si>
  <si>
    <t>BINH AN, DN</t>
  </si>
  <si>
    <t>C3, GIAO TOI</t>
  </si>
  <si>
    <t>34+35</t>
  </si>
  <si>
    <t>C2, GIAO TOI</t>
  </si>
  <si>
    <t>26/11/2025</t>
  </si>
  <si>
    <t xml:space="preserve">KMS </t>
  </si>
  <si>
    <t>60B. TINH 1.5T</t>
  </si>
  <si>
    <t>HOA THAI</t>
  </si>
  <si>
    <t>27/11/2025</t>
  </si>
  <si>
    <t>28/11/2025</t>
  </si>
  <si>
    <t>CHỞ HANG DI KIEM HOA-KCN 
SONG THAN + PHÍ LƠ XE</t>
  </si>
  <si>
    <t>29/11/2025</t>
  </si>
  <si>
    <t>GAN CAN GIUOC +300K</t>
  </si>
  <si>
    <t>Q10</t>
  </si>
  <si>
    <t>01/12/2025</t>
  </si>
  <si>
    <t>BB NGOC THANH</t>
  </si>
  <si>
    <t>02/12/2025</t>
  </si>
  <si>
    <t>LẤY 109PCS VỎ THÙNG VỀ</t>
  </si>
  <si>
    <t>03/12/2025</t>
  </si>
  <si>
    <t>80B. TINH PHI 1.5T</t>
  </si>
  <si>
    <t>GALLANT</t>
  </si>
  <si>
    <t>04/12/2025</t>
  </si>
  <si>
    <t>05/12/2025</t>
  </si>
  <si>
    <t>LẤY VỀ 237PCS VỎ THÙNG NHỰA</t>
  </si>
  <si>
    <t>GIAO TOI .PHI 1.5T</t>
  </si>
  <si>
    <t>06/12/2025</t>
  </si>
  <si>
    <t>5+12</t>
  </si>
  <si>
    <t>RUECO</t>
  </si>
  <si>
    <t>07/12/2025</t>
  </si>
  <si>
    <t>2+3+4</t>
  </si>
  <si>
    <t>08/12/2025</t>
  </si>
  <si>
    <t>VINA HT</t>
  </si>
  <si>
    <t>09/12/2025</t>
  </si>
  <si>
    <t>10/12/2025</t>
  </si>
  <si>
    <t>LC FOODS</t>
  </si>
  <si>
    <t>C2, VE CHANH</t>
  </si>
  <si>
    <t>12/12/2025</t>
  </si>
  <si>
    <t xml:space="preserve"> LẤY 42PCS VỎ THÙNG, 
LẤY 17T TAO LUC VỀ (KIM HOA)</t>
  </si>
  <si>
    <t>13/12/2025</t>
  </si>
  <si>
    <t>GIAO MAU MY LAN Q6-X1 (HẠNH)</t>
  </si>
  <si>
    <t>14/12/2025</t>
  </si>
  <si>
    <t>15/12/2025</t>
  </si>
  <si>
    <t>16/12/2025</t>
  </si>
  <si>
    <t>ĐI THIẾU TẢI DO HÀNG GẤP (THI, HẠNH), C2</t>
  </si>
  <si>
    <t>17/12/2025</t>
  </si>
  <si>
    <t>TU PHUONG TONY</t>
  </si>
  <si>
    <t>18/12/2025</t>
  </si>
  <si>
    <t>15+16</t>
  </si>
  <si>
    <t>19/12/2025</t>
  </si>
  <si>
    <t>20/12/2025</t>
  </si>
  <si>
    <t>22/12/2025</t>
  </si>
  <si>
    <t>23/12/2025</t>
  </si>
  <si>
    <t>48+47</t>
  </si>
  <si>
    <t>2X, C2, VE CHANH</t>
  </si>
  <si>
    <t>24/12/2025</t>
  </si>
  <si>
    <t>25/12/2025</t>
  </si>
  <si>
    <t>Xác nhận</t>
    <phoneticPr fontId="7" type="noConversion"/>
  </si>
  <si>
    <t>NCC: A NAM - 2.5T-61H10411</t>
  </si>
  <si>
    <t>6+7+26+
27+28+21</t>
  </si>
  <si>
    <t>34+33</t>
  </si>
  <si>
    <t>9+4+2+3</t>
  </si>
  <si>
    <t>THINH PHAT</t>
  </si>
  <si>
    <t>LIEN TAM KHOA</t>
  </si>
  <si>
    <t>LE LAN</t>
  </si>
  <si>
    <t>HONG PHAT</t>
  </si>
  <si>
    <t>NPP HUNG THAO</t>
  </si>
  <si>
    <t>20+54</t>
  </si>
  <si>
    <t>1+2</t>
  </si>
  <si>
    <t>ANH CONG</t>
  </si>
  <si>
    <t>GIAO TỐI, C2, VE CHANH</t>
  </si>
  <si>
    <t>18+19+20</t>
  </si>
  <si>
    <t>GHÉ HƯƠNG MY LẤY HÀNG
 GC VỀ - 1.8 TẤN (TUYẾN)</t>
  </si>
  <si>
    <t>GHÉ HƯƠNG MY LẤY HÀNG
 GC VE-600KG (TUYẾN)</t>
  </si>
  <si>
    <t>LẤY 210 PCS VỎ THÙNG VỀ</t>
  </si>
  <si>
    <t>11/12/2025</t>
  </si>
  <si>
    <t>LẤY 129PCS VỎ THÙNG VỀ</t>
  </si>
  <si>
    <t>34+44</t>
  </si>
  <si>
    <t>11+13</t>
  </si>
  <si>
    <t>GHÉ CTY PHAM HA-Q12 
LẤY 300KG TÚI PE (NGÂN)</t>
  </si>
  <si>
    <t>28+23</t>
  </si>
  <si>
    <t>51+58+37</t>
  </si>
  <si>
    <t>1+4</t>
  </si>
  <si>
    <t>A&amp;C</t>
  </si>
  <si>
    <t>Q2</t>
  </si>
  <si>
    <t>24+25</t>
  </si>
  <si>
    <t>LẤY HÀNG C YẾN VỀ 80T
 (KIM HOA GIAO SAI HÀNG-24/12)</t>
  </si>
  <si>
    <t>2X, C2</t>
  </si>
  <si>
    <t>NCC: ANH HƯNG - 2.5T</t>
  </si>
  <si>
    <t>17+15</t>
  </si>
  <si>
    <t>20+19</t>
  </si>
  <si>
    <t>9+55~57</t>
  </si>
  <si>
    <t>32+54</t>
  </si>
  <si>
    <t>GHÉ BÌNH TÂN LẤY 500KG PHỤ GIA VỀ (NGÂN)</t>
  </si>
  <si>
    <t>30+32</t>
  </si>
  <si>
    <t>2+3+9</t>
  </si>
  <si>
    <t>33+28</t>
  </si>
  <si>
    <t>36+37</t>
  </si>
  <si>
    <t>29~33</t>
  </si>
  <si>
    <t>4+50</t>
  </si>
  <si>
    <t>AN VINH</t>
  </si>
  <si>
    <t>52+41</t>
  </si>
  <si>
    <t>42+43+46</t>
  </si>
  <si>
    <t>GIAO TOI, VE CHANH</t>
  </si>
  <si>
    <t>VE CHANH, 2X, C2</t>
  </si>
  <si>
    <t>CHI NHI</t>
  </si>
  <si>
    <t>32+46</t>
  </si>
  <si>
    <t>FOSTER</t>
  </si>
  <si>
    <t>HƯNG</t>
  </si>
  <si>
    <t>NCC: TRỊNH VĂN HOÀNG - 4T-61K52908</t>
  </si>
  <si>
    <t>C2, GIAO TOI, VE CHANH</t>
  </si>
  <si>
    <t>CHUYỂN PHẾ NIDEC VN TỪ X1=&gt; 
AN PHÁT 1.3TAN</t>
  </si>
  <si>
    <t>15+18</t>
  </si>
  <si>
    <t>TU PHUONG</t>
  </si>
  <si>
    <t>A PHUC</t>
  </si>
  <si>
    <t>VSIP 2A</t>
  </si>
  <si>
    <t>+ LƠ XE</t>
  </si>
  <si>
    <t>GIAO 2 DIEM</t>
  </si>
  <si>
    <t>14+26</t>
  </si>
  <si>
    <t>7+17</t>
  </si>
  <si>
    <t>18+20</t>
  </si>
  <si>
    <t>38+37</t>
  </si>
  <si>
    <t>9+22</t>
  </si>
  <si>
    <t>PHUOC</t>
  </si>
  <si>
    <t>FINTECHX</t>
  </si>
  <si>
    <t>78T</t>
  </si>
  <si>
    <t>NCC: ANH TUẤN - 7T-61H09504</t>
  </si>
  <si>
    <t>ZHENG HUI</t>
  </si>
  <si>
    <t>MP1</t>
  </si>
  <si>
    <t>NAM TAY PHUONG</t>
  </si>
  <si>
    <t>TRẢ VỀ NGUYÊN XE HÀNG NG (THẢO), C2</t>
  </si>
  <si>
    <t>1+34</t>
  </si>
  <si>
    <t>5+11</t>
  </si>
  <si>
    <t>11+15</t>
  </si>
  <si>
    <t>GHÉ LP LẤY 2TAN HÀNG NIDEC VỀ X2 (NGÂN)</t>
  </si>
  <si>
    <t>34+13</t>
  </si>
  <si>
    <t>38+40</t>
  </si>
  <si>
    <t>AMIBA</t>
  </si>
  <si>
    <t>HANG GC</t>
  </si>
  <si>
    <t>LẤY PHẾ NIDEC INS, C2</t>
  </si>
  <si>
    <t>13+15</t>
  </si>
  <si>
    <t>LẤY 6T HÀNG GA ST VỀ -PHƯỚC</t>
  </si>
  <si>
    <t>31+33+48</t>
  </si>
  <si>
    <t>LONG BINH</t>
  </si>
  <si>
    <t>VINH LOC</t>
  </si>
  <si>
    <t>GHÉ BÌNH CHÁNH LẤY TÚI PE 300KG (NGÂN)</t>
  </si>
  <si>
    <t>SEN VIET</t>
  </si>
  <si>
    <t>9+10</t>
  </si>
  <si>
    <t>RAW PLUG</t>
  </si>
  <si>
    <t>25+24</t>
  </si>
  <si>
    <t>45+58</t>
  </si>
  <si>
    <t>LẤY 384PCS VỎ THÙNG VỀ</t>
  </si>
  <si>
    <t>LẤY HÀNG TRẢ VỀ 8.5 TÂN</t>
  </si>
  <si>
    <t>JUM BO</t>
  </si>
  <si>
    <t>38+39</t>
  </si>
  <si>
    <t>ANH PHUC</t>
  </si>
  <si>
    <t>18+15</t>
  </si>
  <si>
    <t>25+</t>
  </si>
  <si>
    <t>16+19</t>
  </si>
  <si>
    <t>10+11+12</t>
  </si>
  <si>
    <t>30/11/2025</t>
  </si>
  <si>
    <t>MAI THU</t>
  </si>
  <si>
    <t>KWOOK VN</t>
  </si>
  <si>
    <t>13+14</t>
  </si>
  <si>
    <t>SONG HUONG</t>
  </si>
  <si>
    <t>VE  CHANH</t>
  </si>
  <si>
    <t>GIAO MAU QUOC THANG-
BINH CHANH (HANH)</t>
  </si>
  <si>
    <t xml:space="preserve">GHẾ NGOC ANH LẤY 300PCS ỐNG GIẤY VỀ </t>
  </si>
  <si>
    <t>GHÉ HƯNG THINH-TAN UYÊN 
LẤY MÚT XỐP + GHÉ NGOC ANH LẤY 200PCS ỐNG GIẤY VỀ</t>
  </si>
  <si>
    <t>11+12</t>
  </si>
  <si>
    <t>PHONG THUY</t>
  </si>
  <si>
    <t>56+55+59</t>
  </si>
  <si>
    <t xml:space="preserve">FOSTER </t>
  </si>
  <si>
    <t>28+29</t>
  </si>
  <si>
    <t>17+19</t>
  </si>
  <si>
    <t>LAM DONG</t>
  </si>
  <si>
    <t xml:space="preserve"> 7TR. KH TRẢ 5TR2
LẤY 48T HÀNG NG VỀ (CHÂU).</t>
  </si>
  <si>
    <t>MEIZAN CLV</t>
  </si>
  <si>
    <t>TRẢ VỀ NGUYÊN XE HÀNG NG (THẢO)</t>
  </si>
  <si>
    <t>38+39+40</t>
  </si>
  <si>
    <t>11+13+14</t>
  </si>
  <si>
    <t>41+5+2+1</t>
  </si>
  <si>
    <t>4+5</t>
  </si>
  <si>
    <t>TRẢ 56T HÀNG NG. 1/11</t>
  </si>
  <si>
    <t>27~33</t>
  </si>
  <si>
    <t>13+14+15</t>
  </si>
  <si>
    <t>7~13</t>
  </si>
  <si>
    <t>28~35</t>
  </si>
  <si>
    <t>35~41</t>
  </si>
  <si>
    <t>LẤY 259PCS VỎ THÙNG VỀ</t>
  </si>
  <si>
    <t>31~38</t>
  </si>
  <si>
    <t>6+8</t>
  </si>
  <si>
    <t>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</si>
</sst>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_);_(* \(#,##0.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1"/>
      <charset val="136"/>
      <scheme val="minor"/>
    </font>
    <font>
      <sz val="10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2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38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64" fontId="3" fillId="2" borderId="0" xfId="1" applyNumberFormat="1" applyFont="1" applyFill="1" applyAlignment="1">
      <alignment vertical="center"/>
    </xf>
    <xf numFmtId="165" fontId="3" fillId="2" borderId="0" xfId="1" applyNumberFormat="1" applyFont="1" applyFill="1" applyAlignment="1">
      <alignment vertical="center"/>
    </xf>
    <xf numFmtId="43" fontId="3" fillId="2" borderId="0" xfId="1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right" vertical="center"/>
    </xf>
    <xf numFmtId="164" fontId="3" fillId="2" borderId="2" xfId="1" applyNumberFormat="1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vertical="center"/>
    </xf>
    <xf numFmtId="164" fontId="3" fillId="2" borderId="2" xfId="1" quotePrefix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/>
    <xf numFmtId="164" fontId="3" fillId="2" borderId="2" xfId="1" applyNumberFormat="1" applyFont="1" applyFill="1" applyBorder="1" applyAlignment="1">
      <alignment horizontal="center"/>
    </xf>
    <xf numFmtId="164" fontId="3" fillId="2" borderId="2" xfId="1" quotePrefix="1" applyNumberFormat="1" applyFont="1" applyFill="1" applyBorder="1" applyAlignment="1">
      <alignment vertical="center"/>
    </xf>
    <xf numFmtId="164" fontId="3" fillId="2" borderId="2" xfId="1" applyNumberFormat="1" applyFont="1" applyFill="1" applyBorder="1" applyAlignment="1">
      <alignment horizontal="right"/>
    </xf>
    <xf numFmtId="164" fontId="2" fillId="4" borderId="2" xfId="1" applyNumberFormat="1" applyFont="1" applyFill="1" applyBorder="1" applyAlignment="1"/>
    <xf numFmtId="0" fontId="2" fillId="2" borderId="0" xfId="0" applyFont="1" applyFill="1" applyAlignment="1">
      <alignment horizontal="center" vertical="center"/>
    </xf>
    <xf numFmtId="164" fontId="3" fillId="4" borderId="2" xfId="1" applyNumberFormat="1" applyFont="1" applyFill="1" applyBorder="1" applyAlignment="1"/>
    <xf numFmtId="0" fontId="10" fillId="2" borderId="0" xfId="0" applyFont="1" applyFill="1" applyAlignment="1">
      <alignment horizontal="center"/>
    </xf>
    <xf numFmtId="164" fontId="2" fillId="2" borderId="0" xfId="1" applyNumberFormat="1" applyFont="1" applyFill="1" applyBorder="1" applyAlignment="1"/>
    <xf numFmtId="164" fontId="3" fillId="2" borderId="0" xfId="1" applyNumberFormat="1" applyFont="1" applyFill="1" applyBorder="1" applyAlignment="1"/>
    <xf numFmtId="0" fontId="2" fillId="2" borderId="0" xfId="0" applyFont="1" applyFill="1" applyAlignment="1">
      <alignment horizontal="left" vertical="center"/>
    </xf>
    <xf numFmtId="164" fontId="2" fillId="2" borderId="2" xfId="1" applyNumberFormat="1" applyFont="1" applyFill="1" applyBorder="1" applyAlignment="1"/>
    <xf numFmtId="164" fontId="11" fillId="2" borderId="2" xfId="1" applyNumberFormat="1" applyFont="1" applyFill="1" applyBorder="1" applyAlignment="1"/>
    <xf numFmtId="43" fontId="12" fillId="2" borderId="2" xfId="0" applyNumberFormat="1" applyFont="1" applyFill="1" applyBorder="1" applyAlignment="1">
      <alignment vertical="center"/>
    </xf>
    <xf numFmtId="43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/>
    <xf numFmtId="41" fontId="3" fillId="2" borderId="0" xfId="1" applyNumberFormat="1" applyFont="1" applyFill="1" applyAlignment="1"/>
    <xf numFmtId="4" fontId="3" fillId="2" borderId="0" xfId="0" applyNumberFormat="1" applyFont="1" applyFill="1" applyAlignment="1">
      <alignment horizontal="left"/>
    </xf>
    <xf numFmtId="164" fontId="3" fillId="2" borderId="0" xfId="1" applyNumberFormat="1" applyFont="1" applyFill="1"/>
    <xf numFmtId="164" fontId="3" fillId="2" borderId="0" xfId="0" applyNumberFormat="1" applyFont="1" applyFill="1" applyAlignment="1">
      <alignment vertical="center"/>
    </xf>
    <xf numFmtId="12" fontId="3" fillId="2" borderId="0" xfId="0" applyNumberFormat="1" applyFont="1" applyFill="1" applyAlignment="1">
      <alignment horizontal="center" vertical="center"/>
    </xf>
    <xf numFmtId="166" fontId="3" fillId="2" borderId="0" xfId="1" applyNumberFormat="1" applyFont="1" applyFill="1" applyAlignment="1">
      <alignment horizontal="left"/>
    </xf>
    <xf numFmtId="166" fontId="3" fillId="2" borderId="0" xfId="1" applyNumberFormat="1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165" fontId="3" fillId="2" borderId="0" xfId="1" applyNumberFormat="1" applyFont="1" applyFill="1" applyAlignment="1"/>
    <xf numFmtId="16" fontId="3" fillId="2" borderId="2" xfId="0" quotePrefix="1" applyNumberFormat="1" applyFont="1" applyFill="1" applyBorder="1" applyAlignment="1">
      <alignment horizontal="left"/>
    </xf>
    <xf numFmtId="164" fontId="3" fillId="2" borderId="0" xfId="1" applyNumberFormat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3" fontId="6" fillId="2" borderId="2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/>
    <xf numFmtId="43" fontId="2" fillId="5" borderId="2" xfId="1" applyFont="1" applyFill="1" applyBorder="1" applyAlignment="1"/>
    <xf numFmtId="164" fontId="13" fillId="5" borderId="2" xfId="1" applyNumberFormat="1" applyFont="1" applyFill="1" applyBorder="1" applyAlignment="1"/>
    <xf numFmtId="0" fontId="2" fillId="5" borderId="0" xfId="0" applyFont="1" applyFill="1" applyAlignment="1">
      <alignment horizontal="center" vertical="center"/>
    </xf>
    <xf numFmtId="164" fontId="13" fillId="4" borderId="2" xfId="1" applyNumberFormat="1" applyFont="1" applyFill="1" applyBorder="1" applyAlignment="1"/>
    <xf numFmtId="164" fontId="13" fillId="2" borderId="0" xfId="1" applyNumberFormat="1" applyFont="1" applyFill="1" applyBorder="1" applyAlignment="1"/>
    <xf numFmtId="164" fontId="13" fillId="2" borderId="2" xfId="1" applyNumberFormat="1" applyFont="1" applyFill="1" applyBorder="1" applyAlignment="1"/>
    <xf numFmtId="167" fontId="2" fillId="2" borderId="2" xfId="1" applyNumberFormat="1" applyFont="1" applyFill="1" applyBorder="1" applyAlignment="1">
      <alignment horizontal="center" vertical="center" wrapText="1"/>
    </xf>
    <xf numFmtId="167" fontId="2" fillId="4" borderId="2" xfId="1" applyNumberFormat="1" applyFont="1" applyFill="1" applyBorder="1" applyAlignment="1"/>
    <xf numFmtId="0" fontId="3" fillId="4" borderId="2" xfId="0" applyFont="1" applyFill="1" applyBorder="1" applyAlignment="1">
      <alignment horizontal="left" vertical="center"/>
    </xf>
    <xf numFmtId="164" fontId="3" fillId="4" borderId="2" xfId="1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7" fontId="2" fillId="2" borderId="0" xfId="1" applyNumberFormat="1" applyFont="1" applyFill="1" applyBorder="1" applyAlignment="1"/>
    <xf numFmtId="167" fontId="2" fillId="2" borderId="2" xfId="1" applyNumberFormat="1" applyFont="1" applyFill="1" applyBorder="1" applyAlignment="1"/>
    <xf numFmtId="43" fontId="12" fillId="2" borderId="2" xfId="0" applyNumberFormat="1" applyFont="1" applyFill="1" applyBorder="1" applyAlignment="1">
      <alignment horizontal="left" vertical="center"/>
    </xf>
    <xf numFmtId="167" fontId="3" fillId="2" borderId="0" xfId="1" applyNumberFormat="1" applyFont="1" applyFill="1" applyAlignment="1"/>
    <xf numFmtId="167" fontId="3" fillId="2" borderId="0" xfId="1" applyNumberFormat="1" applyFont="1" applyFill="1" applyAlignment="1">
      <alignment horizontal="left"/>
    </xf>
    <xf numFmtId="167" fontId="3" fillId="2" borderId="0" xfId="1" applyNumberFormat="1" applyFont="1" applyFill="1" applyAlignment="1">
      <alignment vertical="center"/>
    </xf>
    <xf numFmtId="167" fontId="3" fillId="2" borderId="0" xfId="1" applyNumberFormat="1" applyFont="1" applyFill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/>
    <xf numFmtId="0" fontId="7" fillId="2" borderId="0" xfId="0" applyFont="1" applyFill="1" applyAlignment="1">
      <alignment horizontal="center" vertical="center"/>
    </xf>
    <xf numFmtId="164" fontId="14" fillId="4" borderId="2" xfId="1" applyNumberFormat="1" applyFont="1" applyFill="1" applyBorder="1" applyAlignment="1"/>
    <xf numFmtId="0" fontId="9" fillId="2" borderId="2" xfId="0" applyFont="1" applyFill="1" applyBorder="1" applyAlignment="1">
      <alignment horizontal="left" vertical="center"/>
    </xf>
    <xf numFmtId="164" fontId="3" fillId="5" borderId="2" xfId="1" applyNumberFormat="1" applyFont="1" applyFill="1" applyBorder="1" applyAlignment="1">
      <alignment horizontal="left"/>
    </xf>
    <xf numFmtId="43" fontId="3" fillId="2" borderId="2" xfId="0" applyNumberFormat="1" applyFont="1" applyFill="1" applyBorder="1" applyAlignment="1">
      <alignment horizontal="left" vertical="center"/>
    </xf>
    <xf numFmtId="164" fontId="9" fillId="2" borderId="2" xfId="1" quotePrefix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0" applyBorder="1"/>
    <xf numFmtId="0" fontId="1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/>
    <xf numFmtId="164" fontId="2" fillId="5" borderId="2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/>
    <xf numFmtId="164" fontId="6" fillId="2" borderId="2" xfId="1" quotePrefix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right" vertical="center"/>
    </xf>
    <xf numFmtId="0" fontId="3" fillId="2" borderId="2" xfId="0" applyFont="1" applyFill="1" applyBorder="1"/>
    <xf numFmtId="0" fontId="3" fillId="6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2" fontId="9" fillId="2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4" fontId="1" fillId="0" borderId="2" xfId="1" applyNumberFormat="1" applyFont="1" applyBorder="1" applyAlignment="1">
      <alignment horizontal="center"/>
    </xf>
    <xf numFmtId="164" fontId="9" fillId="2" borderId="2" xfId="1" quotePrefix="1" applyNumberFormat="1" applyFont="1" applyFill="1" applyBorder="1" applyAlignment="1">
      <alignment vertical="center"/>
    </xf>
    <xf numFmtId="43" fontId="3" fillId="2" borderId="2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164" fontId="14" fillId="4" borderId="2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vertical="center"/>
    </xf>
    <xf numFmtId="16" fontId="9" fillId="2" borderId="2" xfId="0" quotePrefix="1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64" fontId="14" fillId="2" borderId="2" xfId="1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164" fontId="2" fillId="5" borderId="10" xfId="1" applyNumberFormat="1" applyFont="1" applyFill="1" applyBorder="1" applyAlignment="1"/>
    <xf numFmtId="164" fontId="2" fillId="3" borderId="10" xfId="1" applyNumberFormat="1" applyFont="1" applyFill="1" applyBorder="1" applyAlignment="1"/>
    <xf numFmtId="0" fontId="9" fillId="5" borderId="12" xfId="0" applyFont="1" applyFill="1" applyBorder="1" applyAlignment="1">
      <alignment horizontal="left" vertical="center"/>
    </xf>
    <xf numFmtId="164" fontId="9" fillId="5" borderId="3" xfId="1" applyNumberFormat="1" applyFont="1" applyFill="1" applyBorder="1" applyAlignment="1">
      <alignment horizontal="left"/>
    </xf>
    <xf numFmtId="164" fontId="9" fillId="2" borderId="0" xfId="1" applyNumberFormat="1" applyFont="1" applyFill="1" applyBorder="1" applyAlignment="1">
      <alignment horizontal="left"/>
    </xf>
    <xf numFmtId="43" fontId="9" fillId="2" borderId="2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/>
    </xf>
    <xf numFmtId="0" fontId="2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horizontal="left" vertical="center"/>
    </xf>
    <xf numFmtId="164" fontId="14" fillId="2" borderId="0" xfId="1" applyNumberFormat="1" applyFont="1" applyFill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164" fontId="17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right" vertical="center"/>
    </xf>
    <xf numFmtId="164" fontId="13" fillId="3" borderId="2" xfId="1" applyNumberFormat="1" applyFont="1" applyFill="1" applyBorder="1" applyAlignment="1"/>
    <xf numFmtId="164" fontId="3" fillId="4" borderId="2" xfId="0" applyNumberFormat="1" applyFont="1" applyFill="1" applyBorder="1" applyAlignment="1">
      <alignment horizontal="left"/>
    </xf>
    <xf numFmtId="164" fontId="13" fillId="2" borderId="0" xfId="1" applyNumberFormat="1" applyFont="1" applyFill="1" applyAlignment="1">
      <alignment horizontal="left"/>
    </xf>
    <xf numFmtId="164" fontId="13" fillId="2" borderId="0" xfId="1" applyNumberFormat="1" applyFont="1" applyFill="1" applyAlignment="1">
      <alignment horizontal="center" vertical="center"/>
    </xf>
    <xf numFmtId="164" fontId="13" fillId="2" borderId="0" xfId="1" applyNumberFormat="1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/>
    <xf numFmtId="0" fontId="2" fillId="2" borderId="0" xfId="0" applyFont="1" applyFill="1" applyAlignment="1">
      <alignment horizontal="left"/>
    </xf>
    <xf numFmtId="164" fontId="2" fillId="0" borderId="0" xfId="3" applyNumberFormat="1" applyFont="1" applyFill="1" applyAlignment="1">
      <alignment horizontal="center" vertical="center"/>
    </xf>
    <xf numFmtId="3" fontId="3" fillId="2" borderId="2" xfId="1" applyNumberFormat="1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164" fontId="14" fillId="2" borderId="2" xfId="1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164" fontId="2" fillId="0" borderId="0" xfId="2" applyNumberFormat="1" applyFont="1" applyFill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/>
    </xf>
    <xf numFmtId="164" fontId="19" fillId="3" borderId="2" xfId="0" applyNumberFormat="1" applyFont="1" applyFill="1" applyBorder="1"/>
    <xf numFmtId="164" fontId="9" fillId="2" borderId="2" xfId="1" applyNumberFormat="1" applyFont="1" applyFill="1" applyBorder="1" applyAlignment="1">
      <alignment vertical="center" wrapText="1"/>
    </xf>
    <xf numFmtId="164" fontId="9" fillId="2" borderId="2" xfId="1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3" fontId="9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right"/>
    </xf>
    <xf numFmtId="164" fontId="13" fillId="2" borderId="2" xfId="1" applyNumberFormat="1" applyFont="1" applyFill="1" applyBorder="1" applyAlignment="1">
      <alignment vertical="center"/>
    </xf>
    <xf numFmtId="16" fontId="9" fillId="2" borderId="2" xfId="0" quotePrefix="1" applyNumberFormat="1" applyFont="1" applyFill="1" applyBorder="1"/>
    <xf numFmtId="164" fontId="13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/>
    <xf numFmtId="43" fontId="3" fillId="2" borderId="0" xfId="1" applyFont="1" applyFill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/>
    </xf>
    <xf numFmtId="164" fontId="2" fillId="2" borderId="0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/>
    <xf numFmtId="164" fontId="8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/>
    </xf>
    <xf numFmtId="164" fontId="2" fillId="5" borderId="10" xfId="1" applyNumberFormat="1" applyFont="1" applyFill="1" applyBorder="1" applyAlignment="1">
      <alignment horizontal="center"/>
    </xf>
    <xf numFmtId="164" fontId="2" fillId="5" borderId="2" xfId="1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43" fontId="13" fillId="2" borderId="0" xfId="0" applyNumberFormat="1" applyFont="1" applyFill="1" applyAlignment="1">
      <alignment horizontal="left" vertical="center"/>
    </xf>
    <xf numFmtId="164" fontId="17" fillId="2" borderId="2" xfId="1" applyNumberFormat="1" applyFont="1" applyFill="1" applyBorder="1" applyAlignment="1">
      <alignment horizontal="right" vertical="center"/>
    </xf>
    <xf numFmtId="0" fontId="6" fillId="2" borderId="2" xfId="4" applyFont="1" applyFill="1" applyBorder="1" applyAlignment="1">
      <alignment horizontal="center" vertical="center"/>
    </xf>
    <xf numFmtId="164" fontId="6" fillId="2" borderId="2" xfId="5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164" fontId="2" fillId="2" borderId="0" xfId="1" applyNumberFormat="1" applyFont="1" applyFill="1" applyAlignment="1">
      <alignment vertical="center"/>
    </xf>
    <xf numFmtId="164" fontId="2" fillId="2" borderId="0" xfId="1" applyNumberFormat="1" applyFont="1" applyFill="1" applyAlignment="1"/>
    <xf numFmtId="164" fontId="2" fillId="2" borderId="0" xfId="1" applyNumberFormat="1" applyFont="1" applyFill="1" applyAlignment="1">
      <alignment horizontal="left"/>
    </xf>
    <xf numFmtId="164" fontId="2" fillId="2" borderId="0" xfId="1" applyNumberFormat="1" applyFont="1" applyFill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17" fillId="2" borderId="10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16" fontId="21" fillId="2" borderId="0" xfId="0" quotePrefix="1" applyNumberFormat="1" applyFont="1" applyFill="1"/>
    <xf numFmtId="164" fontId="0" fillId="0" borderId="0" xfId="0" applyNumberFormat="1"/>
    <xf numFmtId="164" fontId="2" fillId="2" borderId="8" xfId="1" applyNumberFormat="1" applyFont="1" applyFill="1" applyBorder="1" applyAlignment="1">
      <alignment horizontal="center" vertical="center"/>
    </xf>
    <xf numFmtId="164" fontId="2" fillId="2" borderId="9" xfId="1" applyNumberFormat="1" applyFont="1" applyFill="1" applyBorder="1" applyAlignment="1">
      <alignment horizontal="center" vertical="center"/>
    </xf>
    <xf numFmtId="14" fontId="9" fillId="2" borderId="2" xfId="0" quotePrefix="1" applyNumberFormat="1" applyFont="1" applyFill="1" applyBorder="1" applyAlignment="1">
      <alignment horizontal="center" vertical="center"/>
    </xf>
    <xf numFmtId="164" fontId="9" fillId="2" borderId="2" xfId="1" quotePrefix="1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vertical="center" wrapText="1"/>
    </xf>
    <xf numFmtId="0" fontId="17" fillId="2" borderId="2" xfId="0" quotePrefix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wrapText="1"/>
    </xf>
    <xf numFmtId="0" fontId="23" fillId="2" borderId="2" xfId="0" applyFont="1" applyFill="1" applyBorder="1" applyAlignment="1">
      <alignment horizontal="left" vertical="center"/>
    </xf>
    <xf numFmtId="16" fontId="17" fillId="2" borderId="2" xfId="0" quotePrefix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right" vertical="center"/>
    </xf>
    <xf numFmtId="0" fontId="3" fillId="2" borderId="2" xfId="0" quotePrefix="1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2" xfId="0" quotePrefix="1" applyFont="1" applyFill="1" applyBorder="1" applyAlignment="1">
      <alignment horizontal="center" vertical="center"/>
    </xf>
    <xf numFmtId="164" fontId="17" fillId="2" borderId="2" xfId="1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vertical="center"/>
    </xf>
    <xf numFmtId="0" fontId="21" fillId="2" borderId="2" xfId="0" quotePrefix="1" applyFont="1" applyFill="1" applyBorder="1" applyAlignment="1">
      <alignment horizontal="left"/>
    </xf>
    <xf numFmtId="0" fontId="17" fillId="0" borderId="10" xfId="0" applyFont="1" applyBorder="1" applyAlignment="1">
      <alignment horizontal="left" vertical="center"/>
    </xf>
    <xf numFmtId="43" fontId="1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164" fontId="6" fillId="2" borderId="10" xfId="1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164" fontId="22" fillId="2" borderId="10" xfId="1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vertical="center" wrapText="1"/>
    </xf>
    <xf numFmtId="0" fontId="17" fillId="2" borderId="10" xfId="0" applyFont="1" applyFill="1" applyBorder="1" applyAlignment="1">
      <alignment horizontal="left" vertical="center"/>
    </xf>
    <xf numFmtId="0" fontId="17" fillId="2" borderId="10" xfId="0" applyFont="1" applyFill="1" applyBorder="1" applyAlignment="1">
      <alignment vertical="center"/>
    </xf>
    <xf numFmtId="0" fontId="17" fillId="2" borderId="2" xfId="0" quotePrefix="1" applyFont="1" applyFill="1" applyBorder="1" applyAlignment="1">
      <alignment vertical="center" wrapText="1"/>
    </xf>
    <xf numFmtId="164" fontId="22" fillId="2" borderId="2" xfId="1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17" fillId="2" borderId="2" xfId="0" quotePrefix="1" applyFont="1" applyFill="1" applyBorder="1" applyAlignment="1">
      <alignment horizontal="left" vertical="center" wrapText="1"/>
    </xf>
    <xf numFmtId="16" fontId="9" fillId="2" borderId="2" xfId="0" quotePrefix="1" applyNumberFormat="1" applyFont="1" applyFill="1" applyBorder="1" applyAlignment="1">
      <alignment horizontal="left" wrapText="1"/>
    </xf>
    <xf numFmtId="0" fontId="9" fillId="2" borderId="10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164" fontId="17" fillId="2" borderId="10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4" fontId="9" fillId="2" borderId="8" xfId="0" quotePrefix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left" vertical="center"/>
    </xf>
    <xf numFmtId="0" fontId="17" fillId="2" borderId="2" xfId="0" quotePrefix="1" applyFont="1" applyFill="1" applyBorder="1" applyAlignment="1">
      <alignment horizontal="left"/>
    </xf>
    <xf numFmtId="0" fontId="17" fillId="3" borderId="10" xfId="0" quotePrefix="1" applyFont="1" applyFill="1" applyBorder="1" applyAlignment="1">
      <alignment horizontal="left" vertical="center"/>
    </xf>
    <xf numFmtId="43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43" fontId="2" fillId="2" borderId="0" xfId="0" applyNumberFormat="1" applyFont="1" applyFill="1" applyAlignment="1">
      <alignment horizontal="left" vertical="center"/>
    </xf>
    <xf numFmtId="0" fontId="17" fillId="2" borderId="2" xfId="0" applyFont="1" applyFill="1" applyBorder="1" applyAlignment="1">
      <alignment horizontal="center" vertical="center" wrapText="1"/>
    </xf>
    <xf numFmtId="164" fontId="9" fillId="2" borderId="2" xfId="1" quotePrefix="1" applyNumberFormat="1" applyFont="1" applyFill="1" applyBorder="1" applyAlignment="1"/>
    <xf numFmtId="0" fontId="9" fillId="2" borderId="2" xfId="0" applyFont="1" applyFill="1" applyBorder="1" applyAlignment="1">
      <alignment horizontal="center" vertical="top"/>
    </xf>
    <xf numFmtId="164" fontId="6" fillId="3" borderId="10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vertical="center"/>
    </xf>
    <xf numFmtId="0" fontId="3" fillId="2" borderId="5" xfId="0" applyFont="1" applyFill="1" applyBorder="1"/>
    <xf numFmtId="43" fontId="3" fillId="2" borderId="0" xfId="0" applyNumberFormat="1" applyFont="1" applyFill="1" applyAlignment="1">
      <alignment horizontal="center" vertical="center"/>
    </xf>
    <xf numFmtId="0" fontId="17" fillId="2" borderId="13" xfId="0" applyFont="1" applyFill="1" applyBorder="1" applyAlignment="1">
      <alignment horizontal="left" vertical="center"/>
    </xf>
    <xf numFmtId="43" fontId="3" fillId="2" borderId="0" xfId="0" applyNumberFormat="1" applyFont="1" applyFill="1" applyAlignment="1">
      <alignment horizontal="left" vertical="center"/>
    </xf>
    <xf numFmtId="16" fontId="3" fillId="2" borderId="0" xfId="0" quotePrefix="1" applyNumberFormat="1" applyFont="1" applyFill="1" applyAlignment="1">
      <alignment horizontal="left"/>
    </xf>
    <xf numFmtId="0" fontId="17" fillId="2" borderId="2" xfId="0" quotePrefix="1" applyFont="1" applyFill="1" applyBorder="1" applyAlignment="1">
      <alignment vertical="center"/>
    </xf>
    <xf numFmtId="0" fontId="3" fillId="6" borderId="0" xfId="0" applyFont="1" applyFill="1" applyAlignment="1">
      <alignment horizontal="left" vertical="center"/>
    </xf>
    <xf numFmtId="164" fontId="3" fillId="2" borderId="8" xfId="1" applyNumberFormat="1" applyFont="1" applyFill="1" applyBorder="1" applyAlignment="1">
      <alignment vertical="center"/>
    </xf>
    <xf numFmtId="16" fontId="9" fillId="2" borderId="10" xfId="0" quotePrefix="1" applyNumberFormat="1" applyFont="1" applyFill="1" applyBorder="1" applyAlignment="1">
      <alignment horizontal="left"/>
    </xf>
    <xf numFmtId="0" fontId="3" fillId="2" borderId="0" xfId="0" quotePrefix="1" applyFont="1" applyFill="1" applyAlignment="1">
      <alignment horizontal="left" vertical="center"/>
    </xf>
    <xf numFmtId="164" fontId="2" fillId="2" borderId="9" xfId="1" applyNumberFormat="1" applyFont="1" applyFill="1" applyBorder="1" applyAlignment="1">
      <alignment horizontal="center" vertical="center" wrapText="1"/>
    </xf>
    <xf numFmtId="164" fontId="2" fillId="2" borderId="15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9" fillId="2" borderId="8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8" xfId="0" quotePrefix="1" applyFont="1" applyFill="1" applyBorder="1" applyAlignment="1">
      <alignment horizontal="center" vertical="center"/>
    </xf>
    <xf numFmtId="0" fontId="9" fillId="2" borderId="10" xfId="0" quotePrefix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quotePrefix="1" applyFont="1" applyFill="1" applyBorder="1" applyAlignment="1">
      <alignment horizontal="center" vertical="center"/>
    </xf>
    <xf numFmtId="164" fontId="9" fillId="2" borderId="9" xfId="1" applyNumberFormat="1" applyFont="1" applyFill="1" applyBorder="1" applyAlignment="1">
      <alignment horizontal="center" vertical="center"/>
    </xf>
    <xf numFmtId="164" fontId="14" fillId="2" borderId="9" xfId="1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1" fontId="2" fillId="2" borderId="3" xfId="0" applyNumberFormat="1" applyFont="1" applyFill="1" applyBorder="1" applyAlignment="1">
      <alignment horizontal="center" vertical="center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2" fillId="2" borderId="6" xfId="1" applyNumberFormat="1" applyFont="1" applyFill="1" applyBorder="1" applyAlignment="1">
      <alignment horizontal="center" vertical="center" wrapText="1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2" xfId="1" applyNumberFormat="1" applyFont="1" applyFill="1" applyBorder="1" applyAlignment="1">
      <alignment horizontal="center" vertical="center" wrapText="1"/>
    </xf>
    <xf numFmtId="164" fontId="2" fillId="2" borderId="13" xfId="1" applyNumberFormat="1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164" fontId="2" fillId="2" borderId="9" xfId="1" applyNumberFormat="1" applyFont="1" applyFill="1" applyBorder="1" applyAlignment="1">
      <alignment horizontal="center" vertical="center" wrapText="1"/>
    </xf>
    <xf numFmtId="164" fontId="17" fillId="2" borderId="8" xfId="1" applyNumberFormat="1" applyFont="1" applyFill="1" applyBorder="1" applyAlignment="1">
      <alignment horizontal="center" vertical="center"/>
    </xf>
    <xf numFmtId="164" fontId="17" fillId="2" borderId="10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164" fontId="9" fillId="2" borderId="8" xfId="1" quotePrefix="1" applyNumberFormat="1" applyFont="1" applyFill="1" applyBorder="1" applyAlignment="1">
      <alignment horizontal="center" vertical="center"/>
    </xf>
    <xf numFmtId="164" fontId="9" fillId="2" borderId="10" xfId="1" quotePrefix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top"/>
    </xf>
    <xf numFmtId="0" fontId="9" fillId="2" borderId="10" xfId="0" applyFont="1" applyFill="1" applyBorder="1" applyAlignment="1">
      <alignment horizontal="center" vertical="top"/>
    </xf>
    <xf numFmtId="0" fontId="9" fillId="2" borderId="9" xfId="0" applyFont="1" applyFill="1" applyBorder="1" applyAlignment="1">
      <alignment horizontal="center" vertical="top"/>
    </xf>
    <xf numFmtId="164" fontId="9" fillId="2" borderId="8" xfId="1" applyNumberFormat="1" applyFont="1" applyFill="1" applyBorder="1" applyAlignment="1">
      <alignment horizontal="center" vertical="top"/>
    </xf>
    <xf numFmtId="164" fontId="9" fillId="2" borderId="10" xfId="1" applyNumberFormat="1" applyFont="1" applyFill="1" applyBorder="1" applyAlignment="1">
      <alignment horizontal="center" vertical="top"/>
    </xf>
    <xf numFmtId="164" fontId="14" fillId="2" borderId="8" xfId="1" applyNumberFormat="1" applyFont="1" applyFill="1" applyBorder="1" applyAlignment="1">
      <alignment horizontal="center" vertical="top"/>
    </xf>
    <xf numFmtId="164" fontId="14" fillId="2" borderId="9" xfId="1" applyNumberFormat="1" applyFont="1" applyFill="1" applyBorder="1" applyAlignment="1">
      <alignment horizontal="center" vertical="top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10" xfId="1" applyNumberFormat="1" applyFont="1" applyFill="1" applyBorder="1" applyAlignment="1">
      <alignment horizontal="center" vertical="center" wrapText="1"/>
    </xf>
    <xf numFmtId="164" fontId="14" fillId="2" borderId="2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3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4" xfId="1" applyNumberFormat="1" applyFont="1" applyFill="1" applyBorder="1" applyAlignment="1">
      <alignment horizontal="center" vertical="center" wrapText="1"/>
    </xf>
    <xf numFmtId="164" fontId="2" fillId="2" borderId="15" xfId="1" applyNumberFormat="1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10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4" fontId="3" fillId="2" borderId="8" xfId="1" quotePrefix="1" applyNumberFormat="1" applyFont="1" applyFill="1" applyBorder="1" applyAlignment="1">
      <alignment horizontal="center" vertical="center"/>
    </xf>
    <xf numFmtId="164" fontId="3" fillId="2" borderId="10" xfId="1" quotePrefix="1" applyNumberFormat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4" fontId="17" fillId="2" borderId="8" xfId="1" quotePrefix="1" applyNumberFormat="1" applyFont="1" applyFill="1" applyBorder="1" applyAlignment="1">
      <alignment horizontal="center" vertical="center"/>
    </xf>
    <xf numFmtId="164" fontId="17" fillId="2" borderId="10" xfId="1" quotePrefix="1" applyNumberFormat="1" applyFont="1" applyFill="1" applyBorder="1" applyAlignment="1">
      <alignment horizontal="center" vertical="center"/>
    </xf>
    <xf numFmtId="164" fontId="6" fillId="2" borderId="8" xfId="1" quotePrefix="1" applyNumberFormat="1" applyFont="1" applyFill="1" applyBorder="1" applyAlignment="1">
      <alignment horizontal="center" vertical="center"/>
    </xf>
    <xf numFmtId="164" fontId="6" fillId="2" borderId="10" xfId="1" quotePrefix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164" fontId="14" fillId="2" borderId="8" xfId="1" applyNumberFormat="1" applyFont="1" applyFill="1" applyBorder="1" applyAlignment="1">
      <alignment horizontal="center" vertical="center" wrapText="1"/>
    </xf>
    <xf numFmtId="164" fontId="14" fillId="2" borderId="9" xfId="1" applyNumberFormat="1" applyFont="1" applyFill="1" applyBorder="1" applyAlignment="1">
      <alignment horizontal="center" vertical="center" wrapText="1"/>
    </xf>
    <xf numFmtId="164" fontId="14" fillId="2" borderId="10" xfId="1" applyNumberFormat="1" applyFont="1" applyFill="1" applyBorder="1" applyAlignment="1">
      <alignment horizontal="center" vertical="center" wrapText="1"/>
    </xf>
    <xf numFmtId="14" fontId="9" fillId="2" borderId="8" xfId="0" quotePrefix="1" applyNumberFormat="1" applyFont="1" applyFill="1" applyBorder="1" applyAlignment="1">
      <alignment horizontal="center" vertical="center"/>
    </xf>
    <xf numFmtId="14" fontId="9" fillId="2" borderId="10" xfId="0" quotePrefix="1" applyNumberFormat="1" applyFont="1" applyFill="1" applyBorder="1" applyAlignment="1">
      <alignment horizontal="center" vertical="center"/>
    </xf>
    <xf numFmtId="14" fontId="9" fillId="2" borderId="9" xfId="0" quotePrefix="1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4" fontId="9" fillId="2" borderId="8" xfId="0" quotePrefix="1" applyNumberFormat="1" applyFont="1" applyFill="1" applyBorder="1" applyAlignment="1">
      <alignment horizontal="center" vertical="top"/>
    </xf>
    <xf numFmtId="14" fontId="9" fillId="2" borderId="10" xfId="0" quotePrefix="1" applyNumberFormat="1" applyFont="1" applyFill="1" applyBorder="1" applyAlignment="1">
      <alignment horizontal="center" vertical="top"/>
    </xf>
    <xf numFmtId="164" fontId="14" fillId="2" borderId="8" xfId="1" applyNumberFormat="1" applyFont="1" applyFill="1" applyBorder="1" applyAlignment="1">
      <alignment horizontal="center" vertical="top" wrapText="1"/>
    </xf>
    <xf numFmtId="164" fontId="14" fillId="2" borderId="10" xfId="1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167" fontId="2" fillId="2" borderId="5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5" xfId="0" applyNumberFormat="1" applyFont="1" applyFill="1" applyBorder="1" applyAlignment="1">
      <alignment horizontal="center" vertical="center" wrapText="1"/>
    </xf>
    <xf numFmtId="41" fontId="2" fillId="2" borderId="10" xfId="0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4 2" xfId="2" xr:uid="{00000000-0005-0000-0000-000001000000}"/>
    <cellStyle name="Comma 5" xfId="3" xr:uid="{00000000-0005-0000-0000-000002000000}"/>
    <cellStyle name="Comma 6" xfId="5" xr:uid="{00000000-0005-0000-0000-000003000000}"/>
    <cellStyle name="Normal" xfId="0" builtinId="0"/>
    <cellStyle name="Normal 6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TIN-TM%2012.2023/1.%20DIEU%20XE/2.%20PH&#205;%20VC/PHI%20VAN%20CHUYEN%20T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"/>
      <sheetName val="ANP"/>
      <sheetName val="A VIEN"/>
      <sheetName val="THUAN"/>
      <sheetName val="A DUNG"/>
      <sheetName val="A PHU"/>
      <sheetName val="A HIEU"/>
      <sheetName val="A NAM"/>
      <sheetName val="HUNG"/>
      <sheetName val="A DANH"/>
      <sheetName val="A TUẤN"/>
      <sheetName val="TÚ 4T"/>
      <sheetName val="CHU HOANG"/>
      <sheetName val="A HUU"/>
      <sheetName val="A THANH"/>
      <sheetName val="MANG NHUA"/>
      <sheetName val="TMC "/>
      <sheetName val="A TRỌN"/>
      <sheetName val="A HA"/>
      <sheetName val="A KHAI"/>
      <sheetName val="TH 2022"/>
      <sheetName val="Sheet1"/>
      <sheetName val="AN NGUYEN (PHE LIEU )"/>
      <sheetName val="QUY CACH THUNG XE"/>
      <sheetName val="DIA CHI "/>
    </sheetNames>
    <sheetDataSet>
      <sheetData sheetId="0"/>
      <sheetData sheetId="1"/>
      <sheetData sheetId="2">
        <row r="1">
          <cell r="A1" t="str">
            <v xml:space="preserve">2025年12销路运费 </v>
          </cell>
        </row>
        <row r="3">
          <cell r="A3" t="str">
            <v xml:space="preserve"> THÁNG 12 NĂM 2025</v>
          </cell>
        </row>
        <row r="71">
          <cell r="G71" t="str">
            <v>Đặng Thị Mỹ Tin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K50">
            <v>500000</v>
          </cell>
          <cell r="O50">
            <v>0</v>
          </cell>
          <cell r="P50">
            <v>40430000</v>
          </cell>
        </row>
      </sheetData>
      <sheetData sheetId="9">
        <row r="40">
          <cell r="L40">
            <v>13900000</v>
          </cell>
          <cell r="N40">
            <v>1100000</v>
          </cell>
          <cell r="P40">
            <v>2225600</v>
          </cell>
          <cell r="Q40">
            <v>52467600</v>
          </cell>
        </row>
      </sheetData>
      <sheetData sheetId="10"/>
      <sheetData sheetId="11"/>
      <sheetData sheetId="12">
        <row r="59">
          <cell r="L59">
            <v>8510000</v>
          </cell>
          <cell r="N59">
            <v>1360000</v>
          </cell>
          <cell r="P59">
            <v>1151200</v>
          </cell>
          <cell r="Q59">
            <v>41366200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topLeftCell="B46" zoomScale="70" zoomScaleNormal="70" workbookViewId="0">
      <selection activeCell="L59" sqref="L59"/>
    </sheetView>
  </sheetViews>
  <sheetFormatPr defaultColWidth="9.109375" defaultRowHeight="13.8"/>
  <cols>
    <col min="1" max="1" width="10" style="1" customWidth="1"/>
    <col min="2" max="2" width="14.5546875" style="40" customWidth="1"/>
    <col min="3" max="3" width="14.88671875" style="3" customWidth="1"/>
    <col min="4" max="4" width="23.21875" style="3" customWidth="1"/>
    <col min="5" max="5" width="17.109375" style="41" customWidth="1"/>
    <col min="6" max="6" width="14.33203125" style="42" hidden="1" customWidth="1"/>
    <col min="7" max="7" width="14.44140625" style="35" customWidth="1"/>
    <col min="8" max="8" width="17.44140625" style="35" customWidth="1"/>
    <col min="9" max="10" width="15.44140625" style="34" customWidth="1"/>
    <col min="11" max="11" width="16.5546875" style="7" customWidth="1"/>
    <col min="12" max="13" width="16.88671875" style="7" customWidth="1"/>
    <col min="14" max="15" width="14.6640625" style="7" customWidth="1"/>
    <col min="16" max="16" width="15.33203125" style="7" customWidth="1"/>
    <col min="17" max="17" width="17.109375" style="115" customWidth="1"/>
    <col min="18" max="18" width="42.21875" style="116" customWidth="1"/>
    <col min="19" max="19" width="16.44140625" style="3" customWidth="1"/>
    <col min="20" max="20" width="9.109375" style="1"/>
    <col min="21" max="21" width="13.109375" style="1" bestFit="1" customWidth="1"/>
    <col min="22" max="16384" width="9.109375" style="1"/>
  </cols>
  <sheetData>
    <row r="1" spans="1:19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</row>
    <row r="2" spans="1:19" ht="17.399999999999999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9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</row>
    <row r="4" spans="1:19">
      <c r="A4" s="290" t="s">
        <v>30</v>
      </c>
      <c r="B4" s="290"/>
      <c r="C4" s="290"/>
      <c r="D4" s="290"/>
      <c r="E4" s="3"/>
      <c r="F4" s="3"/>
      <c r="G4" s="4"/>
      <c r="H4" s="4"/>
      <c r="I4" s="4"/>
      <c r="J4" s="4"/>
    </row>
    <row r="5" spans="1:19" ht="29.25" customHeight="1">
      <c r="A5" s="291" t="s">
        <v>1</v>
      </c>
      <c r="B5" s="284" t="s">
        <v>2</v>
      </c>
      <c r="C5" s="284" t="s">
        <v>3</v>
      </c>
      <c r="D5" s="284" t="s">
        <v>4</v>
      </c>
      <c r="E5" s="292" t="s">
        <v>5</v>
      </c>
      <c r="F5" s="293"/>
      <c r="G5" s="294" t="s">
        <v>6</v>
      </c>
      <c r="H5" s="295"/>
      <c r="I5" s="296"/>
      <c r="J5" s="381"/>
      <c r="K5" s="297" t="s">
        <v>7</v>
      </c>
      <c r="L5" s="299" t="s">
        <v>8</v>
      </c>
      <c r="M5" s="300"/>
      <c r="N5" s="299" t="s">
        <v>9</v>
      </c>
      <c r="O5" s="300"/>
      <c r="P5" s="303" t="s">
        <v>10</v>
      </c>
      <c r="Q5" s="303" t="s">
        <v>11</v>
      </c>
      <c r="R5" s="282" t="s">
        <v>12</v>
      </c>
    </row>
    <row r="6" spans="1:19" ht="23.25" customHeight="1">
      <c r="A6" s="291"/>
      <c r="B6" s="285"/>
      <c r="C6" s="285"/>
      <c r="D6" s="285"/>
      <c r="E6" s="284" t="s">
        <v>13</v>
      </c>
      <c r="F6" s="284" t="s">
        <v>14</v>
      </c>
      <c r="G6" s="231" t="s">
        <v>15</v>
      </c>
      <c r="H6" s="286" t="s">
        <v>16</v>
      </c>
      <c r="I6" s="287"/>
      <c r="J6" s="260"/>
      <c r="K6" s="298"/>
      <c r="L6" s="301"/>
      <c r="M6" s="302"/>
      <c r="N6" s="301"/>
      <c r="O6" s="302"/>
      <c r="P6" s="304"/>
      <c r="Q6" s="304"/>
      <c r="R6" s="283"/>
    </row>
    <row r="7" spans="1:19" ht="22.5" customHeight="1">
      <c r="A7" s="284"/>
      <c r="B7" s="285"/>
      <c r="C7" s="285"/>
      <c r="D7" s="285"/>
      <c r="E7" s="285"/>
      <c r="F7" s="285"/>
      <c r="G7" s="227" t="s">
        <v>18</v>
      </c>
      <c r="H7" s="227" t="s">
        <v>19</v>
      </c>
      <c r="I7" s="227" t="s">
        <v>18</v>
      </c>
      <c r="J7" s="259"/>
      <c r="K7" s="342"/>
      <c r="L7" s="227" t="s">
        <v>15</v>
      </c>
      <c r="M7" s="191" t="s">
        <v>16</v>
      </c>
      <c r="N7" s="227" t="s">
        <v>15</v>
      </c>
      <c r="O7" s="192" t="s">
        <v>16</v>
      </c>
      <c r="P7" s="304"/>
      <c r="Q7" s="304"/>
      <c r="R7" s="283"/>
    </row>
    <row r="8" spans="1:19" ht="23.4" customHeight="1">
      <c r="A8" s="73">
        <v>1</v>
      </c>
      <c r="B8" s="206" t="s">
        <v>189</v>
      </c>
      <c r="C8" s="232">
        <v>4</v>
      </c>
      <c r="D8" s="232" t="s">
        <v>190</v>
      </c>
      <c r="E8" s="131" t="s">
        <v>50</v>
      </c>
      <c r="F8" s="131"/>
      <c r="G8" s="132"/>
      <c r="H8" s="228">
        <v>30000</v>
      </c>
      <c r="I8" s="228">
        <v>307.52999999999997</v>
      </c>
      <c r="J8" s="228"/>
      <c r="K8" s="131"/>
      <c r="L8" s="74"/>
      <c r="M8" s="74">
        <v>550000</v>
      </c>
      <c r="N8" s="204"/>
      <c r="O8" s="204"/>
      <c r="P8" s="76"/>
      <c r="Q8" s="118">
        <f>SUM(L8:P8)</f>
        <v>550000</v>
      </c>
      <c r="R8" s="133" t="s">
        <v>191</v>
      </c>
      <c r="S8" s="116"/>
    </row>
    <row r="9" spans="1:19" ht="23.4" customHeight="1">
      <c r="A9" s="73">
        <v>2</v>
      </c>
      <c r="B9" s="206" t="s">
        <v>189</v>
      </c>
      <c r="C9" s="203">
        <v>6</v>
      </c>
      <c r="D9" s="203" t="s">
        <v>192</v>
      </c>
      <c r="E9" s="11" t="s">
        <v>48</v>
      </c>
      <c r="F9" s="11"/>
      <c r="G9" s="214">
        <v>2100</v>
      </c>
      <c r="H9" s="214"/>
      <c r="I9" s="228"/>
      <c r="J9" s="228"/>
      <c r="K9" s="131"/>
      <c r="L9" s="74">
        <v>1100000</v>
      </c>
      <c r="M9" s="74"/>
      <c r="N9" s="131"/>
      <c r="O9" s="132"/>
      <c r="P9" s="76"/>
      <c r="Q9" s="118">
        <f t="shared" ref="Q9:Q56" si="0">SUM(L9:P9)</f>
        <v>1100000</v>
      </c>
      <c r="R9" s="160"/>
      <c r="S9" s="116"/>
    </row>
    <row r="10" spans="1:19" ht="23.4" customHeight="1">
      <c r="A10" s="73">
        <v>3</v>
      </c>
      <c r="B10" s="206" t="s">
        <v>193</v>
      </c>
      <c r="C10" s="232">
        <v>13</v>
      </c>
      <c r="D10" s="232" t="s">
        <v>47</v>
      </c>
      <c r="E10" s="131" t="s">
        <v>48</v>
      </c>
      <c r="F10" s="131"/>
      <c r="G10" s="132"/>
      <c r="H10" s="228">
        <v>39900</v>
      </c>
      <c r="I10" s="228">
        <v>1291.7351000000001</v>
      </c>
      <c r="J10" s="228"/>
      <c r="K10" s="134"/>
      <c r="L10" s="74"/>
      <c r="M10" s="74">
        <v>1100000</v>
      </c>
      <c r="N10" s="74"/>
      <c r="O10" s="204">
        <v>60000</v>
      </c>
      <c r="P10" s="76"/>
      <c r="Q10" s="118">
        <f t="shared" si="0"/>
        <v>1160000</v>
      </c>
      <c r="R10" s="186" t="s">
        <v>96</v>
      </c>
      <c r="S10" s="116"/>
    </row>
    <row r="11" spans="1:19" ht="30" customHeight="1">
      <c r="A11" s="73">
        <v>4</v>
      </c>
      <c r="B11" s="206" t="s">
        <v>194</v>
      </c>
      <c r="C11" s="232">
        <v>44</v>
      </c>
      <c r="D11" s="232" t="s">
        <v>49</v>
      </c>
      <c r="E11" s="131" t="s">
        <v>87</v>
      </c>
      <c r="F11" s="131"/>
      <c r="G11" s="132"/>
      <c r="H11" s="228">
        <v>10560</v>
      </c>
      <c r="I11" s="228">
        <v>601.91999999999996</v>
      </c>
      <c r="J11" s="228"/>
      <c r="K11" s="185"/>
      <c r="L11" s="74"/>
      <c r="M11" s="74">
        <v>550000</v>
      </c>
      <c r="N11" s="204"/>
      <c r="O11" s="204">
        <f>300000+300000</f>
        <v>600000</v>
      </c>
      <c r="P11" s="76"/>
      <c r="Q11" s="118">
        <f t="shared" si="0"/>
        <v>1150000</v>
      </c>
      <c r="R11" s="217" t="s">
        <v>195</v>
      </c>
      <c r="S11" s="116"/>
    </row>
    <row r="12" spans="1:19" ht="23.4" customHeight="1">
      <c r="A12" s="73">
        <v>5</v>
      </c>
      <c r="B12" s="206" t="s">
        <v>194</v>
      </c>
      <c r="C12" s="203">
        <v>49</v>
      </c>
      <c r="D12" s="203" t="s">
        <v>116</v>
      </c>
      <c r="E12" s="11" t="s">
        <v>64</v>
      </c>
      <c r="F12" s="11"/>
      <c r="G12" s="75"/>
      <c r="H12" s="214">
        <v>46050</v>
      </c>
      <c r="I12" s="214">
        <v>1109.8724999999999</v>
      </c>
      <c r="J12" s="214"/>
      <c r="K12" s="185"/>
      <c r="L12" s="74"/>
      <c r="M12" s="74">
        <v>1000000</v>
      </c>
      <c r="N12" s="74"/>
      <c r="O12" s="204"/>
      <c r="P12" s="76"/>
      <c r="Q12" s="118">
        <f t="shared" si="0"/>
        <v>1000000</v>
      </c>
      <c r="R12" s="186"/>
      <c r="S12" s="116"/>
    </row>
    <row r="13" spans="1:19" ht="23.4" customHeight="1">
      <c r="A13" s="271">
        <v>6</v>
      </c>
      <c r="B13" s="273" t="s">
        <v>196</v>
      </c>
      <c r="C13" s="11">
        <v>8</v>
      </c>
      <c r="D13" s="203" t="s">
        <v>60</v>
      </c>
      <c r="E13" s="11" t="s">
        <v>135</v>
      </c>
      <c r="F13" s="11"/>
      <c r="G13" s="132"/>
      <c r="H13" s="214">
        <v>24000</v>
      </c>
      <c r="I13" s="228">
        <v>753.22829999999999</v>
      </c>
      <c r="J13" s="228"/>
      <c r="K13" s="131"/>
      <c r="L13" s="74"/>
      <c r="M13" s="264">
        <v>1650000</v>
      </c>
      <c r="N13" s="132"/>
      <c r="O13" s="132"/>
      <c r="P13" s="76"/>
      <c r="Q13" s="266">
        <f>SUM(L13:P15)</f>
        <v>1650000</v>
      </c>
      <c r="R13" s="133" t="s">
        <v>197</v>
      </c>
      <c r="S13" s="116"/>
    </row>
    <row r="14" spans="1:19" ht="23.4" customHeight="1">
      <c r="A14" s="275"/>
      <c r="B14" s="276"/>
      <c r="C14" s="232">
        <v>9</v>
      </c>
      <c r="D14" s="232" t="s">
        <v>60</v>
      </c>
      <c r="E14" s="131" t="s">
        <v>198</v>
      </c>
      <c r="F14" s="131"/>
      <c r="G14" s="228"/>
      <c r="H14" s="228">
        <v>5100</v>
      </c>
      <c r="I14" s="228">
        <v>160.06100000000001</v>
      </c>
      <c r="J14" s="228"/>
      <c r="K14" s="131"/>
      <c r="L14" s="74"/>
      <c r="M14" s="277"/>
      <c r="N14" s="132"/>
      <c r="O14" s="132"/>
      <c r="P14" s="76"/>
      <c r="Q14" s="278"/>
      <c r="R14" s="186"/>
      <c r="S14" s="116"/>
    </row>
    <row r="15" spans="1:19" ht="23.4" customHeight="1">
      <c r="A15" s="272"/>
      <c r="B15" s="274"/>
      <c r="C15" s="232">
        <v>10</v>
      </c>
      <c r="D15" s="232" t="s">
        <v>60</v>
      </c>
      <c r="E15" s="131" t="s">
        <v>66</v>
      </c>
      <c r="F15" s="131"/>
      <c r="G15" s="228"/>
      <c r="H15" s="228">
        <v>8800</v>
      </c>
      <c r="I15" s="228">
        <v>572</v>
      </c>
      <c r="J15" s="228"/>
      <c r="K15" s="133"/>
      <c r="L15" s="74"/>
      <c r="M15" s="265"/>
      <c r="N15" s="74"/>
      <c r="O15" s="204"/>
      <c r="P15" s="76"/>
      <c r="Q15" s="267"/>
      <c r="R15" s="133"/>
      <c r="S15" s="116"/>
    </row>
    <row r="16" spans="1:19" ht="24" customHeight="1">
      <c r="A16" s="73">
        <v>7</v>
      </c>
      <c r="B16" s="206" t="s">
        <v>199</v>
      </c>
      <c r="C16" s="203">
        <v>2</v>
      </c>
      <c r="D16" s="203" t="s">
        <v>200</v>
      </c>
      <c r="E16" s="11" t="s">
        <v>45</v>
      </c>
      <c r="F16" s="131"/>
      <c r="G16" s="132"/>
      <c r="H16" s="228">
        <v>700000</v>
      </c>
      <c r="I16" s="228">
        <v>980</v>
      </c>
      <c r="J16" s="228"/>
      <c r="K16" s="133"/>
      <c r="L16" s="74"/>
      <c r="M16" s="74">
        <v>1150000</v>
      </c>
      <c r="N16" s="74"/>
      <c r="O16" s="204"/>
      <c r="P16" s="76"/>
      <c r="Q16" s="118">
        <f t="shared" si="0"/>
        <v>1150000</v>
      </c>
      <c r="R16" s="167"/>
      <c r="S16" s="116"/>
    </row>
    <row r="17" spans="1:19" ht="23.4" customHeight="1">
      <c r="A17" s="73">
        <v>8</v>
      </c>
      <c r="B17" s="206" t="s">
        <v>199</v>
      </c>
      <c r="C17" s="203">
        <v>3</v>
      </c>
      <c r="D17" s="203" t="s">
        <v>200</v>
      </c>
      <c r="E17" s="11" t="s">
        <v>45</v>
      </c>
      <c r="F17" s="11"/>
      <c r="G17" s="75"/>
      <c r="H17" s="214">
        <v>365000</v>
      </c>
      <c r="I17" s="214">
        <v>1372</v>
      </c>
      <c r="J17" s="214"/>
      <c r="K17" s="133"/>
      <c r="L17" s="74"/>
      <c r="M17" s="74">
        <v>1100000</v>
      </c>
      <c r="N17" s="74"/>
      <c r="O17" s="204">
        <v>200000</v>
      </c>
      <c r="P17" s="76"/>
      <c r="Q17" s="118">
        <f t="shared" si="0"/>
        <v>1300000</v>
      </c>
      <c r="R17" s="219" t="s">
        <v>100</v>
      </c>
      <c r="S17" s="116"/>
    </row>
    <row r="18" spans="1:19" ht="23.4" customHeight="1">
      <c r="A18" s="73">
        <v>9</v>
      </c>
      <c r="B18" s="206" t="s">
        <v>201</v>
      </c>
      <c r="C18" s="203">
        <v>12</v>
      </c>
      <c r="D18" s="203" t="s">
        <v>143</v>
      </c>
      <c r="E18" s="11" t="s">
        <v>91</v>
      </c>
      <c r="F18" s="11"/>
      <c r="G18" s="75"/>
      <c r="H18" s="214">
        <v>282000</v>
      </c>
      <c r="I18" s="214">
        <v>1382.1519000000001</v>
      </c>
      <c r="J18" s="214"/>
      <c r="K18" s="134"/>
      <c r="L18" s="11"/>
      <c r="M18" s="74">
        <v>1000000</v>
      </c>
      <c r="N18" s="11"/>
      <c r="O18" s="75">
        <f>109*500</f>
        <v>54500</v>
      </c>
      <c r="P18" s="97"/>
      <c r="Q18" s="118">
        <f t="shared" si="0"/>
        <v>1054500</v>
      </c>
      <c r="R18" s="186" t="s">
        <v>202</v>
      </c>
      <c r="S18" s="116"/>
    </row>
    <row r="19" spans="1:19" ht="23.4" customHeight="1">
      <c r="A19" s="73">
        <v>10</v>
      </c>
      <c r="B19" s="206" t="s">
        <v>203</v>
      </c>
      <c r="C19" s="203">
        <v>22</v>
      </c>
      <c r="D19" s="203" t="s">
        <v>88</v>
      </c>
      <c r="E19" s="11" t="s">
        <v>50</v>
      </c>
      <c r="F19" s="11"/>
      <c r="G19" s="75"/>
      <c r="H19" s="214">
        <v>40000</v>
      </c>
      <c r="I19" s="214">
        <v>617.6</v>
      </c>
      <c r="J19" s="214"/>
      <c r="K19" s="134"/>
      <c r="L19" s="74"/>
      <c r="M19" s="207">
        <v>550000</v>
      </c>
      <c r="N19" s="74"/>
      <c r="O19" s="204"/>
      <c r="P19" s="76"/>
      <c r="Q19" s="118">
        <f t="shared" si="0"/>
        <v>550000</v>
      </c>
      <c r="R19" s="160" t="s">
        <v>204</v>
      </c>
      <c r="S19" s="116"/>
    </row>
    <row r="20" spans="1:19" ht="23.4" customHeight="1">
      <c r="A20" s="73">
        <v>11</v>
      </c>
      <c r="B20" s="206" t="s">
        <v>203</v>
      </c>
      <c r="C20" s="11">
        <v>21</v>
      </c>
      <c r="D20" s="203" t="s">
        <v>205</v>
      </c>
      <c r="E20" s="11" t="s">
        <v>64</v>
      </c>
      <c r="F20" s="11"/>
      <c r="G20" s="75"/>
      <c r="H20" s="228">
        <v>60000</v>
      </c>
      <c r="I20" s="228">
        <v>1500</v>
      </c>
      <c r="J20" s="228"/>
      <c r="K20" s="134"/>
      <c r="L20" s="154"/>
      <c r="M20" s="207">
        <v>1000000</v>
      </c>
      <c r="N20" s="74"/>
      <c r="O20" s="204">
        <v>40000</v>
      </c>
      <c r="P20" s="76"/>
      <c r="Q20" s="118">
        <f t="shared" si="0"/>
        <v>1040000</v>
      </c>
      <c r="R20" s="186" t="s">
        <v>96</v>
      </c>
      <c r="S20" s="116"/>
    </row>
    <row r="21" spans="1:19" ht="23.4" customHeight="1">
      <c r="A21" s="271">
        <v>12</v>
      </c>
      <c r="B21" s="273" t="s">
        <v>206</v>
      </c>
      <c r="C21" s="203">
        <v>9</v>
      </c>
      <c r="D21" s="203" t="s">
        <v>108</v>
      </c>
      <c r="E21" s="11" t="s">
        <v>48</v>
      </c>
      <c r="F21" s="11"/>
      <c r="G21" s="75"/>
      <c r="H21" s="214">
        <v>30000</v>
      </c>
      <c r="I21" s="214">
        <v>288</v>
      </c>
      <c r="J21" s="214"/>
      <c r="K21" s="134"/>
      <c r="L21" s="154"/>
      <c r="M21" s="305">
        <v>1150000</v>
      </c>
      <c r="N21" s="74"/>
      <c r="O21" s="204"/>
      <c r="P21" s="76"/>
      <c r="Q21" s="266">
        <f>SUM(L21:P22)</f>
        <v>1150000</v>
      </c>
      <c r="R21" s="186"/>
      <c r="S21" s="116"/>
    </row>
    <row r="22" spans="1:19" ht="23.4" customHeight="1">
      <c r="A22" s="272"/>
      <c r="B22" s="274"/>
      <c r="C22" s="203">
        <v>19</v>
      </c>
      <c r="D22" s="203" t="s">
        <v>116</v>
      </c>
      <c r="E22" s="11" t="s">
        <v>64</v>
      </c>
      <c r="F22" s="131"/>
      <c r="G22" s="132"/>
      <c r="H22" s="228">
        <v>510000</v>
      </c>
      <c r="I22" s="228">
        <v>714</v>
      </c>
      <c r="J22" s="228"/>
      <c r="K22" s="134"/>
      <c r="L22" s="154"/>
      <c r="M22" s="306"/>
      <c r="N22" s="74"/>
      <c r="O22" s="204"/>
      <c r="P22" s="76"/>
      <c r="Q22" s="267"/>
      <c r="R22" s="186"/>
      <c r="S22" s="116"/>
    </row>
    <row r="23" spans="1:19" ht="23.4" customHeight="1">
      <c r="A23" s="73">
        <v>13</v>
      </c>
      <c r="B23" s="206" t="s">
        <v>207</v>
      </c>
      <c r="C23" s="203">
        <v>59</v>
      </c>
      <c r="D23" s="203" t="s">
        <v>144</v>
      </c>
      <c r="E23" s="11" t="s">
        <v>48</v>
      </c>
      <c r="F23" s="11"/>
      <c r="G23" s="75"/>
      <c r="H23" s="214">
        <v>96000</v>
      </c>
      <c r="I23" s="214">
        <v>835.2</v>
      </c>
      <c r="J23" s="214"/>
      <c r="K23" s="185"/>
      <c r="L23" s="154"/>
      <c r="M23" s="207">
        <v>1100000</v>
      </c>
      <c r="N23" s="74"/>
      <c r="O23" s="76">
        <f>237*500</f>
        <v>118500</v>
      </c>
      <c r="P23" s="76"/>
      <c r="Q23" s="118">
        <f t="shared" si="0"/>
        <v>1218500</v>
      </c>
      <c r="R23" s="219" t="s">
        <v>208</v>
      </c>
      <c r="S23" s="116"/>
    </row>
    <row r="24" spans="1:19" ht="23.4" customHeight="1">
      <c r="A24" s="73">
        <v>14</v>
      </c>
      <c r="B24" s="206" t="s">
        <v>207</v>
      </c>
      <c r="C24" s="203">
        <v>39</v>
      </c>
      <c r="D24" s="203" t="s">
        <v>49</v>
      </c>
      <c r="E24" s="11" t="s">
        <v>87</v>
      </c>
      <c r="F24" s="11"/>
      <c r="G24" s="75">
        <v>349</v>
      </c>
      <c r="H24" s="132"/>
      <c r="I24" s="132"/>
      <c r="J24" s="132"/>
      <c r="K24" s="185"/>
      <c r="L24" s="154">
        <v>350000</v>
      </c>
      <c r="M24" s="74"/>
      <c r="N24" s="74"/>
      <c r="O24" s="171">
        <v>200000</v>
      </c>
      <c r="P24" s="76"/>
      <c r="Q24" s="118">
        <f t="shared" si="0"/>
        <v>550000</v>
      </c>
      <c r="R24" s="219" t="s">
        <v>209</v>
      </c>
      <c r="S24" s="116"/>
    </row>
    <row r="25" spans="1:19" ht="23.4" customHeight="1">
      <c r="A25" s="271">
        <v>15</v>
      </c>
      <c r="B25" s="273" t="s">
        <v>210</v>
      </c>
      <c r="C25" s="203" t="s">
        <v>211</v>
      </c>
      <c r="D25" s="203" t="s">
        <v>67</v>
      </c>
      <c r="E25" s="11" t="s">
        <v>63</v>
      </c>
      <c r="F25" s="11"/>
      <c r="G25" s="75"/>
      <c r="H25" s="214">
        <f>20000+55000</f>
        <v>75000</v>
      </c>
      <c r="I25" s="214">
        <f>399.85+120</f>
        <v>519.85</v>
      </c>
      <c r="J25" s="214"/>
      <c r="K25" s="75"/>
      <c r="L25" s="154"/>
      <c r="M25" s="264">
        <v>1250000</v>
      </c>
      <c r="N25" s="74"/>
      <c r="O25" s="171"/>
      <c r="P25" s="76"/>
      <c r="Q25" s="266">
        <f>SUM(L25:P27)</f>
        <v>1250000</v>
      </c>
      <c r="R25" s="79" t="s">
        <v>51</v>
      </c>
      <c r="S25" s="116"/>
    </row>
    <row r="26" spans="1:19" ht="23.4" customHeight="1">
      <c r="A26" s="275"/>
      <c r="B26" s="276"/>
      <c r="C26" s="203" t="s">
        <v>150</v>
      </c>
      <c r="D26" s="203" t="s">
        <v>58</v>
      </c>
      <c r="E26" s="11" t="s">
        <v>61</v>
      </c>
      <c r="F26" s="131"/>
      <c r="G26" s="132"/>
      <c r="H26" s="214">
        <v>140000</v>
      </c>
      <c r="I26" s="214">
        <v>527.572</v>
      </c>
      <c r="J26" s="214"/>
      <c r="K26" s="185"/>
      <c r="L26" s="155"/>
      <c r="M26" s="277"/>
      <c r="N26" s="74"/>
      <c r="O26" s="171"/>
      <c r="P26" s="76"/>
      <c r="Q26" s="278"/>
      <c r="R26" s="130"/>
      <c r="S26" s="116"/>
    </row>
    <row r="27" spans="1:19" ht="23.4" customHeight="1">
      <c r="A27" s="272"/>
      <c r="B27" s="274"/>
      <c r="C27" s="203">
        <v>21</v>
      </c>
      <c r="D27" s="203" t="s">
        <v>212</v>
      </c>
      <c r="E27" s="11" t="s">
        <v>94</v>
      </c>
      <c r="F27" s="131"/>
      <c r="G27" s="132"/>
      <c r="H27" s="214">
        <v>20000</v>
      </c>
      <c r="I27" s="214">
        <v>172</v>
      </c>
      <c r="J27" s="214"/>
      <c r="K27" s="185"/>
      <c r="L27" s="74"/>
      <c r="M27" s="265"/>
      <c r="N27" s="74"/>
      <c r="O27" s="171"/>
      <c r="P27" s="76"/>
      <c r="Q27" s="267"/>
      <c r="R27" s="130"/>
      <c r="S27" s="116"/>
    </row>
    <row r="28" spans="1:19" ht="25.2" customHeight="1">
      <c r="A28" s="73">
        <v>16</v>
      </c>
      <c r="B28" s="206" t="s">
        <v>213</v>
      </c>
      <c r="C28" s="11" t="s">
        <v>214</v>
      </c>
      <c r="D28" s="11" t="s">
        <v>89</v>
      </c>
      <c r="E28" s="11" t="s">
        <v>85</v>
      </c>
      <c r="F28" s="11"/>
      <c r="G28" s="75"/>
      <c r="H28" s="214">
        <v>126000</v>
      </c>
      <c r="I28" s="214">
        <v>1170.4496999999999</v>
      </c>
      <c r="J28" s="214"/>
      <c r="K28" s="73"/>
      <c r="L28" s="84"/>
      <c r="M28" s="74">
        <v>1100000</v>
      </c>
      <c r="N28" s="11"/>
      <c r="O28" s="171"/>
      <c r="P28" s="75"/>
      <c r="Q28" s="118">
        <f t="shared" si="0"/>
        <v>1100000</v>
      </c>
      <c r="R28" s="188"/>
      <c r="S28" s="116"/>
    </row>
    <row r="29" spans="1:19" ht="23.4" customHeight="1">
      <c r="A29" s="73">
        <v>17</v>
      </c>
      <c r="B29" s="206" t="s">
        <v>215</v>
      </c>
      <c r="C29" s="232">
        <v>20</v>
      </c>
      <c r="D29" s="203" t="s">
        <v>216</v>
      </c>
      <c r="E29" s="11" t="s">
        <v>48</v>
      </c>
      <c r="F29" s="131"/>
      <c r="G29" s="228"/>
      <c r="H29" s="228">
        <v>160000</v>
      </c>
      <c r="I29" s="228">
        <v>624</v>
      </c>
      <c r="J29" s="228"/>
      <c r="K29" s="149"/>
      <c r="L29" s="84"/>
      <c r="M29" s="74">
        <v>1100000</v>
      </c>
      <c r="N29" s="74"/>
      <c r="O29" s="204"/>
      <c r="P29" s="76"/>
      <c r="Q29" s="118">
        <f t="shared" si="0"/>
        <v>1100000</v>
      </c>
      <c r="R29" s="79"/>
      <c r="S29" s="116"/>
    </row>
    <row r="30" spans="1:19" ht="23.4" customHeight="1">
      <c r="A30" s="73">
        <v>18</v>
      </c>
      <c r="B30" s="206" t="s">
        <v>217</v>
      </c>
      <c r="C30" s="11">
        <v>14</v>
      </c>
      <c r="D30" s="203" t="s">
        <v>126</v>
      </c>
      <c r="E30" s="11" t="s">
        <v>62</v>
      </c>
      <c r="F30" s="11"/>
      <c r="G30" s="75"/>
      <c r="H30" s="228">
        <v>320000</v>
      </c>
      <c r="I30" s="228">
        <v>1842.9760000000001</v>
      </c>
      <c r="J30" s="228"/>
      <c r="K30" s="149"/>
      <c r="L30" s="74"/>
      <c r="M30" s="74">
        <v>1100000</v>
      </c>
      <c r="N30" s="74"/>
      <c r="O30" s="204"/>
      <c r="P30" s="76"/>
      <c r="Q30" s="118">
        <f t="shared" si="0"/>
        <v>1100000</v>
      </c>
      <c r="R30" s="130"/>
      <c r="S30" s="116"/>
    </row>
    <row r="31" spans="1:19" ht="23.4" customHeight="1">
      <c r="A31" s="271">
        <v>19</v>
      </c>
      <c r="B31" s="273" t="s">
        <v>218</v>
      </c>
      <c r="C31" s="203">
        <v>1</v>
      </c>
      <c r="D31" s="203" t="s">
        <v>219</v>
      </c>
      <c r="E31" s="11" t="s">
        <v>50</v>
      </c>
      <c r="F31" s="11"/>
      <c r="G31" s="75"/>
      <c r="H31" s="214">
        <v>40000</v>
      </c>
      <c r="I31" s="214">
        <v>317.98200000000003</v>
      </c>
      <c r="J31" s="214"/>
      <c r="K31" s="133"/>
      <c r="L31" s="74"/>
      <c r="M31" s="264">
        <v>850000</v>
      </c>
      <c r="N31" s="74"/>
      <c r="O31" s="204"/>
      <c r="P31" s="76"/>
      <c r="Q31" s="266">
        <f>SUM(L31:P32)</f>
        <v>850000</v>
      </c>
      <c r="R31" s="79" t="s">
        <v>51</v>
      </c>
      <c r="S31" s="116"/>
    </row>
    <row r="32" spans="1:19" ht="23.4" customHeight="1">
      <c r="A32" s="272"/>
      <c r="B32" s="274"/>
      <c r="C32" s="203">
        <v>11</v>
      </c>
      <c r="D32" s="203" t="s">
        <v>116</v>
      </c>
      <c r="E32" s="11" t="s">
        <v>50</v>
      </c>
      <c r="F32" s="131"/>
      <c r="G32" s="132"/>
      <c r="H32" s="214">
        <v>36600</v>
      </c>
      <c r="I32" s="214">
        <v>726.40959999999995</v>
      </c>
      <c r="J32" s="214"/>
      <c r="K32" s="157"/>
      <c r="L32" s="74"/>
      <c r="M32" s="265"/>
      <c r="N32" s="74"/>
      <c r="O32" s="204"/>
      <c r="P32" s="76"/>
      <c r="Q32" s="267"/>
      <c r="R32" s="130"/>
      <c r="S32" s="116"/>
    </row>
    <row r="33" spans="1:19" ht="23.4" customHeight="1">
      <c r="A33" s="73">
        <v>20</v>
      </c>
      <c r="B33" s="206" t="s">
        <v>218</v>
      </c>
      <c r="C33" s="11">
        <v>12</v>
      </c>
      <c r="D33" s="203" t="s">
        <v>116</v>
      </c>
      <c r="E33" s="11" t="s">
        <v>97</v>
      </c>
      <c r="F33" s="11"/>
      <c r="G33" s="75"/>
      <c r="H33" s="228">
        <v>47050</v>
      </c>
      <c r="I33" s="228">
        <v>1094.19</v>
      </c>
      <c r="J33" s="228"/>
      <c r="K33" s="131"/>
      <c r="L33" s="74"/>
      <c r="M33" s="74">
        <v>1100000</v>
      </c>
      <c r="N33" s="74"/>
      <c r="O33" s="204">
        <v>60000</v>
      </c>
      <c r="P33" s="76"/>
      <c r="Q33" s="118">
        <f t="shared" si="0"/>
        <v>1160000</v>
      </c>
      <c r="R33" s="79" t="s">
        <v>220</v>
      </c>
      <c r="S33" s="116"/>
    </row>
    <row r="34" spans="1:19" ht="31.2" customHeight="1">
      <c r="A34" s="73">
        <v>21</v>
      </c>
      <c r="B34" s="206" t="s">
        <v>221</v>
      </c>
      <c r="C34" s="11">
        <v>5</v>
      </c>
      <c r="D34" s="203" t="s">
        <v>144</v>
      </c>
      <c r="E34" s="11" t="s">
        <v>48</v>
      </c>
      <c r="F34" s="11"/>
      <c r="G34" s="75"/>
      <c r="H34" s="228">
        <v>96000</v>
      </c>
      <c r="I34" s="228">
        <v>835.2</v>
      </c>
      <c r="J34" s="228"/>
      <c r="K34" s="131"/>
      <c r="L34" s="74"/>
      <c r="M34" s="74">
        <v>1100000</v>
      </c>
      <c r="N34" s="76"/>
      <c r="O34" s="204">
        <f>42*500+100000</f>
        <v>121000</v>
      </c>
      <c r="P34" s="76"/>
      <c r="Q34" s="118">
        <f t="shared" si="0"/>
        <v>1221000</v>
      </c>
      <c r="R34" s="187" t="s">
        <v>222</v>
      </c>
      <c r="S34" s="116"/>
    </row>
    <row r="35" spans="1:19" ht="23.4" customHeight="1">
      <c r="A35" s="73">
        <v>22</v>
      </c>
      <c r="B35" s="206" t="s">
        <v>221</v>
      </c>
      <c r="C35" s="203">
        <v>24</v>
      </c>
      <c r="D35" s="203" t="s">
        <v>144</v>
      </c>
      <c r="E35" s="11" t="s">
        <v>48</v>
      </c>
      <c r="F35" s="11"/>
      <c r="G35" s="75"/>
      <c r="H35" s="75">
        <v>96000</v>
      </c>
      <c r="I35" s="75">
        <v>851.98080000000004</v>
      </c>
      <c r="J35" s="75"/>
      <c r="K35" s="131"/>
      <c r="L35" s="155"/>
      <c r="M35" s="74">
        <v>1050000</v>
      </c>
      <c r="N35" s="76"/>
      <c r="O35" s="171">
        <v>200000</v>
      </c>
      <c r="P35" s="76"/>
      <c r="Q35" s="118">
        <f t="shared" si="0"/>
        <v>1250000</v>
      </c>
      <c r="R35" s="112" t="s">
        <v>100</v>
      </c>
      <c r="S35" s="116"/>
    </row>
    <row r="36" spans="1:19" ht="23.4" customHeight="1">
      <c r="A36" s="73">
        <v>23</v>
      </c>
      <c r="B36" s="206" t="s">
        <v>223</v>
      </c>
      <c r="C36" s="203">
        <v>20</v>
      </c>
      <c r="D36" s="203" t="s">
        <v>200</v>
      </c>
      <c r="E36" s="11" t="s">
        <v>97</v>
      </c>
      <c r="F36" s="11"/>
      <c r="G36" s="75"/>
      <c r="H36" s="214">
        <v>122000</v>
      </c>
      <c r="I36" s="214">
        <v>1352.2202</v>
      </c>
      <c r="J36" s="214"/>
      <c r="K36" s="133"/>
      <c r="L36" s="74"/>
      <c r="M36" s="74">
        <v>1150000</v>
      </c>
      <c r="N36" s="74">
        <v>50000</v>
      </c>
      <c r="O36" s="204"/>
      <c r="P36" s="76"/>
      <c r="Q36" s="118">
        <f t="shared" si="0"/>
        <v>1200000</v>
      </c>
      <c r="R36" s="218" t="s">
        <v>224</v>
      </c>
      <c r="S36" s="116"/>
    </row>
    <row r="37" spans="1:19" ht="23.4" customHeight="1">
      <c r="A37" s="73">
        <v>24</v>
      </c>
      <c r="B37" s="206" t="s">
        <v>225</v>
      </c>
      <c r="C37" s="203">
        <v>43</v>
      </c>
      <c r="D37" s="203" t="s">
        <v>90</v>
      </c>
      <c r="E37" s="11" t="s">
        <v>66</v>
      </c>
      <c r="F37" s="11"/>
      <c r="G37" s="75"/>
      <c r="H37" s="75">
        <v>124200</v>
      </c>
      <c r="I37" s="214">
        <v>1661.3469</v>
      </c>
      <c r="J37" s="214"/>
      <c r="K37" s="133"/>
      <c r="L37" s="74"/>
      <c r="M37" s="74">
        <v>1150000</v>
      </c>
      <c r="N37" s="74"/>
      <c r="O37" s="204"/>
      <c r="P37" s="76"/>
      <c r="Q37" s="118">
        <f t="shared" si="0"/>
        <v>1150000</v>
      </c>
      <c r="R37" s="130"/>
      <c r="S37" s="116"/>
    </row>
    <row r="38" spans="1:19" ht="23.4" customHeight="1">
      <c r="A38" s="73">
        <v>25</v>
      </c>
      <c r="B38" s="206" t="s">
        <v>226</v>
      </c>
      <c r="C38" s="11">
        <v>7</v>
      </c>
      <c r="D38" s="203" t="s">
        <v>163</v>
      </c>
      <c r="E38" s="11" t="s">
        <v>71</v>
      </c>
      <c r="F38" s="11"/>
      <c r="G38" s="75"/>
      <c r="H38" s="228">
        <v>94002</v>
      </c>
      <c r="I38" s="228">
        <v>1147.8768</v>
      </c>
      <c r="J38" s="228"/>
      <c r="K38" s="73"/>
      <c r="L38" s="204"/>
      <c r="M38" s="74">
        <v>1150000</v>
      </c>
      <c r="N38" s="136"/>
      <c r="O38" s="204"/>
      <c r="P38" s="204"/>
      <c r="Q38" s="118">
        <f t="shared" si="0"/>
        <v>1150000</v>
      </c>
      <c r="R38" s="79" t="s">
        <v>51</v>
      </c>
      <c r="S38" s="116"/>
    </row>
    <row r="39" spans="1:19" ht="23.4" customHeight="1">
      <c r="A39" s="73">
        <v>26</v>
      </c>
      <c r="B39" s="206" t="s">
        <v>227</v>
      </c>
      <c r="C39" s="203">
        <v>3</v>
      </c>
      <c r="D39" s="203" t="s">
        <v>126</v>
      </c>
      <c r="E39" s="11" t="s">
        <v>62</v>
      </c>
      <c r="F39" s="11"/>
      <c r="G39" s="75"/>
      <c r="H39" s="214">
        <v>320000</v>
      </c>
      <c r="I39" s="214">
        <v>1842.9760000000001</v>
      </c>
      <c r="J39" s="214"/>
      <c r="K39" s="133"/>
      <c r="L39" s="74"/>
      <c r="M39" s="74">
        <v>1100000</v>
      </c>
      <c r="N39" s="74"/>
      <c r="O39" s="204"/>
      <c r="P39" s="76"/>
      <c r="Q39" s="118">
        <f t="shared" si="0"/>
        <v>1100000</v>
      </c>
      <c r="R39" s="130"/>
      <c r="S39" s="116"/>
    </row>
    <row r="40" spans="1:19" s="77" customFormat="1" ht="23.4" customHeight="1">
      <c r="A40" s="73">
        <v>27</v>
      </c>
      <c r="B40" s="206" t="s">
        <v>227</v>
      </c>
      <c r="C40" s="203">
        <v>41</v>
      </c>
      <c r="D40" s="203" t="s">
        <v>79</v>
      </c>
      <c r="E40" s="11" t="s">
        <v>77</v>
      </c>
      <c r="F40" s="11"/>
      <c r="G40" s="75">
        <v>1283</v>
      </c>
      <c r="H40" s="214"/>
      <c r="I40" s="214"/>
      <c r="J40" s="214"/>
      <c r="K40" s="133"/>
      <c r="L40" s="74"/>
      <c r="M40" s="74">
        <v>1200000</v>
      </c>
      <c r="N40" s="74"/>
      <c r="O40" s="204"/>
      <c r="P40" s="76"/>
      <c r="Q40" s="118">
        <f t="shared" si="0"/>
        <v>1200000</v>
      </c>
      <c r="R40" s="218" t="s">
        <v>228</v>
      </c>
      <c r="S40" s="218"/>
    </row>
    <row r="41" spans="1:19" s="77" customFormat="1" ht="23.4" customHeight="1">
      <c r="A41" s="271">
        <v>28</v>
      </c>
      <c r="B41" s="273" t="s">
        <v>229</v>
      </c>
      <c r="C41" s="203">
        <v>25</v>
      </c>
      <c r="D41" s="203" t="s">
        <v>116</v>
      </c>
      <c r="E41" s="11" t="s">
        <v>48</v>
      </c>
      <c r="F41" s="11"/>
      <c r="G41" s="75"/>
      <c r="H41" s="214">
        <v>58200</v>
      </c>
      <c r="I41" s="214">
        <v>474.20339999999999</v>
      </c>
      <c r="J41" s="214"/>
      <c r="K41" s="134"/>
      <c r="L41" s="74"/>
      <c r="M41" s="74"/>
      <c r="N41" s="264">
        <v>1350000</v>
      </c>
      <c r="O41" s="204"/>
      <c r="P41" s="76"/>
      <c r="Q41" s="266">
        <f>SUM(L41:P43)</f>
        <v>1410000</v>
      </c>
      <c r="R41" s="130"/>
      <c r="S41" s="238"/>
    </row>
    <row r="42" spans="1:19" s="77" customFormat="1" ht="23.4" customHeight="1">
      <c r="A42" s="275"/>
      <c r="B42" s="276"/>
      <c r="C42" s="203">
        <v>19</v>
      </c>
      <c r="D42" s="203" t="s">
        <v>116</v>
      </c>
      <c r="E42" s="11" t="s">
        <v>97</v>
      </c>
      <c r="F42" s="131"/>
      <c r="G42" s="132"/>
      <c r="H42" s="214">
        <v>13650</v>
      </c>
      <c r="I42" s="214">
        <v>311.30250000000001</v>
      </c>
      <c r="J42" s="214"/>
      <c r="K42" s="134"/>
      <c r="L42" s="74"/>
      <c r="M42" s="74"/>
      <c r="N42" s="277"/>
      <c r="O42" s="204">
        <v>60000</v>
      </c>
      <c r="P42" s="76"/>
      <c r="Q42" s="278"/>
      <c r="R42" s="239" t="s">
        <v>96</v>
      </c>
      <c r="S42" s="240"/>
    </row>
    <row r="43" spans="1:19" s="77" customFormat="1" ht="23.4" customHeight="1">
      <c r="A43" s="272"/>
      <c r="B43" s="274"/>
      <c r="C43" s="203">
        <v>4</v>
      </c>
      <c r="D43" s="203" t="s">
        <v>230</v>
      </c>
      <c r="E43" s="11" t="s">
        <v>66</v>
      </c>
      <c r="F43" s="11"/>
      <c r="G43" s="75"/>
      <c r="H43" s="214">
        <v>20000</v>
      </c>
      <c r="I43" s="228">
        <v>275.01600000000002</v>
      </c>
      <c r="J43" s="228"/>
      <c r="K43" s="134"/>
      <c r="L43" s="74"/>
      <c r="M43" s="74"/>
      <c r="N43" s="265"/>
      <c r="O43" s="204"/>
      <c r="P43" s="76"/>
      <c r="Q43" s="267"/>
      <c r="R43" s="79"/>
      <c r="S43" s="116"/>
    </row>
    <row r="44" spans="1:19" s="77" customFormat="1" ht="23.4" customHeight="1">
      <c r="A44" s="271">
        <v>29</v>
      </c>
      <c r="B44" s="273" t="s">
        <v>231</v>
      </c>
      <c r="C44" s="11" t="s">
        <v>232</v>
      </c>
      <c r="D44" s="203" t="s">
        <v>89</v>
      </c>
      <c r="E44" s="11" t="s">
        <v>85</v>
      </c>
      <c r="F44" s="11"/>
      <c r="G44" s="75"/>
      <c r="H44" s="228">
        <v>57600</v>
      </c>
      <c r="I44" s="228">
        <v>535.88660000000004</v>
      </c>
      <c r="J44" s="228"/>
      <c r="K44" s="134"/>
      <c r="L44" s="74"/>
      <c r="M44" s="74"/>
      <c r="N44" s="74">
        <v>550000</v>
      </c>
      <c r="O44" s="204"/>
      <c r="P44" s="76"/>
      <c r="Q44" s="266">
        <f>SUM(L44:P46)</f>
        <v>1250000</v>
      </c>
      <c r="R44" s="79"/>
      <c r="S44" s="116"/>
    </row>
    <row r="45" spans="1:19" s="77" customFormat="1" ht="23.4" customHeight="1">
      <c r="A45" s="275"/>
      <c r="B45" s="276"/>
      <c r="C45" s="203" t="s">
        <v>150</v>
      </c>
      <c r="D45" s="203" t="s">
        <v>131</v>
      </c>
      <c r="E45" s="11" t="s">
        <v>45</v>
      </c>
      <c r="F45" s="11"/>
      <c r="G45" s="75">
        <f>120+475</f>
        <v>595</v>
      </c>
      <c r="H45" s="214"/>
      <c r="I45" s="214"/>
      <c r="J45" s="214"/>
      <c r="K45" s="134"/>
      <c r="L45" s="74"/>
      <c r="M45" s="264">
        <v>700000</v>
      </c>
      <c r="N45" s="74"/>
      <c r="O45" s="204"/>
      <c r="P45" s="76"/>
      <c r="Q45" s="278"/>
      <c r="R45" s="130"/>
      <c r="S45" s="116"/>
    </row>
    <row r="46" spans="1:19" s="77" customFormat="1" ht="23.4" customHeight="1">
      <c r="A46" s="272"/>
      <c r="B46" s="274"/>
      <c r="C46" s="203">
        <v>14</v>
      </c>
      <c r="D46" s="203" t="s">
        <v>101</v>
      </c>
      <c r="E46" s="11" t="s">
        <v>62</v>
      </c>
      <c r="F46" s="11"/>
      <c r="G46" s="75">
        <f>709+180</f>
        <v>889</v>
      </c>
      <c r="H46" s="214"/>
      <c r="I46" s="214"/>
      <c r="J46" s="214"/>
      <c r="K46" s="134"/>
      <c r="L46" s="74"/>
      <c r="M46" s="265"/>
      <c r="N46" s="74"/>
      <c r="O46" s="204"/>
      <c r="P46" s="76"/>
      <c r="Q46" s="267"/>
      <c r="R46" s="79"/>
      <c r="S46" s="116"/>
    </row>
    <row r="47" spans="1:19" s="77" customFormat="1" ht="23.4" customHeight="1">
      <c r="A47" s="73">
        <v>30</v>
      </c>
      <c r="B47" s="225" t="s">
        <v>233</v>
      </c>
      <c r="C47" s="11">
        <v>16</v>
      </c>
      <c r="D47" s="203" t="s">
        <v>126</v>
      </c>
      <c r="E47" s="11" t="s">
        <v>62</v>
      </c>
      <c r="F47" s="11"/>
      <c r="G47" s="75"/>
      <c r="H47" s="228">
        <v>320000</v>
      </c>
      <c r="I47" s="228">
        <v>1842.9760000000001</v>
      </c>
      <c r="J47" s="228"/>
      <c r="K47" s="134"/>
      <c r="L47" s="74"/>
      <c r="M47" s="74">
        <v>1100000</v>
      </c>
      <c r="N47" s="74"/>
      <c r="O47" s="204"/>
      <c r="P47" s="76"/>
      <c r="Q47" s="118">
        <f t="shared" si="0"/>
        <v>1100000</v>
      </c>
      <c r="R47" s="79"/>
      <c r="S47" s="116"/>
    </row>
    <row r="48" spans="1:19" s="77" customFormat="1" ht="23.4" customHeight="1">
      <c r="A48" s="73">
        <v>31</v>
      </c>
      <c r="B48" s="225" t="s">
        <v>233</v>
      </c>
      <c r="C48" s="203">
        <v>11</v>
      </c>
      <c r="D48" s="203" t="s">
        <v>153</v>
      </c>
      <c r="E48" s="11" t="s">
        <v>69</v>
      </c>
      <c r="F48" s="11"/>
      <c r="G48" s="75">
        <v>2298</v>
      </c>
      <c r="H48" s="214"/>
      <c r="I48" s="214"/>
      <c r="J48" s="214"/>
      <c r="K48" s="134"/>
      <c r="L48" s="74">
        <v>550000</v>
      </c>
      <c r="M48" s="74"/>
      <c r="N48" s="74"/>
      <c r="O48" s="204"/>
      <c r="P48" s="76"/>
      <c r="Q48" s="118">
        <f t="shared" si="0"/>
        <v>550000</v>
      </c>
      <c r="R48" s="79"/>
      <c r="S48" s="116"/>
    </row>
    <row r="49" spans="1:19" s="77" customFormat="1" ht="23.4" customHeight="1">
      <c r="A49" s="73">
        <v>32</v>
      </c>
      <c r="B49" s="225" t="s">
        <v>234</v>
      </c>
      <c r="C49" s="203">
        <v>2</v>
      </c>
      <c r="D49" s="203" t="s">
        <v>119</v>
      </c>
      <c r="E49" s="11" t="s">
        <v>63</v>
      </c>
      <c r="F49" s="11"/>
      <c r="G49" s="75"/>
      <c r="H49" s="214">
        <v>72000</v>
      </c>
      <c r="I49" s="214">
        <v>432</v>
      </c>
      <c r="J49" s="214"/>
      <c r="K49" s="134"/>
      <c r="L49" s="74"/>
      <c r="M49" s="74">
        <v>1000000</v>
      </c>
      <c r="N49" s="74"/>
      <c r="O49" s="204"/>
      <c r="P49" s="76"/>
      <c r="Q49" s="118">
        <f t="shared" si="0"/>
        <v>1000000</v>
      </c>
      <c r="R49" s="79"/>
      <c r="S49" s="116"/>
    </row>
    <row r="50" spans="1:19" s="77" customFormat="1" ht="23.4" customHeight="1">
      <c r="A50" s="73">
        <v>33</v>
      </c>
      <c r="B50" s="225" t="s">
        <v>234</v>
      </c>
      <c r="C50" s="11">
        <v>17</v>
      </c>
      <c r="D50" s="203" t="s">
        <v>148</v>
      </c>
      <c r="E50" s="11" t="s">
        <v>48</v>
      </c>
      <c r="F50" s="11"/>
      <c r="G50" s="75"/>
      <c r="H50" s="228">
        <v>96000</v>
      </c>
      <c r="I50" s="228">
        <v>851.98080000000004</v>
      </c>
      <c r="J50" s="228"/>
      <c r="K50" s="134"/>
      <c r="L50" s="74"/>
      <c r="M50" s="74">
        <v>1050000</v>
      </c>
      <c r="N50" s="74"/>
      <c r="O50" s="204"/>
      <c r="P50" s="76"/>
      <c r="Q50" s="118">
        <f t="shared" si="0"/>
        <v>1050000</v>
      </c>
      <c r="R50" s="79" t="s">
        <v>53</v>
      </c>
      <c r="S50" s="116"/>
    </row>
    <row r="51" spans="1:19" s="77" customFormat="1" ht="22.8" customHeight="1">
      <c r="A51" s="271">
        <v>34</v>
      </c>
      <c r="B51" s="273" t="s">
        <v>235</v>
      </c>
      <c r="C51" s="203">
        <v>28</v>
      </c>
      <c r="D51" s="203" t="s">
        <v>116</v>
      </c>
      <c r="E51" s="11" t="s">
        <v>97</v>
      </c>
      <c r="F51" s="11"/>
      <c r="G51" s="75"/>
      <c r="H51" s="214">
        <v>54600</v>
      </c>
      <c r="I51" s="228">
        <v>773.84699999999998</v>
      </c>
      <c r="J51" s="228"/>
      <c r="K51" s="134"/>
      <c r="L51" s="74"/>
      <c r="M51" s="264">
        <v>1200000</v>
      </c>
      <c r="N51" s="74"/>
      <c r="O51" s="204">
        <v>60000</v>
      </c>
      <c r="P51" s="76"/>
      <c r="Q51" s="266">
        <f>SUM(L51:P52)</f>
        <v>1260000</v>
      </c>
      <c r="R51" s="188" t="s">
        <v>96</v>
      </c>
      <c r="S51" s="116"/>
    </row>
    <row r="52" spans="1:19" s="77" customFormat="1" ht="23.4" customHeight="1">
      <c r="A52" s="272"/>
      <c r="B52" s="274"/>
      <c r="C52" s="203">
        <v>16</v>
      </c>
      <c r="D52" s="203" t="s">
        <v>116</v>
      </c>
      <c r="E52" s="11" t="s">
        <v>46</v>
      </c>
      <c r="F52" s="11"/>
      <c r="G52" s="75"/>
      <c r="H52" s="214">
        <v>54600</v>
      </c>
      <c r="I52" s="214">
        <v>746.73149999999998</v>
      </c>
      <c r="J52" s="214"/>
      <c r="K52" s="134"/>
      <c r="L52" s="74"/>
      <c r="M52" s="265"/>
      <c r="N52" s="74"/>
      <c r="O52" s="204"/>
      <c r="P52" s="76"/>
      <c r="Q52" s="267"/>
      <c r="R52" s="79"/>
      <c r="S52" s="116"/>
    </row>
    <row r="53" spans="1:19" s="77" customFormat="1" ht="23.4" customHeight="1">
      <c r="A53" s="73">
        <v>35</v>
      </c>
      <c r="B53" s="225" t="s">
        <v>236</v>
      </c>
      <c r="C53" s="11">
        <v>6</v>
      </c>
      <c r="D53" s="203" t="s">
        <v>149</v>
      </c>
      <c r="E53" s="11" t="s">
        <v>48</v>
      </c>
      <c r="F53" s="11"/>
      <c r="G53" s="75"/>
      <c r="H53" s="228">
        <v>135000</v>
      </c>
      <c r="I53" s="228">
        <v>772.2</v>
      </c>
      <c r="J53" s="228"/>
      <c r="K53" s="134"/>
      <c r="L53" s="74"/>
      <c r="M53" s="74">
        <v>1100000</v>
      </c>
      <c r="N53" s="74"/>
      <c r="O53" s="204"/>
      <c r="P53" s="76"/>
      <c r="Q53" s="118">
        <f t="shared" si="0"/>
        <v>1100000</v>
      </c>
      <c r="R53" s="79"/>
      <c r="S53" s="116"/>
    </row>
    <row r="54" spans="1:19" s="77" customFormat="1" ht="23.4" customHeight="1">
      <c r="A54" s="73">
        <v>36</v>
      </c>
      <c r="B54" s="225" t="s">
        <v>236</v>
      </c>
      <c r="C54" s="203" t="s">
        <v>237</v>
      </c>
      <c r="D54" s="203" t="s">
        <v>47</v>
      </c>
      <c r="E54" s="11" t="s">
        <v>63</v>
      </c>
      <c r="F54" s="11"/>
      <c r="G54" s="75"/>
      <c r="H54" s="214">
        <v>82500</v>
      </c>
      <c r="I54" s="214">
        <v>1181.4659999999999</v>
      </c>
      <c r="J54" s="214"/>
      <c r="K54" s="134"/>
      <c r="L54" s="74"/>
      <c r="M54" s="74">
        <v>1000000</v>
      </c>
      <c r="N54" s="74"/>
      <c r="O54" s="204">
        <v>50000</v>
      </c>
      <c r="P54" s="76"/>
      <c r="Q54" s="118">
        <f t="shared" si="0"/>
        <v>1050000</v>
      </c>
      <c r="R54" s="79" t="s">
        <v>238</v>
      </c>
      <c r="S54" s="116"/>
    </row>
    <row r="55" spans="1:19" s="77" customFormat="1" ht="23.4" customHeight="1">
      <c r="A55" s="73">
        <v>37</v>
      </c>
      <c r="B55" s="225" t="s">
        <v>239</v>
      </c>
      <c r="C55" s="203">
        <v>19</v>
      </c>
      <c r="D55" s="203" t="s">
        <v>132</v>
      </c>
      <c r="E55" s="11" t="s">
        <v>48</v>
      </c>
      <c r="F55" s="11"/>
      <c r="G55" s="75"/>
      <c r="H55" s="214">
        <v>162000</v>
      </c>
      <c r="I55" s="214">
        <v>598.42999999999995</v>
      </c>
      <c r="J55" s="214"/>
      <c r="K55" s="134"/>
      <c r="L55" s="74"/>
      <c r="M55" s="74">
        <v>1100000</v>
      </c>
      <c r="N55" s="74"/>
      <c r="O55" s="204"/>
      <c r="P55" s="76"/>
      <c r="Q55" s="118">
        <f t="shared" si="0"/>
        <v>1100000</v>
      </c>
      <c r="R55" s="79"/>
      <c r="S55" s="116"/>
    </row>
    <row r="56" spans="1:19" s="77" customFormat="1" ht="23.4" customHeight="1">
      <c r="A56" s="73">
        <v>38</v>
      </c>
      <c r="B56" s="225" t="s">
        <v>240</v>
      </c>
      <c r="C56" s="11">
        <v>25</v>
      </c>
      <c r="D56" s="203" t="s">
        <v>60</v>
      </c>
      <c r="E56" s="11" t="s">
        <v>85</v>
      </c>
      <c r="F56" s="11"/>
      <c r="G56" s="75"/>
      <c r="H56" s="228">
        <v>83100</v>
      </c>
      <c r="I56" s="228">
        <v>1636.578</v>
      </c>
      <c r="J56" s="228"/>
      <c r="K56" s="134"/>
      <c r="L56" s="74"/>
      <c r="M56" s="74">
        <v>1100000</v>
      </c>
      <c r="N56" s="74"/>
      <c r="O56" s="204"/>
      <c r="P56" s="76"/>
      <c r="Q56" s="118">
        <f t="shared" si="0"/>
        <v>1100000</v>
      </c>
      <c r="R56" s="79"/>
      <c r="S56" s="116"/>
    </row>
    <row r="57" spans="1:19" s="57" customFormat="1" ht="23.4" customHeight="1">
      <c r="A57" s="279" t="s">
        <v>31</v>
      </c>
      <c r="B57" s="280"/>
      <c r="C57" s="280"/>
      <c r="D57" s="280"/>
      <c r="E57" s="280"/>
      <c r="F57" s="281"/>
      <c r="G57" s="120">
        <f t="shared" ref="G57:Q57" si="1">SUM(G1:G56)</f>
        <v>7514</v>
      </c>
      <c r="H57" s="120">
        <f t="shared" si="1"/>
        <v>5273512</v>
      </c>
      <c r="I57" s="120">
        <f t="shared" si="1"/>
        <v>37604.946600000003</v>
      </c>
      <c r="J57" s="120"/>
      <c r="K57" s="120">
        <f t="shared" si="1"/>
        <v>0</v>
      </c>
      <c r="L57" s="120">
        <f t="shared" si="1"/>
        <v>2000000</v>
      </c>
      <c r="M57" s="120">
        <f t="shared" si="1"/>
        <v>35650000</v>
      </c>
      <c r="N57" s="120">
        <f t="shared" si="1"/>
        <v>1950000</v>
      </c>
      <c r="O57" s="172">
        <f t="shared" si="1"/>
        <v>1824000</v>
      </c>
      <c r="P57" s="120">
        <f t="shared" si="1"/>
        <v>0</v>
      </c>
      <c r="Q57" s="121">
        <f t="shared" si="1"/>
        <v>41424000</v>
      </c>
      <c r="R57" s="122"/>
      <c r="S57" s="241"/>
    </row>
    <row r="58" spans="1:19" s="57" customFormat="1" ht="23.4" customHeight="1">
      <c r="A58" s="268" t="s">
        <v>21</v>
      </c>
      <c r="B58" s="269"/>
      <c r="C58" s="269"/>
      <c r="D58" s="269"/>
      <c r="E58" s="269"/>
      <c r="F58" s="270"/>
      <c r="G58" s="54"/>
      <c r="H58" s="54"/>
      <c r="I58" s="54"/>
      <c r="J58" s="54"/>
      <c r="K58" s="55"/>
      <c r="L58" s="54"/>
      <c r="M58" s="54"/>
      <c r="N58" s="54"/>
      <c r="O58" s="173"/>
      <c r="P58" s="54"/>
      <c r="Q58" s="54">
        <f>8%*Q57</f>
        <v>3313920</v>
      </c>
      <c r="R58" s="123"/>
      <c r="S58" s="242"/>
    </row>
    <row r="59" spans="1:19" s="57" customFormat="1" ht="23.4" customHeight="1">
      <c r="A59" s="268" t="s">
        <v>22</v>
      </c>
      <c r="B59" s="269"/>
      <c r="C59" s="269"/>
      <c r="D59" s="269"/>
      <c r="E59" s="269"/>
      <c r="F59" s="270"/>
      <c r="G59" s="54"/>
      <c r="H59" s="54"/>
      <c r="I59" s="54"/>
      <c r="J59" s="54"/>
      <c r="K59" s="55"/>
      <c r="L59" s="54"/>
      <c r="M59" s="54"/>
      <c r="N59" s="54"/>
      <c r="O59" s="173"/>
      <c r="P59" s="54"/>
      <c r="Q59" s="54">
        <f>Q58+Q57</f>
        <v>44737920</v>
      </c>
      <c r="R59" s="123"/>
      <c r="S59" s="242"/>
    </row>
    <row r="60" spans="1:19" s="21" customFormat="1" ht="30.6" customHeight="1">
      <c r="A60" s="23"/>
      <c r="B60" s="52"/>
      <c r="C60" s="23"/>
      <c r="D60" s="23"/>
      <c r="E60" s="23"/>
      <c r="F60" s="23"/>
      <c r="G60" s="24"/>
      <c r="H60" s="24"/>
      <c r="I60" s="24"/>
      <c r="J60" s="24"/>
      <c r="K60" s="24"/>
      <c r="L60" s="24"/>
      <c r="M60" s="24"/>
      <c r="N60" s="24"/>
      <c r="O60" s="165"/>
      <c r="P60" s="24"/>
      <c r="Q60" s="24"/>
      <c r="R60" s="124"/>
      <c r="S60" s="26"/>
    </row>
    <row r="61" spans="1:19" s="21" customFormat="1" ht="24.6" customHeight="1">
      <c r="A61" s="261" t="s">
        <v>23</v>
      </c>
      <c r="B61" s="262"/>
      <c r="C61" s="262"/>
      <c r="D61" s="262"/>
      <c r="E61" s="262"/>
      <c r="F61" s="263"/>
      <c r="G61" s="27">
        <f>G57</f>
        <v>7514</v>
      </c>
      <c r="H61" s="27"/>
      <c r="I61" s="27"/>
      <c r="J61" s="27"/>
      <c r="K61" s="28">
        <f>G57+I57</f>
        <v>45118.946600000003</v>
      </c>
      <c r="L61" s="27"/>
      <c r="M61" s="27"/>
      <c r="N61" s="27"/>
      <c r="O61" s="166"/>
      <c r="P61" s="27"/>
      <c r="Q61" s="27">
        <f>L57+N57</f>
        <v>3950000</v>
      </c>
      <c r="R61" s="125">
        <f>Q61/G61</f>
        <v>525.68538727708278</v>
      </c>
      <c r="S61" s="243"/>
    </row>
    <row r="62" spans="1:19" s="21" customFormat="1" ht="24.6" customHeight="1">
      <c r="A62" s="261" t="s">
        <v>24</v>
      </c>
      <c r="B62" s="262"/>
      <c r="C62" s="262"/>
      <c r="D62" s="262"/>
      <c r="E62" s="262"/>
      <c r="F62" s="263"/>
      <c r="G62" s="27"/>
      <c r="H62" s="27"/>
      <c r="I62" s="27">
        <f>I57</f>
        <v>37604.946600000003</v>
      </c>
      <c r="J62" s="27"/>
      <c r="K62" s="27"/>
      <c r="L62" s="27"/>
      <c r="M62" s="27"/>
      <c r="N62" s="27"/>
      <c r="O62" s="166"/>
      <c r="P62" s="27"/>
      <c r="Q62" s="27">
        <f>M57+O57</f>
        <v>37474000</v>
      </c>
      <c r="R62" s="125">
        <f>Q62/I62</f>
        <v>996.51783576791456</v>
      </c>
      <c r="S62" s="243"/>
    </row>
    <row r="63" spans="1:19" s="21" customFormat="1" ht="24.6" customHeight="1">
      <c r="A63" s="261" t="s">
        <v>25</v>
      </c>
      <c r="B63" s="262"/>
      <c r="C63" s="262"/>
      <c r="D63" s="262"/>
      <c r="E63" s="262"/>
      <c r="F63" s="263"/>
      <c r="G63" s="27"/>
      <c r="H63" s="27"/>
      <c r="I63" s="27"/>
      <c r="J63" s="27"/>
      <c r="K63" s="27"/>
      <c r="L63" s="27"/>
      <c r="M63" s="27"/>
      <c r="N63" s="27"/>
      <c r="O63" s="166"/>
      <c r="P63" s="27"/>
      <c r="Q63" s="27">
        <f>P57</f>
        <v>0</v>
      </c>
      <c r="R63" s="125"/>
      <c r="S63" s="243"/>
    </row>
    <row r="64" spans="1:19">
      <c r="A64" s="31"/>
      <c r="B64" s="1"/>
      <c r="C64" s="3" t="s">
        <v>27</v>
      </c>
      <c r="D64" s="32"/>
      <c r="E64" s="33"/>
      <c r="F64" s="33"/>
      <c r="G64" s="34" t="s">
        <v>241</v>
      </c>
      <c r="I64" s="35"/>
      <c r="J64" s="35"/>
      <c r="K64" s="36"/>
      <c r="L64" s="1"/>
      <c r="M64" s="1"/>
      <c r="N64" s="1"/>
      <c r="O64" s="1"/>
      <c r="P64" s="1"/>
      <c r="Q64" s="126" t="s">
        <v>28</v>
      </c>
    </row>
    <row r="65" spans="1:19" ht="18" customHeight="1">
      <c r="B65" s="1"/>
      <c r="D65" s="32"/>
      <c r="E65" s="37"/>
      <c r="F65" s="37"/>
      <c r="G65" s="38"/>
      <c r="H65" s="34"/>
      <c r="I65" s="33"/>
      <c r="J65" s="33"/>
      <c r="K65" s="32"/>
    </row>
    <row r="66" spans="1:19" s="8" customFormat="1" ht="18" customHeight="1">
      <c r="A66" s="1"/>
      <c r="B66" s="1"/>
      <c r="C66" s="3"/>
      <c r="D66" s="3"/>
      <c r="E66" s="3"/>
      <c r="F66" s="3"/>
      <c r="G66" s="39"/>
      <c r="H66" s="4"/>
      <c r="I66" s="4"/>
      <c r="J66" s="4"/>
      <c r="O66" s="1"/>
      <c r="Q66" s="127"/>
      <c r="R66" s="116"/>
      <c r="S66" s="3"/>
    </row>
    <row r="67" spans="1:19">
      <c r="B67" s="1"/>
      <c r="E67" s="37"/>
      <c r="F67" s="37"/>
      <c r="G67" s="38"/>
      <c r="H67" s="34"/>
      <c r="I67" s="33"/>
      <c r="J67" s="33"/>
      <c r="K67" s="32"/>
    </row>
    <row r="68" spans="1:19">
      <c r="H68" s="34"/>
      <c r="Q68" s="21"/>
    </row>
    <row r="69" spans="1:19">
      <c r="C69" s="45"/>
      <c r="G69" s="34" t="str">
        <f>'[1]A VIEN'!G71</f>
        <v>Đặng Thị Mỹ Tin</v>
      </c>
      <c r="H69" s="34"/>
      <c r="Q69" s="115" t="s">
        <v>32</v>
      </c>
    </row>
    <row r="72" spans="1:19">
      <c r="R72" s="128" t="e">
        <f>+#REF!+#REF!+#REF!+#REF!+#REF!+#REF!+#REF!+#REF!+#REF!</f>
        <v>#REF!</v>
      </c>
    </row>
  </sheetData>
  <mergeCells count="53">
    <mergeCell ref="A21:A22"/>
    <mergeCell ref="B21:B22"/>
    <mergeCell ref="M21:M22"/>
    <mergeCell ref="Q21:Q22"/>
    <mergeCell ref="A25:A27"/>
    <mergeCell ref="B25:B27"/>
    <mergeCell ref="M25:M27"/>
    <mergeCell ref="Q25:Q27"/>
    <mergeCell ref="P5:P7"/>
    <mergeCell ref="E6:E7"/>
    <mergeCell ref="Q5:Q7"/>
    <mergeCell ref="A13:A15"/>
    <mergeCell ref="B13:B15"/>
    <mergeCell ref="M13:M15"/>
    <mergeCell ref="Q13:Q15"/>
    <mergeCell ref="R5:R7"/>
    <mergeCell ref="F6:F7"/>
    <mergeCell ref="H6:I6"/>
    <mergeCell ref="A1:R1"/>
    <mergeCell ref="A2:R2"/>
    <mergeCell ref="A3:R3"/>
    <mergeCell ref="A4:D4"/>
    <mergeCell ref="A5:A7"/>
    <mergeCell ref="B5:B7"/>
    <mergeCell ref="C5:C7"/>
    <mergeCell ref="D5:D7"/>
    <mergeCell ref="E5:F5"/>
    <mergeCell ref="G5:I5"/>
    <mergeCell ref="K5:K7"/>
    <mergeCell ref="L5:M6"/>
    <mergeCell ref="N5:O6"/>
    <mergeCell ref="M45:M46"/>
    <mergeCell ref="A44:A46"/>
    <mergeCell ref="B44:B46"/>
    <mergeCell ref="Q44:Q46"/>
    <mergeCell ref="A57:F57"/>
    <mergeCell ref="A51:A52"/>
    <mergeCell ref="B51:B52"/>
    <mergeCell ref="A31:A32"/>
    <mergeCell ref="B31:B32"/>
    <mergeCell ref="M31:M32"/>
    <mergeCell ref="Q31:Q32"/>
    <mergeCell ref="A41:A43"/>
    <mergeCell ref="B41:B43"/>
    <mergeCell ref="N41:N43"/>
    <mergeCell ref="Q41:Q43"/>
    <mergeCell ref="A62:F62"/>
    <mergeCell ref="A63:F63"/>
    <mergeCell ref="M51:M52"/>
    <mergeCell ref="Q51:Q52"/>
    <mergeCell ref="A58:F58"/>
    <mergeCell ref="A59:F59"/>
    <mergeCell ref="A61:F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"/>
  <sheetViews>
    <sheetView topLeftCell="C1" zoomScale="70" zoomScaleNormal="70" workbookViewId="0">
      <selection activeCell="J13" sqref="J13"/>
    </sheetView>
  </sheetViews>
  <sheetFormatPr defaultColWidth="9.109375" defaultRowHeight="13.8"/>
  <cols>
    <col min="1" max="1" width="9.21875" style="1" customWidth="1"/>
    <col min="2" max="2" width="13.77734375" style="103" customWidth="1"/>
    <col min="3" max="3" width="13.88671875" style="3" customWidth="1"/>
    <col min="4" max="4" width="22.77734375" style="3" customWidth="1"/>
    <col min="5" max="5" width="17.109375" style="41" customWidth="1"/>
    <col min="6" max="6" width="11.21875" style="42" customWidth="1"/>
    <col min="7" max="7" width="15.6640625" style="35" customWidth="1"/>
    <col min="8" max="8" width="17.44140625" style="35" customWidth="1"/>
    <col min="9" max="10" width="15.44140625" style="44" customWidth="1"/>
    <col min="11" max="11" width="13.109375" style="7" customWidth="1"/>
    <col min="12" max="13" width="16.44140625" style="7" customWidth="1"/>
    <col min="14" max="14" width="15.6640625" style="7" customWidth="1"/>
    <col min="15" max="15" width="16.6640625" style="7" customWidth="1"/>
    <col min="16" max="16" width="11.6640625" style="7" customWidth="1"/>
    <col min="17" max="17" width="16.6640625" style="129" customWidth="1"/>
    <col min="18" max="18" width="41" style="3" customWidth="1"/>
    <col min="19" max="19" width="20.88671875" style="116" customWidth="1"/>
    <col min="20" max="16384" width="9.109375" style="1"/>
  </cols>
  <sheetData>
    <row r="1" spans="1:19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</row>
    <row r="2" spans="1:19" ht="17.399999999999999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9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</row>
    <row r="4" spans="1:19">
      <c r="A4" s="325" t="s">
        <v>242</v>
      </c>
      <c r="B4" s="325"/>
      <c r="C4" s="325"/>
      <c r="D4" s="325"/>
      <c r="E4" s="3"/>
      <c r="F4" s="3"/>
      <c r="G4" s="4"/>
      <c r="H4" s="4"/>
      <c r="I4" s="6"/>
      <c r="J4" s="6"/>
    </row>
    <row r="5" spans="1:19" ht="29.25" customHeight="1">
      <c r="A5" s="291" t="s">
        <v>1</v>
      </c>
      <c r="B5" s="326" t="s">
        <v>2</v>
      </c>
      <c r="C5" s="291" t="s">
        <v>3</v>
      </c>
      <c r="D5" s="291" t="s">
        <v>4</v>
      </c>
      <c r="E5" s="291" t="s">
        <v>5</v>
      </c>
      <c r="F5" s="291"/>
      <c r="G5" s="321" t="s">
        <v>6</v>
      </c>
      <c r="H5" s="321"/>
      <c r="I5" s="321"/>
      <c r="J5" s="230"/>
      <c r="K5" s="327" t="s">
        <v>7</v>
      </c>
      <c r="L5" s="299" t="s">
        <v>8</v>
      </c>
      <c r="M5" s="300"/>
      <c r="N5" s="322" t="s">
        <v>9</v>
      </c>
      <c r="O5" s="322"/>
      <c r="P5" s="303" t="s">
        <v>10</v>
      </c>
      <c r="Q5" s="324" t="s">
        <v>11</v>
      </c>
      <c r="R5" s="313" t="s">
        <v>12</v>
      </c>
    </row>
    <row r="6" spans="1:19" ht="23.25" customHeight="1">
      <c r="A6" s="291"/>
      <c r="B6" s="326"/>
      <c r="C6" s="291"/>
      <c r="D6" s="291"/>
      <c r="E6" s="291" t="s">
        <v>13</v>
      </c>
      <c r="F6" s="291" t="s">
        <v>14</v>
      </c>
      <c r="G6" s="231" t="s">
        <v>15</v>
      </c>
      <c r="H6" s="321" t="s">
        <v>16</v>
      </c>
      <c r="I6" s="321"/>
      <c r="J6" s="230"/>
      <c r="K6" s="327"/>
      <c r="L6" s="328"/>
      <c r="M6" s="329"/>
      <c r="N6" s="322"/>
      <c r="O6" s="322"/>
      <c r="P6" s="304"/>
      <c r="Q6" s="324"/>
      <c r="R6" s="313"/>
    </row>
    <row r="7" spans="1:19" ht="22.5" customHeight="1">
      <c r="A7" s="291"/>
      <c r="B7" s="326"/>
      <c r="C7" s="291"/>
      <c r="D7" s="291"/>
      <c r="E7" s="291"/>
      <c r="F7" s="291"/>
      <c r="G7" s="231" t="s">
        <v>18</v>
      </c>
      <c r="H7" s="231" t="s">
        <v>19</v>
      </c>
      <c r="I7" s="230" t="s">
        <v>18</v>
      </c>
      <c r="J7" s="230"/>
      <c r="K7" s="327"/>
      <c r="L7" s="231" t="s">
        <v>15</v>
      </c>
      <c r="M7" s="9" t="s">
        <v>16</v>
      </c>
      <c r="N7" s="231" t="s">
        <v>15</v>
      </c>
      <c r="O7" s="90" t="s">
        <v>16</v>
      </c>
      <c r="P7" s="323"/>
      <c r="Q7" s="324"/>
      <c r="R7" s="313"/>
    </row>
    <row r="8" spans="1:19" s="77" customFormat="1" ht="27.6" customHeight="1">
      <c r="A8" s="73">
        <v>1</v>
      </c>
      <c r="B8" s="73" t="s">
        <v>189</v>
      </c>
      <c r="C8" s="244" t="s">
        <v>243</v>
      </c>
      <c r="D8" s="131" t="s">
        <v>67</v>
      </c>
      <c r="E8" s="131" t="s">
        <v>63</v>
      </c>
      <c r="F8" s="131"/>
      <c r="G8" s="228"/>
      <c r="H8" s="228">
        <f>37600+29100+5000+1400</f>
        <v>73100</v>
      </c>
      <c r="I8" s="228">
        <f>565.6706+342.7378+130+61.46</f>
        <v>1099.8684000000001</v>
      </c>
      <c r="J8" s="228"/>
      <c r="K8" s="73"/>
      <c r="L8" s="194"/>
      <c r="M8" s="107">
        <v>1050000</v>
      </c>
      <c r="N8" s="74"/>
      <c r="O8" s="74"/>
      <c r="P8" s="76"/>
      <c r="Q8" s="118">
        <f>SUM(L8:P8)</f>
        <v>1050000</v>
      </c>
      <c r="R8" s="186" t="s">
        <v>51</v>
      </c>
      <c r="S8" s="116"/>
    </row>
    <row r="9" spans="1:19" s="77" customFormat="1" ht="22.8" customHeight="1">
      <c r="A9" s="271">
        <v>2</v>
      </c>
      <c r="B9" s="271" t="s">
        <v>193</v>
      </c>
      <c r="C9" s="232" t="s">
        <v>244</v>
      </c>
      <c r="D9" s="232" t="s">
        <v>58</v>
      </c>
      <c r="E9" s="131" t="s">
        <v>61</v>
      </c>
      <c r="F9" s="131"/>
      <c r="G9" s="228"/>
      <c r="H9" s="228">
        <v>40000</v>
      </c>
      <c r="I9" s="228">
        <v>424.82760000000002</v>
      </c>
      <c r="J9" s="228"/>
      <c r="K9" s="185"/>
      <c r="L9" s="84"/>
      <c r="M9" s="311">
        <v>1150000</v>
      </c>
      <c r="N9" s="75"/>
      <c r="O9" s="75"/>
      <c r="P9" s="119"/>
      <c r="Q9" s="266">
        <f>SUM(L9:P10)</f>
        <v>1150000</v>
      </c>
      <c r="R9" s="186"/>
      <c r="S9" s="116"/>
    </row>
    <row r="10" spans="1:19" ht="24" customHeight="1">
      <c r="A10" s="272"/>
      <c r="B10" s="272"/>
      <c r="C10" s="203">
        <v>25</v>
      </c>
      <c r="D10" s="203" t="s">
        <v>47</v>
      </c>
      <c r="E10" s="11" t="s">
        <v>61</v>
      </c>
      <c r="F10" s="11"/>
      <c r="G10" s="75"/>
      <c r="H10" s="214">
        <v>316000</v>
      </c>
      <c r="I10" s="214">
        <v>963.8</v>
      </c>
      <c r="J10" s="214"/>
      <c r="K10" s="131"/>
      <c r="L10" s="84"/>
      <c r="M10" s="312"/>
      <c r="N10" s="132"/>
      <c r="O10" s="132"/>
      <c r="P10" s="76"/>
      <c r="Q10" s="267"/>
      <c r="R10" s="196"/>
    </row>
    <row r="11" spans="1:19" s="77" customFormat="1" ht="23.4" customHeight="1">
      <c r="A11" s="73">
        <v>3</v>
      </c>
      <c r="B11" s="73" t="s">
        <v>194</v>
      </c>
      <c r="C11" s="131" t="s">
        <v>245</v>
      </c>
      <c r="D11" s="131" t="s">
        <v>67</v>
      </c>
      <c r="E11" s="131" t="s">
        <v>63</v>
      </c>
      <c r="F11" s="131"/>
      <c r="G11" s="228">
        <v>120</v>
      </c>
      <c r="H11" s="228">
        <v>118400</v>
      </c>
      <c r="I11" s="228">
        <v>1460.6483000000001</v>
      </c>
      <c r="J11" s="228"/>
      <c r="K11" s="73"/>
      <c r="L11" s="74"/>
      <c r="M11" s="107">
        <v>1050000</v>
      </c>
      <c r="N11" s="74"/>
      <c r="O11" s="74"/>
      <c r="P11" s="76"/>
      <c r="Q11" s="118">
        <f t="shared" ref="Q11:Q48" si="0">SUM(L11:P11)</f>
        <v>1050000</v>
      </c>
      <c r="R11" s="196" t="s">
        <v>51</v>
      </c>
      <c r="S11" s="116"/>
    </row>
    <row r="12" spans="1:19" s="77" customFormat="1" ht="22.8" customHeight="1">
      <c r="A12" s="73">
        <v>4</v>
      </c>
      <c r="B12" s="73" t="s">
        <v>194</v>
      </c>
      <c r="C12" s="131">
        <v>12</v>
      </c>
      <c r="D12" s="131" t="s">
        <v>119</v>
      </c>
      <c r="E12" s="131" t="s">
        <v>63</v>
      </c>
      <c r="F12" s="131"/>
      <c r="G12" s="228"/>
      <c r="H12" s="228">
        <v>57000</v>
      </c>
      <c r="I12" s="228">
        <v>546</v>
      </c>
      <c r="J12" s="228"/>
      <c r="K12" s="133"/>
      <c r="L12" s="74"/>
      <c r="M12" s="107">
        <v>950000</v>
      </c>
      <c r="N12" s="76"/>
      <c r="O12" s="76"/>
      <c r="P12" s="76"/>
      <c r="Q12" s="118">
        <f t="shared" si="0"/>
        <v>950000</v>
      </c>
      <c r="R12" s="186" t="s">
        <v>53</v>
      </c>
      <c r="S12" s="116"/>
    </row>
    <row r="13" spans="1:19" s="77" customFormat="1" ht="22.8" customHeight="1">
      <c r="A13" s="271">
        <v>5</v>
      </c>
      <c r="B13" s="271" t="s">
        <v>196</v>
      </c>
      <c r="C13" s="203">
        <v>39</v>
      </c>
      <c r="D13" s="203" t="s">
        <v>246</v>
      </c>
      <c r="E13" s="11" t="s">
        <v>102</v>
      </c>
      <c r="F13" s="11"/>
      <c r="G13" s="75">
        <v>1020</v>
      </c>
      <c r="H13" s="214"/>
      <c r="I13" s="214"/>
      <c r="J13" s="214"/>
      <c r="K13" s="133"/>
      <c r="L13" s="264">
        <v>1050000</v>
      </c>
      <c r="M13" s="107"/>
      <c r="N13" s="76"/>
      <c r="O13" s="74"/>
      <c r="P13" s="76"/>
      <c r="Q13" s="266">
        <f>SUM(L13:P16)</f>
        <v>1250000</v>
      </c>
      <c r="R13" s="74"/>
      <c r="S13" s="116"/>
    </row>
    <row r="14" spans="1:19" s="77" customFormat="1" ht="24.6" customHeight="1">
      <c r="A14" s="275"/>
      <c r="B14" s="275"/>
      <c r="C14" s="11">
        <v>29</v>
      </c>
      <c r="D14" s="203" t="s">
        <v>247</v>
      </c>
      <c r="E14" s="11" t="s">
        <v>64</v>
      </c>
      <c r="F14" s="11"/>
      <c r="G14" s="132">
        <v>360</v>
      </c>
      <c r="H14" s="214"/>
      <c r="I14" s="228"/>
      <c r="J14" s="228"/>
      <c r="K14" s="133"/>
      <c r="L14" s="277"/>
      <c r="M14" s="107"/>
      <c r="N14" s="74"/>
      <c r="O14" s="74"/>
      <c r="P14" s="76"/>
      <c r="Q14" s="278"/>
      <c r="R14" s="186"/>
      <c r="S14" s="116"/>
    </row>
    <row r="15" spans="1:19" s="77" customFormat="1" ht="22.8" customHeight="1">
      <c r="A15" s="275"/>
      <c r="B15" s="275"/>
      <c r="C15" s="203">
        <v>32</v>
      </c>
      <c r="D15" s="203" t="s">
        <v>248</v>
      </c>
      <c r="E15" s="11" t="s">
        <v>48</v>
      </c>
      <c r="F15" s="11"/>
      <c r="G15" s="228">
        <v>240</v>
      </c>
      <c r="H15" s="214"/>
      <c r="I15" s="228"/>
      <c r="J15" s="228"/>
      <c r="K15" s="73"/>
      <c r="L15" s="265"/>
      <c r="M15" s="107"/>
      <c r="N15" s="76"/>
      <c r="O15" s="76"/>
      <c r="P15" s="76"/>
      <c r="Q15" s="278"/>
      <c r="R15" s="74"/>
      <c r="S15" s="116"/>
    </row>
    <row r="16" spans="1:19" s="77" customFormat="1" ht="22.8" customHeight="1">
      <c r="A16" s="272"/>
      <c r="B16" s="272"/>
      <c r="C16" s="11">
        <v>43</v>
      </c>
      <c r="D16" s="203" t="s">
        <v>249</v>
      </c>
      <c r="E16" s="11" t="s">
        <v>64</v>
      </c>
      <c r="F16" s="11"/>
      <c r="G16" s="132"/>
      <c r="H16" s="214">
        <v>56000</v>
      </c>
      <c r="I16" s="228">
        <v>443.8</v>
      </c>
      <c r="J16" s="228"/>
      <c r="K16" s="149"/>
      <c r="L16" s="204"/>
      <c r="M16" s="107">
        <v>200000</v>
      </c>
      <c r="N16" s="74"/>
      <c r="O16" s="74"/>
      <c r="P16" s="76"/>
      <c r="Q16" s="267"/>
      <c r="R16" s="133"/>
      <c r="S16" s="116"/>
    </row>
    <row r="17" spans="1:19" s="77" customFormat="1" ht="22.8" customHeight="1">
      <c r="A17" s="73">
        <v>6</v>
      </c>
      <c r="B17" s="73" t="s">
        <v>199</v>
      </c>
      <c r="C17" s="11">
        <v>12</v>
      </c>
      <c r="D17" s="203" t="s">
        <v>250</v>
      </c>
      <c r="E17" s="11" t="s">
        <v>109</v>
      </c>
      <c r="F17" s="11"/>
      <c r="G17" s="75"/>
      <c r="H17" s="228">
        <v>90000</v>
      </c>
      <c r="I17" s="228">
        <v>1105.3163999999999</v>
      </c>
      <c r="J17" s="228"/>
      <c r="K17" s="134"/>
      <c r="L17" s="107"/>
      <c r="M17" s="107">
        <v>1550000</v>
      </c>
      <c r="N17" s="74"/>
      <c r="O17" s="74"/>
      <c r="P17" s="76"/>
      <c r="Q17" s="118">
        <f t="shared" si="0"/>
        <v>1550000</v>
      </c>
      <c r="R17" s="245"/>
      <c r="S17" s="116"/>
    </row>
    <row r="18" spans="1:19" s="77" customFormat="1" ht="22.2" customHeight="1">
      <c r="A18" s="73">
        <v>7</v>
      </c>
      <c r="B18" s="73" t="s">
        <v>201</v>
      </c>
      <c r="C18" s="11">
        <v>34</v>
      </c>
      <c r="D18" s="203" t="s">
        <v>67</v>
      </c>
      <c r="E18" s="11" t="s">
        <v>63</v>
      </c>
      <c r="F18" s="11"/>
      <c r="G18" s="75"/>
      <c r="H18" s="228">
        <v>51600</v>
      </c>
      <c r="I18" s="228">
        <v>1687.32</v>
      </c>
      <c r="J18" s="228"/>
      <c r="K18" s="185"/>
      <c r="L18" s="107"/>
      <c r="M18" s="107">
        <v>1000000</v>
      </c>
      <c r="N18" s="74"/>
      <c r="O18" s="74"/>
      <c r="P18" s="76"/>
      <c r="Q18" s="118">
        <f t="shared" si="0"/>
        <v>1000000</v>
      </c>
      <c r="R18" s="167"/>
      <c r="S18" s="116"/>
    </row>
    <row r="19" spans="1:19" s="77" customFormat="1" ht="22.8" customHeight="1">
      <c r="A19" s="73">
        <v>8</v>
      </c>
      <c r="B19" s="73" t="s">
        <v>203</v>
      </c>
      <c r="C19" s="11">
        <v>41</v>
      </c>
      <c r="D19" s="11" t="s">
        <v>144</v>
      </c>
      <c r="E19" s="11" t="s">
        <v>48</v>
      </c>
      <c r="F19" s="11"/>
      <c r="G19" s="75"/>
      <c r="H19" s="214">
        <v>96000</v>
      </c>
      <c r="I19" s="214">
        <v>851.98080000000004</v>
      </c>
      <c r="J19" s="214"/>
      <c r="K19" s="185"/>
      <c r="L19" s="107"/>
      <c r="M19" s="194">
        <v>1100000</v>
      </c>
      <c r="N19" s="74"/>
      <c r="O19" s="74"/>
      <c r="P19" s="76"/>
      <c r="Q19" s="118">
        <f t="shared" si="0"/>
        <v>1100000</v>
      </c>
      <c r="R19" s="167"/>
      <c r="S19" s="116"/>
    </row>
    <row r="20" spans="1:19" s="77" customFormat="1" ht="22.8" customHeight="1">
      <c r="A20" s="271">
        <v>9</v>
      </c>
      <c r="B20" s="271" t="s">
        <v>206</v>
      </c>
      <c r="C20" s="11" t="s">
        <v>251</v>
      </c>
      <c r="D20" s="203" t="s">
        <v>58</v>
      </c>
      <c r="E20" s="11" t="s">
        <v>61</v>
      </c>
      <c r="F20" s="11"/>
      <c r="G20" s="75"/>
      <c r="H20" s="228">
        <f>18000+30000</f>
        <v>48000</v>
      </c>
      <c r="I20" s="228">
        <f>367.29+339.6</f>
        <v>706.8900000000001</v>
      </c>
      <c r="J20" s="228"/>
      <c r="K20" s="185"/>
      <c r="L20" s="107"/>
      <c r="M20" s="264">
        <v>1150000</v>
      </c>
      <c r="N20" s="74"/>
      <c r="O20" s="74"/>
      <c r="P20" s="76"/>
      <c r="Q20" s="266">
        <f>SUM(L20:P21)</f>
        <v>1150000</v>
      </c>
      <c r="R20" s="186"/>
      <c r="S20" s="116"/>
    </row>
    <row r="21" spans="1:19" s="77" customFormat="1" ht="23.4" customHeight="1">
      <c r="A21" s="272"/>
      <c r="B21" s="272"/>
      <c r="C21" s="11">
        <v>29</v>
      </c>
      <c r="D21" s="11" t="s">
        <v>47</v>
      </c>
      <c r="E21" s="11" t="s">
        <v>61</v>
      </c>
      <c r="F21" s="11"/>
      <c r="G21" s="75"/>
      <c r="H21" s="214">
        <v>380000</v>
      </c>
      <c r="I21" s="214">
        <v>532</v>
      </c>
      <c r="J21" s="214"/>
      <c r="K21" s="134"/>
      <c r="L21" s="107"/>
      <c r="M21" s="265"/>
      <c r="N21" s="74"/>
      <c r="O21" s="74"/>
      <c r="P21" s="76"/>
      <c r="Q21" s="267"/>
      <c r="R21" s="186"/>
      <c r="S21" s="116"/>
    </row>
    <row r="22" spans="1:19" s="77" customFormat="1" ht="23.4" customHeight="1">
      <c r="A22" s="73">
        <v>10</v>
      </c>
      <c r="B22" s="73" t="s">
        <v>206</v>
      </c>
      <c r="C22" s="11" t="s">
        <v>252</v>
      </c>
      <c r="D22" s="11" t="s">
        <v>253</v>
      </c>
      <c r="E22" s="11" t="s">
        <v>45</v>
      </c>
      <c r="F22" s="11"/>
      <c r="G22" s="75"/>
      <c r="H22" s="214">
        <v>56400</v>
      </c>
      <c r="I22" s="214">
        <v>1570.44</v>
      </c>
      <c r="J22" s="214"/>
      <c r="K22" s="134"/>
      <c r="L22" s="107"/>
      <c r="M22" s="74">
        <v>1100000</v>
      </c>
      <c r="N22" s="74"/>
      <c r="O22" s="74">
        <v>260000</v>
      </c>
      <c r="P22" s="76"/>
      <c r="Q22" s="118">
        <f t="shared" si="0"/>
        <v>1360000</v>
      </c>
      <c r="R22" s="219" t="s">
        <v>254</v>
      </c>
      <c r="S22" s="116"/>
    </row>
    <row r="23" spans="1:19" s="77" customFormat="1" ht="30.6" customHeight="1">
      <c r="A23" s="73">
        <v>11</v>
      </c>
      <c r="B23" s="73" t="s">
        <v>207</v>
      </c>
      <c r="C23" s="203" t="s">
        <v>255</v>
      </c>
      <c r="D23" s="203" t="s">
        <v>90</v>
      </c>
      <c r="E23" s="11" t="s">
        <v>45</v>
      </c>
      <c r="F23" s="11"/>
      <c r="G23" s="75"/>
      <c r="H23" s="214">
        <v>112650</v>
      </c>
      <c r="I23" s="214">
        <v>1387.1238000000001</v>
      </c>
      <c r="J23" s="214"/>
      <c r="K23" s="185"/>
      <c r="L23" s="107"/>
      <c r="M23" s="74">
        <v>1150000</v>
      </c>
      <c r="N23" s="74"/>
      <c r="O23" s="74">
        <v>575000</v>
      </c>
      <c r="P23" s="76"/>
      <c r="Q23" s="118">
        <f t="shared" si="0"/>
        <v>1725000</v>
      </c>
      <c r="R23" s="217" t="s">
        <v>256</v>
      </c>
      <c r="S23" s="116"/>
    </row>
    <row r="24" spans="1:19" s="77" customFormat="1" ht="31.2" customHeight="1">
      <c r="A24" s="271">
        <v>12</v>
      </c>
      <c r="B24" s="271" t="s">
        <v>210</v>
      </c>
      <c r="C24" s="203">
        <v>17</v>
      </c>
      <c r="D24" s="203" t="s">
        <v>78</v>
      </c>
      <c r="E24" s="11" t="s">
        <v>66</v>
      </c>
      <c r="F24" s="11"/>
      <c r="G24" s="75"/>
      <c r="H24" s="214">
        <v>16830</v>
      </c>
      <c r="I24" s="214">
        <v>519.20550000000003</v>
      </c>
      <c r="J24" s="214"/>
      <c r="K24" s="134"/>
      <c r="L24" s="107"/>
      <c r="M24" s="264">
        <v>1200000</v>
      </c>
      <c r="N24" s="74"/>
      <c r="O24" s="74">
        <v>300000</v>
      </c>
      <c r="P24" s="76"/>
      <c r="Q24" s="266">
        <f>SUM(L24:P25)</f>
        <v>1500000</v>
      </c>
      <c r="R24" s="217" t="s">
        <v>257</v>
      </c>
      <c r="S24" s="116"/>
    </row>
    <row r="25" spans="1:19" s="77" customFormat="1" ht="22.8" customHeight="1">
      <c r="A25" s="272"/>
      <c r="B25" s="272"/>
      <c r="C25" s="203">
        <v>16</v>
      </c>
      <c r="D25" s="203" t="s">
        <v>78</v>
      </c>
      <c r="E25" s="11" t="s">
        <v>48</v>
      </c>
      <c r="F25" s="11"/>
      <c r="G25" s="75"/>
      <c r="H25" s="214">
        <v>16500</v>
      </c>
      <c r="I25" s="214">
        <v>509.02499999999998</v>
      </c>
      <c r="J25" s="214"/>
      <c r="K25" s="134"/>
      <c r="L25" s="74"/>
      <c r="M25" s="265"/>
      <c r="N25" s="74"/>
      <c r="O25" s="74"/>
      <c r="P25" s="76"/>
      <c r="Q25" s="267"/>
      <c r="R25" s="160"/>
      <c r="S25" s="116"/>
    </row>
    <row r="26" spans="1:19" s="77" customFormat="1" ht="22.8" customHeight="1">
      <c r="A26" s="73">
        <v>13</v>
      </c>
      <c r="B26" s="73" t="s">
        <v>215</v>
      </c>
      <c r="C26" s="232">
        <v>4</v>
      </c>
      <c r="D26" s="232" t="s">
        <v>123</v>
      </c>
      <c r="E26" s="131" t="s">
        <v>62</v>
      </c>
      <c r="F26" s="131"/>
      <c r="G26" s="228"/>
      <c r="H26" s="228">
        <v>64200</v>
      </c>
      <c r="I26" s="228">
        <v>1278.6665</v>
      </c>
      <c r="J26" s="228"/>
      <c r="K26" s="135"/>
      <c r="L26" s="74"/>
      <c r="M26" s="74">
        <v>1100000</v>
      </c>
      <c r="N26" s="74"/>
      <c r="O26" s="74"/>
      <c r="P26" s="76"/>
      <c r="Q26" s="118">
        <f t="shared" si="0"/>
        <v>1100000</v>
      </c>
      <c r="R26" s="186"/>
      <c r="S26" s="116"/>
    </row>
    <row r="27" spans="1:19" s="77" customFormat="1" ht="25.8" customHeight="1">
      <c r="A27" s="271">
        <v>14</v>
      </c>
      <c r="B27" s="271" t="s">
        <v>217</v>
      </c>
      <c r="C27" s="203">
        <v>19</v>
      </c>
      <c r="D27" s="203" t="s">
        <v>116</v>
      </c>
      <c r="E27" s="11" t="s">
        <v>64</v>
      </c>
      <c r="F27" s="11"/>
      <c r="G27" s="75"/>
      <c r="H27" s="214">
        <v>115000</v>
      </c>
      <c r="I27" s="214">
        <v>307.97449999999998</v>
      </c>
      <c r="J27" s="214"/>
      <c r="K27" s="135"/>
      <c r="L27" s="74"/>
      <c r="M27" s="264">
        <v>1200000</v>
      </c>
      <c r="N27" s="74"/>
      <c r="O27" s="74"/>
      <c r="P27" s="76"/>
      <c r="Q27" s="266">
        <f>SUM(L27:P29)</f>
        <v>1200000</v>
      </c>
      <c r="R27" s="160"/>
      <c r="S27" s="116"/>
    </row>
    <row r="28" spans="1:19" s="77" customFormat="1" ht="25.8" customHeight="1">
      <c r="A28" s="275"/>
      <c r="B28" s="275"/>
      <c r="C28" s="203">
        <v>29</v>
      </c>
      <c r="D28" s="203" t="s">
        <v>116</v>
      </c>
      <c r="E28" s="11" t="s">
        <v>48</v>
      </c>
      <c r="F28" s="11"/>
      <c r="G28" s="75"/>
      <c r="H28" s="214">
        <v>47000</v>
      </c>
      <c r="I28" s="214">
        <v>269.73250000000002</v>
      </c>
      <c r="J28" s="214"/>
      <c r="K28" s="134"/>
      <c r="L28" s="74"/>
      <c r="M28" s="277"/>
      <c r="N28" s="74"/>
      <c r="O28" s="74"/>
      <c r="P28" s="76"/>
      <c r="Q28" s="278"/>
      <c r="R28" s="196"/>
      <c r="S28" s="116"/>
    </row>
    <row r="29" spans="1:19" s="77" customFormat="1" ht="25.2" customHeight="1">
      <c r="A29" s="272"/>
      <c r="B29" s="272"/>
      <c r="C29" s="203">
        <v>20</v>
      </c>
      <c r="D29" s="203" t="s">
        <v>58</v>
      </c>
      <c r="E29" s="11" t="s">
        <v>46</v>
      </c>
      <c r="F29" s="11"/>
      <c r="G29" s="75"/>
      <c r="H29" s="214">
        <v>83000</v>
      </c>
      <c r="I29" s="214">
        <v>748.32420000000002</v>
      </c>
      <c r="J29" s="214"/>
      <c r="K29" s="134"/>
      <c r="L29" s="74"/>
      <c r="M29" s="265"/>
      <c r="N29" s="74"/>
      <c r="O29" s="74"/>
      <c r="P29" s="76"/>
      <c r="Q29" s="267"/>
      <c r="R29" s="196"/>
      <c r="S29" s="116"/>
    </row>
    <row r="30" spans="1:19" s="77" customFormat="1" ht="25.2" customHeight="1">
      <c r="A30" s="73">
        <v>15</v>
      </c>
      <c r="B30" s="73" t="s">
        <v>218</v>
      </c>
      <c r="C30" s="11">
        <v>5</v>
      </c>
      <c r="D30" s="203" t="s">
        <v>80</v>
      </c>
      <c r="E30" s="11" t="s">
        <v>73</v>
      </c>
      <c r="F30" s="11"/>
      <c r="G30" s="75"/>
      <c r="H30" s="228">
        <v>44610</v>
      </c>
      <c r="I30" s="228">
        <v>1068.3534</v>
      </c>
      <c r="J30" s="228"/>
      <c r="K30" s="149"/>
      <c r="L30" s="74"/>
      <c r="M30" s="74">
        <v>1850000</v>
      </c>
      <c r="N30" s="74"/>
      <c r="O30" s="74">
        <v>50000</v>
      </c>
      <c r="P30" s="76"/>
      <c r="Q30" s="118">
        <f t="shared" si="0"/>
        <v>1900000</v>
      </c>
      <c r="R30" s="219" t="s">
        <v>258</v>
      </c>
      <c r="S30" s="116"/>
    </row>
    <row r="31" spans="1:19" s="77" customFormat="1" ht="22.8" customHeight="1">
      <c r="A31" s="73">
        <v>16</v>
      </c>
      <c r="B31" s="73" t="s">
        <v>259</v>
      </c>
      <c r="C31" s="11">
        <v>46</v>
      </c>
      <c r="D31" s="11" t="s">
        <v>144</v>
      </c>
      <c r="E31" s="11" t="s">
        <v>48</v>
      </c>
      <c r="F31" s="11"/>
      <c r="G31" s="75"/>
      <c r="H31" s="228">
        <v>96000</v>
      </c>
      <c r="I31" s="228">
        <v>835.2</v>
      </c>
      <c r="J31" s="228"/>
      <c r="K31" s="134"/>
      <c r="L31" s="74"/>
      <c r="M31" s="74">
        <v>1100000</v>
      </c>
      <c r="N31" s="74"/>
      <c r="O31" s="74"/>
      <c r="P31" s="76"/>
      <c r="Q31" s="118">
        <f t="shared" si="0"/>
        <v>1100000</v>
      </c>
      <c r="R31" s="160" t="s">
        <v>260</v>
      </c>
      <c r="S31" s="116"/>
    </row>
    <row r="32" spans="1:19" s="77" customFormat="1" ht="22.8" customHeight="1">
      <c r="A32" s="271">
        <v>17</v>
      </c>
      <c r="B32" s="271" t="s">
        <v>221</v>
      </c>
      <c r="C32" s="203">
        <v>3</v>
      </c>
      <c r="D32" s="203" t="s">
        <v>80</v>
      </c>
      <c r="E32" s="11" t="s">
        <v>73</v>
      </c>
      <c r="F32" s="11"/>
      <c r="G32" s="75"/>
      <c r="H32" s="214">
        <v>21160</v>
      </c>
      <c r="I32" s="214">
        <v>484.06880000000001</v>
      </c>
      <c r="J32" s="214"/>
      <c r="K32" s="134"/>
      <c r="L32" s="74"/>
      <c r="M32" s="264">
        <v>1950000</v>
      </c>
      <c r="N32" s="74"/>
      <c r="O32" s="74"/>
      <c r="P32" s="76"/>
      <c r="Q32" s="266">
        <f>SUM(L32:P33)</f>
        <v>1950000</v>
      </c>
      <c r="R32" s="186" t="s">
        <v>51</v>
      </c>
      <c r="S32" s="116"/>
    </row>
    <row r="33" spans="1:19" s="77" customFormat="1" ht="22.2" customHeight="1">
      <c r="A33" s="272"/>
      <c r="B33" s="272"/>
      <c r="C33" s="203">
        <v>29</v>
      </c>
      <c r="D33" s="203" t="s">
        <v>58</v>
      </c>
      <c r="E33" s="11" t="s">
        <v>61</v>
      </c>
      <c r="F33" s="11"/>
      <c r="G33" s="75"/>
      <c r="H33" s="214">
        <v>19200</v>
      </c>
      <c r="I33" s="214">
        <v>391.77600000000001</v>
      </c>
      <c r="J33" s="214"/>
      <c r="K33" s="134"/>
      <c r="L33" s="74"/>
      <c r="M33" s="265"/>
      <c r="N33" s="74"/>
      <c r="O33" s="74"/>
      <c r="P33" s="76"/>
      <c r="Q33" s="267"/>
      <c r="R33" s="196"/>
      <c r="S33" s="116"/>
    </row>
    <row r="34" spans="1:19" s="77" customFormat="1" ht="23.4" customHeight="1">
      <c r="A34" s="271">
        <v>18</v>
      </c>
      <c r="B34" s="271" t="s">
        <v>223</v>
      </c>
      <c r="C34" s="203">
        <v>36</v>
      </c>
      <c r="D34" s="203" t="s">
        <v>115</v>
      </c>
      <c r="E34" s="11" t="s">
        <v>62</v>
      </c>
      <c r="F34" s="11"/>
      <c r="G34" s="75"/>
      <c r="H34" s="214">
        <v>20000</v>
      </c>
      <c r="I34" s="214">
        <v>225.82499999999999</v>
      </c>
      <c r="J34" s="214"/>
      <c r="K34" s="185"/>
      <c r="L34" s="74"/>
      <c r="M34" s="264">
        <v>1200000</v>
      </c>
      <c r="N34" s="74"/>
      <c r="O34" s="74"/>
      <c r="P34" s="76"/>
      <c r="Q34" s="266">
        <f>SUM(L34:P35)</f>
        <v>1200000</v>
      </c>
      <c r="R34" s="133"/>
      <c r="S34" s="116"/>
    </row>
    <row r="35" spans="1:19" s="77" customFormat="1" ht="24.6" customHeight="1">
      <c r="A35" s="272"/>
      <c r="B35" s="272"/>
      <c r="C35" s="203">
        <v>27</v>
      </c>
      <c r="D35" s="203" t="s">
        <v>86</v>
      </c>
      <c r="E35" s="11" t="s">
        <v>45</v>
      </c>
      <c r="F35" s="131"/>
      <c r="G35" s="132"/>
      <c r="H35" s="214">
        <v>122400</v>
      </c>
      <c r="I35" s="214">
        <v>732.56399999999996</v>
      </c>
      <c r="J35" s="214"/>
      <c r="K35" s="134"/>
      <c r="L35" s="74"/>
      <c r="M35" s="265"/>
      <c r="N35" s="74"/>
      <c r="O35" s="74"/>
      <c r="P35" s="76"/>
      <c r="Q35" s="267"/>
      <c r="R35" s="133"/>
      <c r="S35" s="218"/>
    </row>
    <row r="36" spans="1:19" s="77" customFormat="1" ht="23.4" customHeight="1">
      <c r="A36" s="73">
        <v>19</v>
      </c>
      <c r="B36" s="73" t="s">
        <v>226</v>
      </c>
      <c r="C36" s="203">
        <v>1</v>
      </c>
      <c r="D36" s="203" t="s">
        <v>55</v>
      </c>
      <c r="E36" s="11" t="s">
        <v>71</v>
      </c>
      <c r="F36" s="11"/>
      <c r="G36" s="75"/>
      <c r="H36" s="214">
        <v>15760</v>
      </c>
      <c r="I36" s="228">
        <v>795.11</v>
      </c>
      <c r="J36" s="228"/>
      <c r="K36" s="185"/>
      <c r="L36" s="74"/>
      <c r="M36" s="74">
        <v>1100000</v>
      </c>
      <c r="N36" s="74"/>
      <c r="O36" s="74"/>
      <c r="P36" s="76"/>
      <c r="Q36" s="118">
        <f t="shared" si="0"/>
        <v>1100000</v>
      </c>
      <c r="R36" s="186"/>
      <c r="S36" s="116"/>
    </row>
    <row r="37" spans="1:19" s="77" customFormat="1" ht="22.8" customHeight="1">
      <c r="A37" s="73">
        <v>20</v>
      </c>
      <c r="B37" s="73" t="s">
        <v>227</v>
      </c>
      <c r="C37" s="232" t="s">
        <v>261</v>
      </c>
      <c r="D37" s="203" t="s">
        <v>90</v>
      </c>
      <c r="E37" s="11" t="s">
        <v>66</v>
      </c>
      <c r="F37" s="131"/>
      <c r="G37" s="228"/>
      <c r="H37" s="228">
        <f>70600+623000</f>
        <v>693600</v>
      </c>
      <c r="I37" s="228">
        <f>979.5261+901.8738</f>
        <v>1881.3998999999999</v>
      </c>
      <c r="J37" s="228"/>
      <c r="K37" s="134"/>
      <c r="L37" s="74"/>
      <c r="M37" s="74">
        <v>1150000</v>
      </c>
      <c r="N37" s="74"/>
      <c r="O37" s="74"/>
      <c r="P37" s="76"/>
      <c r="Q37" s="118">
        <f t="shared" si="0"/>
        <v>1150000</v>
      </c>
      <c r="R37" s="160"/>
      <c r="S37" s="116"/>
    </row>
    <row r="38" spans="1:19" s="77" customFormat="1" ht="34.200000000000003" customHeight="1">
      <c r="A38" s="73">
        <v>21</v>
      </c>
      <c r="B38" s="73" t="s">
        <v>229</v>
      </c>
      <c r="C38" s="203" t="s">
        <v>262</v>
      </c>
      <c r="D38" s="203" t="s">
        <v>89</v>
      </c>
      <c r="E38" s="11" t="s">
        <v>85</v>
      </c>
      <c r="F38" s="11"/>
      <c r="G38" s="75"/>
      <c r="H38" s="214">
        <v>91800</v>
      </c>
      <c r="I38" s="214">
        <v>1141.6418000000001</v>
      </c>
      <c r="J38" s="214"/>
      <c r="K38" s="134"/>
      <c r="L38" s="74"/>
      <c r="M38" s="74">
        <v>1100000</v>
      </c>
      <c r="N38" s="74"/>
      <c r="O38" s="74">
        <v>300000</v>
      </c>
      <c r="P38" s="76"/>
      <c r="Q38" s="118">
        <f t="shared" si="0"/>
        <v>1400000</v>
      </c>
      <c r="R38" s="187" t="s">
        <v>263</v>
      </c>
      <c r="S38" s="116"/>
    </row>
    <row r="39" spans="1:19" s="77" customFormat="1" ht="24.6" customHeight="1">
      <c r="A39" s="73">
        <v>22</v>
      </c>
      <c r="B39" s="73" t="s">
        <v>229</v>
      </c>
      <c r="C39" s="203">
        <v>42</v>
      </c>
      <c r="D39" s="203" t="s">
        <v>148</v>
      </c>
      <c r="E39" s="11" t="s">
        <v>48</v>
      </c>
      <c r="F39" s="11"/>
      <c r="G39" s="75"/>
      <c r="H39" s="214">
        <v>96000</v>
      </c>
      <c r="I39" s="228">
        <v>835.2</v>
      </c>
      <c r="J39" s="228"/>
      <c r="K39" s="134"/>
      <c r="L39" s="74"/>
      <c r="M39" s="74">
        <v>1050000</v>
      </c>
      <c r="N39" s="74"/>
      <c r="O39" s="74">
        <v>200000</v>
      </c>
      <c r="P39" s="76"/>
      <c r="Q39" s="118">
        <f t="shared" si="0"/>
        <v>1250000</v>
      </c>
      <c r="R39" s="130" t="s">
        <v>100</v>
      </c>
      <c r="S39" s="116"/>
    </row>
    <row r="40" spans="1:19" s="77" customFormat="1" ht="24.6" customHeight="1">
      <c r="A40" s="73">
        <v>23</v>
      </c>
      <c r="B40" s="73" t="s">
        <v>231</v>
      </c>
      <c r="C40" s="203">
        <v>4</v>
      </c>
      <c r="D40" s="203" t="s">
        <v>192</v>
      </c>
      <c r="E40" s="11" t="s">
        <v>48</v>
      </c>
      <c r="F40" s="11"/>
      <c r="G40" s="75">
        <v>2027</v>
      </c>
      <c r="H40" s="214"/>
      <c r="I40" s="132"/>
      <c r="J40" s="132"/>
      <c r="K40" s="134"/>
      <c r="L40" s="74">
        <v>1100000</v>
      </c>
      <c r="M40" s="74"/>
      <c r="N40" s="74"/>
      <c r="O40" s="74"/>
      <c r="P40" s="76"/>
      <c r="Q40" s="118">
        <f t="shared" si="0"/>
        <v>1100000</v>
      </c>
      <c r="R40" s="186"/>
      <c r="S40" s="116"/>
    </row>
    <row r="41" spans="1:19" s="77" customFormat="1" ht="25.2" customHeight="1">
      <c r="A41" s="73">
        <v>24</v>
      </c>
      <c r="B41" s="73" t="s">
        <v>233</v>
      </c>
      <c r="C41" s="203" t="s">
        <v>172</v>
      </c>
      <c r="D41" s="203" t="s">
        <v>153</v>
      </c>
      <c r="E41" s="11" t="s">
        <v>69</v>
      </c>
      <c r="F41" s="11"/>
      <c r="G41" s="75">
        <v>2292</v>
      </c>
      <c r="H41" s="214"/>
      <c r="I41" s="214"/>
      <c r="J41" s="214"/>
      <c r="K41" s="134"/>
      <c r="L41" s="74">
        <v>550000</v>
      </c>
      <c r="M41" s="74"/>
      <c r="N41" s="74"/>
      <c r="O41" s="74"/>
      <c r="P41" s="76"/>
      <c r="Q41" s="118">
        <f t="shared" si="0"/>
        <v>550000</v>
      </c>
      <c r="R41" s="196"/>
      <c r="S41" s="116"/>
    </row>
    <row r="42" spans="1:19" s="77" customFormat="1" ht="22.8" customHeight="1">
      <c r="A42" s="73">
        <v>25</v>
      </c>
      <c r="B42" s="73" t="s">
        <v>233</v>
      </c>
      <c r="C42" s="203" t="s">
        <v>264</v>
      </c>
      <c r="D42" s="203" t="s">
        <v>123</v>
      </c>
      <c r="E42" s="11" t="s">
        <v>62</v>
      </c>
      <c r="F42" s="11"/>
      <c r="G42" s="75"/>
      <c r="H42" s="214">
        <f>12300+28340</f>
        <v>40640</v>
      </c>
      <c r="I42" s="214">
        <f>393.6+528.1759</f>
        <v>921.77589999999998</v>
      </c>
      <c r="J42" s="214"/>
      <c r="K42" s="134"/>
      <c r="L42" s="74"/>
      <c r="M42" s="74">
        <v>1100000</v>
      </c>
      <c r="N42" s="74"/>
      <c r="O42" s="74"/>
      <c r="P42" s="76"/>
      <c r="Q42" s="118">
        <f t="shared" si="0"/>
        <v>1100000</v>
      </c>
      <c r="R42" s="160" t="s">
        <v>104</v>
      </c>
      <c r="S42" s="116"/>
    </row>
    <row r="43" spans="1:19" s="77" customFormat="1" ht="22.8" customHeight="1">
      <c r="A43" s="73">
        <v>26</v>
      </c>
      <c r="B43" s="73" t="s">
        <v>234</v>
      </c>
      <c r="C43" s="203" t="s">
        <v>103</v>
      </c>
      <c r="D43" s="203" t="s">
        <v>60</v>
      </c>
      <c r="E43" s="11" t="s">
        <v>85</v>
      </c>
      <c r="F43" s="11"/>
      <c r="G43" s="75"/>
      <c r="H43" s="214">
        <v>67850</v>
      </c>
      <c r="I43" s="214">
        <v>1391.0533</v>
      </c>
      <c r="J43" s="214"/>
      <c r="K43" s="134"/>
      <c r="L43" s="74"/>
      <c r="M43" s="74">
        <v>1150000</v>
      </c>
      <c r="N43" s="74"/>
      <c r="O43" s="74"/>
      <c r="P43" s="76"/>
      <c r="Q43" s="118">
        <f t="shared" si="0"/>
        <v>1150000</v>
      </c>
      <c r="R43" s="160" t="s">
        <v>51</v>
      </c>
      <c r="S43" s="116"/>
    </row>
    <row r="44" spans="1:19" s="77" customFormat="1" ht="22.8" customHeight="1">
      <c r="A44" s="73">
        <v>27</v>
      </c>
      <c r="B44" s="73" t="s">
        <v>235</v>
      </c>
      <c r="C44" s="203" t="s">
        <v>265</v>
      </c>
      <c r="D44" s="203" t="s">
        <v>58</v>
      </c>
      <c r="E44" s="11" t="s">
        <v>61</v>
      </c>
      <c r="F44" s="11"/>
      <c r="G44" s="75"/>
      <c r="H44" s="214">
        <f>44900+21000+15600</f>
        <v>81500</v>
      </c>
      <c r="I44" s="214">
        <f>889.572+231.5393+265.2432</f>
        <v>1386.3544999999999</v>
      </c>
      <c r="J44" s="214"/>
      <c r="K44" s="134"/>
      <c r="L44" s="74"/>
      <c r="M44" s="74">
        <v>1100000</v>
      </c>
      <c r="N44" s="74"/>
      <c r="O44" s="74"/>
      <c r="P44" s="76"/>
      <c r="Q44" s="118">
        <f t="shared" si="0"/>
        <v>1100000</v>
      </c>
      <c r="R44" s="112"/>
      <c r="S44" s="116"/>
    </row>
    <row r="45" spans="1:19" s="77" customFormat="1" ht="22.8" customHeight="1">
      <c r="A45" s="73">
        <v>28</v>
      </c>
      <c r="B45" s="73" t="s">
        <v>235</v>
      </c>
      <c r="C45" s="203">
        <v>29</v>
      </c>
      <c r="D45" s="203" t="s">
        <v>119</v>
      </c>
      <c r="E45" s="11" t="s">
        <v>63</v>
      </c>
      <c r="F45" s="11"/>
      <c r="G45" s="75"/>
      <c r="H45" s="214">
        <v>72000</v>
      </c>
      <c r="I45" s="228">
        <v>432</v>
      </c>
      <c r="J45" s="228"/>
      <c r="K45" s="134"/>
      <c r="L45" s="74"/>
      <c r="M45" s="74">
        <v>950000</v>
      </c>
      <c r="N45" s="74"/>
      <c r="O45" s="74"/>
      <c r="P45" s="76"/>
      <c r="Q45" s="118">
        <f t="shared" si="0"/>
        <v>950000</v>
      </c>
      <c r="R45" s="112" t="s">
        <v>53</v>
      </c>
      <c r="S45" s="116"/>
    </row>
    <row r="46" spans="1:19" s="77" customFormat="1" ht="22.8" customHeight="1">
      <c r="A46" s="271">
        <v>29</v>
      </c>
      <c r="B46" s="271" t="s">
        <v>236</v>
      </c>
      <c r="C46" s="203">
        <v>15</v>
      </c>
      <c r="D46" s="203" t="s">
        <v>101</v>
      </c>
      <c r="E46" s="11" t="s">
        <v>62</v>
      </c>
      <c r="F46" s="11"/>
      <c r="G46" s="75">
        <v>600</v>
      </c>
      <c r="H46" s="214"/>
      <c r="I46" s="228"/>
      <c r="J46" s="228"/>
      <c r="K46" s="134"/>
      <c r="L46" s="74">
        <v>350000</v>
      </c>
      <c r="M46" s="74"/>
      <c r="N46" s="74"/>
      <c r="O46" s="74"/>
      <c r="P46" s="76"/>
      <c r="Q46" s="266">
        <f>SUM(L46:P47)</f>
        <v>1200000</v>
      </c>
      <c r="R46" s="112" t="s">
        <v>51</v>
      </c>
      <c r="S46" s="116"/>
    </row>
    <row r="47" spans="1:19" s="77" customFormat="1" ht="22.8" customHeight="1">
      <c r="A47" s="272"/>
      <c r="B47" s="272"/>
      <c r="C47" s="203" t="s">
        <v>266</v>
      </c>
      <c r="D47" s="203" t="s">
        <v>267</v>
      </c>
      <c r="E47" s="11" t="s">
        <v>268</v>
      </c>
      <c r="F47" s="11"/>
      <c r="G47" s="75"/>
      <c r="H47" s="214">
        <v>80000</v>
      </c>
      <c r="I47" s="214">
        <v>457.6</v>
      </c>
      <c r="J47" s="214"/>
      <c r="K47" s="134"/>
      <c r="L47" s="74"/>
      <c r="M47" s="74">
        <v>850000</v>
      </c>
      <c r="N47" s="74"/>
      <c r="O47" s="74"/>
      <c r="P47" s="76"/>
      <c r="Q47" s="267"/>
      <c r="R47" s="112"/>
      <c r="S47" s="116"/>
    </row>
    <row r="48" spans="1:19" s="77" customFormat="1" ht="22.8" customHeight="1">
      <c r="A48" s="246">
        <v>30</v>
      </c>
      <c r="B48" s="73" t="s">
        <v>239</v>
      </c>
      <c r="C48" s="203" t="s">
        <v>269</v>
      </c>
      <c r="D48" s="203" t="s">
        <v>116</v>
      </c>
      <c r="E48" s="11" t="s">
        <v>48</v>
      </c>
      <c r="F48" s="11"/>
      <c r="G48" s="75"/>
      <c r="H48" s="214">
        <v>82860</v>
      </c>
      <c r="I48" s="214">
        <v>984.1404</v>
      </c>
      <c r="J48" s="214"/>
      <c r="K48" s="134"/>
      <c r="L48" s="74"/>
      <c r="M48" s="74">
        <v>1150000</v>
      </c>
      <c r="N48" s="74"/>
      <c r="O48" s="74"/>
      <c r="P48" s="76"/>
      <c r="Q48" s="118">
        <f t="shared" si="0"/>
        <v>1150000</v>
      </c>
      <c r="R48" s="130" t="s">
        <v>51</v>
      </c>
      <c r="S48" s="116"/>
    </row>
    <row r="49" spans="1:19" s="77" customFormat="1" ht="32.4" customHeight="1">
      <c r="A49" s="314">
        <v>31</v>
      </c>
      <c r="B49" s="314" t="s">
        <v>240</v>
      </c>
      <c r="C49" s="203">
        <v>5</v>
      </c>
      <c r="D49" s="203" t="s">
        <v>47</v>
      </c>
      <c r="E49" s="11" t="s">
        <v>61</v>
      </c>
      <c r="F49" s="11"/>
      <c r="G49" s="75"/>
      <c r="H49" s="214">
        <v>20400</v>
      </c>
      <c r="I49" s="228">
        <v>442.68</v>
      </c>
      <c r="J49" s="228"/>
      <c r="K49" s="134"/>
      <c r="L49" s="74"/>
      <c r="M49" s="317">
        <v>1150000</v>
      </c>
      <c r="N49" s="74"/>
      <c r="O49" s="74">
        <v>550000</v>
      </c>
      <c r="P49" s="74"/>
      <c r="Q49" s="319">
        <f>SUM(L49:P50)</f>
        <v>1700000</v>
      </c>
      <c r="R49" s="188" t="s">
        <v>270</v>
      </c>
      <c r="S49" s="116"/>
    </row>
    <row r="50" spans="1:19" s="77" customFormat="1" ht="22.8" customHeight="1">
      <c r="A50" s="315"/>
      <c r="B50" s="316"/>
      <c r="C50" s="203">
        <v>15</v>
      </c>
      <c r="D50" s="203" t="s">
        <v>55</v>
      </c>
      <c r="E50" s="11" t="s">
        <v>71</v>
      </c>
      <c r="F50" s="11"/>
      <c r="G50" s="75"/>
      <c r="H50" s="214">
        <v>14460</v>
      </c>
      <c r="I50" s="214">
        <v>413.82600000000002</v>
      </c>
      <c r="J50" s="214"/>
      <c r="K50" s="134"/>
      <c r="L50" s="74"/>
      <c r="M50" s="318"/>
      <c r="N50" s="74"/>
      <c r="O50" s="74"/>
      <c r="P50" s="74"/>
      <c r="Q50" s="320"/>
      <c r="R50" s="130"/>
      <c r="S50" s="116"/>
    </row>
    <row r="51" spans="1:19" s="77" customFormat="1" ht="25.8" customHeight="1">
      <c r="A51" s="246">
        <v>32</v>
      </c>
      <c r="B51" s="73" t="s">
        <v>240</v>
      </c>
      <c r="C51" s="203" t="s">
        <v>155</v>
      </c>
      <c r="D51" s="203" t="s">
        <v>93</v>
      </c>
      <c r="E51" s="11" t="s">
        <v>46</v>
      </c>
      <c r="F51" s="11"/>
      <c r="G51" s="75"/>
      <c r="H51" s="214"/>
      <c r="I51" s="247"/>
      <c r="J51" s="247"/>
      <c r="K51" s="134"/>
      <c r="L51" s="74"/>
      <c r="M51" s="248">
        <v>1000000</v>
      </c>
      <c r="N51" s="74"/>
      <c r="O51" s="74"/>
      <c r="P51" s="76"/>
      <c r="Q51" s="118">
        <f t="shared" ref="Q51" si="1">SUM(L51:P51)</f>
        <v>1000000</v>
      </c>
      <c r="R51" s="130" t="s">
        <v>271</v>
      </c>
      <c r="S51" s="116"/>
    </row>
    <row r="52" spans="1:19" s="21" customFormat="1" ht="22.2" customHeight="1">
      <c r="A52" s="308" t="s">
        <v>20</v>
      </c>
      <c r="B52" s="308"/>
      <c r="C52" s="308"/>
      <c r="D52" s="308"/>
      <c r="E52" s="308"/>
      <c r="F52" s="308"/>
      <c r="G52" s="20">
        <f t="shared" ref="G52:P52" si="2">SUM(G8:G51)</f>
        <v>6659</v>
      </c>
      <c r="H52" s="20">
        <f t="shared" si="2"/>
        <v>3517920</v>
      </c>
      <c r="I52" s="20">
        <f t="shared" si="2"/>
        <v>31233.512500000004</v>
      </c>
      <c r="J52" s="20"/>
      <c r="K52" s="20">
        <f t="shared" si="2"/>
        <v>0</v>
      </c>
      <c r="L52" s="78">
        <f t="shared" si="2"/>
        <v>3050000</v>
      </c>
      <c r="M52" s="110">
        <f t="shared" si="2"/>
        <v>33900000</v>
      </c>
      <c r="N52" s="20">
        <f t="shared" si="2"/>
        <v>0</v>
      </c>
      <c r="O52" s="20">
        <f t="shared" si="2"/>
        <v>2235000</v>
      </c>
      <c r="P52" s="20">
        <f t="shared" si="2"/>
        <v>0</v>
      </c>
      <c r="Q52" s="137">
        <f>SUM(Q8:Q51)</f>
        <v>39185000</v>
      </c>
      <c r="R52" s="138"/>
      <c r="S52" s="212"/>
    </row>
    <row r="53" spans="1:19" s="57" customFormat="1" ht="20.399999999999999" customHeight="1">
      <c r="A53" s="309" t="s">
        <v>21</v>
      </c>
      <c r="B53" s="309"/>
      <c r="C53" s="309"/>
      <c r="D53" s="309"/>
      <c r="E53" s="309"/>
      <c r="F53" s="309"/>
      <c r="G53" s="54"/>
      <c r="H53" s="54"/>
      <c r="I53" s="54"/>
      <c r="J53" s="54"/>
      <c r="K53" s="55"/>
      <c r="L53" s="54"/>
      <c r="M53" s="92"/>
      <c r="N53" s="54"/>
      <c r="O53" s="54"/>
      <c r="P53" s="54"/>
      <c r="Q53" s="56">
        <f>8%*Q52</f>
        <v>3134800</v>
      </c>
      <c r="R53" s="80"/>
      <c r="S53" s="174"/>
    </row>
    <row r="54" spans="1:19" s="21" customFormat="1" ht="20.399999999999999" customHeight="1">
      <c r="A54" s="310" t="s">
        <v>22</v>
      </c>
      <c r="B54" s="310"/>
      <c r="C54" s="310"/>
      <c r="D54" s="310"/>
      <c r="E54" s="310"/>
      <c r="F54" s="310"/>
      <c r="G54" s="20"/>
      <c r="H54" s="20"/>
      <c r="I54" s="20"/>
      <c r="J54" s="20"/>
      <c r="K54" s="20"/>
      <c r="L54" s="20"/>
      <c r="M54" s="93"/>
      <c r="N54" s="20"/>
      <c r="O54" s="20"/>
      <c r="P54" s="20"/>
      <c r="Q54" s="58">
        <f>Q53+Q52</f>
        <v>42319800</v>
      </c>
      <c r="R54" s="64"/>
      <c r="S54" s="116"/>
    </row>
    <row r="55" spans="1:19" s="21" customFormat="1" ht="10.8" customHeight="1">
      <c r="A55" s="23"/>
      <c r="B55" s="101"/>
      <c r="C55" s="23"/>
      <c r="D55" s="23"/>
      <c r="E55" s="23"/>
      <c r="F55" s="23"/>
      <c r="G55" s="24"/>
      <c r="H55" s="24"/>
      <c r="I55" s="24"/>
      <c r="J55" s="24"/>
      <c r="K55" s="24"/>
      <c r="L55" s="24"/>
      <c r="M55" s="94"/>
      <c r="N55" s="24"/>
      <c r="O55" s="24"/>
      <c r="P55" s="24"/>
      <c r="Q55" s="59"/>
      <c r="R55" s="48"/>
      <c r="S55" s="175"/>
    </row>
    <row r="56" spans="1:19" s="21" customFormat="1" ht="16.2" customHeight="1">
      <c r="A56" s="307" t="s">
        <v>23</v>
      </c>
      <c r="B56" s="307"/>
      <c r="C56" s="307"/>
      <c r="D56" s="307"/>
      <c r="E56" s="307"/>
      <c r="F56" s="307"/>
      <c r="G56" s="27">
        <f>G52</f>
        <v>6659</v>
      </c>
      <c r="H56" s="27"/>
      <c r="I56" s="27"/>
      <c r="J56" s="27"/>
      <c r="K56" s="28">
        <f>G52+I52</f>
        <v>37892.512500000004</v>
      </c>
      <c r="L56" s="27"/>
      <c r="M56" s="9"/>
      <c r="N56" s="27"/>
      <c r="O56" s="27"/>
      <c r="P56" s="27"/>
      <c r="Q56" s="60">
        <f>L52+N52</f>
        <v>3050000</v>
      </c>
      <c r="R56" s="68">
        <f>Q56/G56</f>
        <v>458.02673074035141</v>
      </c>
      <c r="S56" s="176"/>
    </row>
    <row r="57" spans="1:19" s="21" customFormat="1" ht="16.2" customHeight="1">
      <c r="A57" s="307" t="s">
        <v>24</v>
      </c>
      <c r="B57" s="307"/>
      <c r="C57" s="307"/>
      <c r="D57" s="307"/>
      <c r="E57" s="307"/>
      <c r="F57" s="307"/>
      <c r="G57" s="27"/>
      <c r="H57" s="27"/>
      <c r="I57" s="27">
        <f>I52</f>
        <v>31233.512500000004</v>
      </c>
      <c r="J57" s="27"/>
      <c r="K57" s="27"/>
      <c r="L57" s="27"/>
      <c r="M57" s="9"/>
      <c r="N57" s="27"/>
      <c r="O57" s="27"/>
      <c r="P57" s="27"/>
      <c r="Q57" s="60">
        <f>M52+O52</f>
        <v>36135000</v>
      </c>
      <c r="R57" s="68">
        <f>Q57/I57</f>
        <v>1156.9303964771811</v>
      </c>
      <c r="S57" s="176"/>
    </row>
    <row r="58" spans="1:19" s="21" customFormat="1" ht="16.2" customHeight="1">
      <c r="A58" s="307" t="s">
        <v>25</v>
      </c>
      <c r="B58" s="307"/>
      <c r="C58" s="307"/>
      <c r="D58" s="307"/>
      <c r="E58" s="307"/>
      <c r="F58" s="307"/>
      <c r="G58" s="27"/>
      <c r="H58" s="27"/>
      <c r="I58" s="27"/>
      <c r="J58" s="27"/>
      <c r="K58" s="27"/>
      <c r="L58" s="27"/>
      <c r="M58" s="9"/>
      <c r="N58" s="27"/>
      <c r="O58" s="27"/>
      <c r="P58" s="27">
        <f>S52</f>
        <v>0</v>
      </c>
      <c r="Q58" s="60">
        <f>P52</f>
        <v>0</v>
      </c>
      <c r="R58" s="81" t="e">
        <f>Q58/P58</f>
        <v>#DIV/0!</v>
      </c>
      <c r="S58" s="176"/>
    </row>
    <row r="59" spans="1:19" ht="16.2" customHeight="1">
      <c r="A59" s="31"/>
      <c r="B59" s="102"/>
      <c r="C59" s="3" t="s">
        <v>27</v>
      </c>
      <c r="D59" s="32"/>
      <c r="E59" s="33"/>
      <c r="F59" s="33"/>
      <c r="G59" s="34" t="s">
        <v>241</v>
      </c>
      <c r="I59" s="35"/>
      <c r="J59" s="35"/>
      <c r="K59" s="36"/>
      <c r="L59" s="1"/>
      <c r="M59" s="1"/>
      <c r="N59" s="1"/>
      <c r="O59" s="1"/>
      <c r="P59" s="1"/>
      <c r="Q59" s="139" t="s">
        <v>28</v>
      </c>
    </row>
    <row r="60" spans="1:19" ht="16.2" customHeight="1">
      <c r="B60" s="102"/>
      <c r="D60" s="32"/>
      <c r="E60" s="37"/>
      <c r="F60" s="37"/>
      <c r="G60" s="38"/>
      <c r="H60" s="34"/>
      <c r="I60" s="32"/>
      <c r="J60" s="32"/>
      <c r="K60" s="32"/>
      <c r="Q60" s="140"/>
    </row>
    <row r="61" spans="1:19" s="8" customFormat="1" ht="16.2" customHeight="1">
      <c r="A61" s="1"/>
      <c r="B61" s="102"/>
      <c r="C61" s="3"/>
      <c r="D61" s="3"/>
      <c r="E61" s="3"/>
      <c r="F61" s="3"/>
      <c r="G61" s="39"/>
      <c r="H61" s="4"/>
      <c r="M61" s="1"/>
      <c r="Q61" s="141"/>
      <c r="R61" s="3"/>
      <c r="S61" s="116"/>
    </row>
    <row r="62" spans="1:19" ht="4.2" customHeight="1">
      <c r="B62" s="102"/>
      <c r="E62" s="37"/>
      <c r="F62" s="37"/>
      <c r="G62" s="38"/>
      <c r="H62" s="34"/>
      <c r="I62" s="32"/>
      <c r="J62" s="32"/>
      <c r="K62" s="32"/>
      <c r="Q62" s="140"/>
    </row>
    <row r="63" spans="1:19" ht="7.2" customHeight="1">
      <c r="H63" s="34"/>
      <c r="Q63" s="140"/>
    </row>
    <row r="64" spans="1:19">
      <c r="C64" s="45"/>
      <c r="G64" s="34" t="str">
        <f>'[1]A VIEN'!G71</f>
        <v>Đặng Thị Mỹ Tin</v>
      </c>
      <c r="H64" s="34"/>
      <c r="Q64" s="140" t="s">
        <v>34</v>
      </c>
    </row>
    <row r="67" spans="18:18">
      <c r="R67" s="49" t="e">
        <f>+Q52+#REF!+#REF!+#REF!+#REF!+#REF!+#REF!+#REF!+#REF!</f>
        <v>#REF!</v>
      </c>
    </row>
  </sheetData>
  <mergeCells count="60">
    <mergeCell ref="A1:R1"/>
    <mergeCell ref="A2:R2"/>
    <mergeCell ref="A3:R3"/>
    <mergeCell ref="A4:D4"/>
    <mergeCell ref="A5:A7"/>
    <mergeCell ref="B5:B7"/>
    <mergeCell ref="C5:C7"/>
    <mergeCell ref="D5:D7"/>
    <mergeCell ref="E5:F5"/>
    <mergeCell ref="G5:I5"/>
    <mergeCell ref="K5:K7"/>
    <mergeCell ref="L5:M6"/>
    <mergeCell ref="E6:E7"/>
    <mergeCell ref="F6:F7"/>
    <mergeCell ref="Q9:Q10"/>
    <mergeCell ref="Q13:Q16"/>
    <mergeCell ref="Q20:Q21"/>
    <mergeCell ref="H6:I6"/>
    <mergeCell ref="N5:O6"/>
    <mergeCell ref="P5:P7"/>
    <mergeCell ref="Q5:Q7"/>
    <mergeCell ref="Q24:Q25"/>
    <mergeCell ref="R5:R7"/>
    <mergeCell ref="A49:A50"/>
    <mergeCell ref="B49:B50"/>
    <mergeCell ref="M49:M50"/>
    <mergeCell ref="Q49:Q50"/>
    <mergeCell ref="M27:M29"/>
    <mergeCell ref="Q27:Q29"/>
    <mergeCell ref="A32:A33"/>
    <mergeCell ref="B32:B33"/>
    <mergeCell ref="M32:M33"/>
    <mergeCell ref="Q32:Q33"/>
    <mergeCell ref="A34:A35"/>
    <mergeCell ref="B34:B35"/>
    <mergeCell ref="M34:M35"/>
    <mergeCell ref="Q34:Q35"/>
    <mergeCell ref="A27:A29"/>
    <mergeCell ref="B27:B29"/>
    <mergeCell ref="A46:A47"/>
    <mergeCell ref="B46:B47"/>
    <mergeCell ref="Q46:Q47"/>
    <mergeCell ref="A20:A21"/>
    <mergeCell ref="B20:B21"/>
    <mergeCell ref="M20:M21"/>
    <mergeCell ref="A24:A25"/>
    <mergeCell ref="B24:B25"/>
    <mergeCell ref="M24:M25"/>
    <mergeCell ref="A9:A10"/>
    <mergeCell ref="B9:B10"/>
    <mergeCell ref="M9:M10"/>
    <mergeCell ref="A13:A16"/>
    <mergeCell ref="B13:B16"/>
    <mergeCell ref="L13:L15"/>
    <mergeCell ref="A58:F58"/>
    <mergeCell ref="A52:F52"/>
    <mergeCell ref="A53:F53"/>
    <mergeCell ref="A54:F54"/>
    <mergeCell ref="A56:F56"/>
    <mergeCell ref="A57:F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5"/>
  <sheetViews>
    <sheetView zoomScale="70" zoomScaleNormal="70" workbookViewId="0">
      <selection activeCell="K9" sqref="K9"/>
    </sheetView>
  </sheetViews>
  <sheetFormatPr defaultColWidth="9.109375" defaultRowHeight="13.8"/>
  <cols>
    <col min="1" max="1" width="8.109375" style="1" customWidth="1"/>
    <col min="2" max="2" width="14.33203125" style="103" customWidth="1"/>
    <col min="3" max="3" width="14.33203125" style="3" customWidth="1"/>
    <col min="4" max="4" width="23.109375" style="3" customWidth="1"/>
    <col min="5" max="5" width="17.109375" style="41" customWidth="1"/>
    <col min="6" max="6" width="14.33203125" style="42" customWidth="1"/>
    <col min="7" max="7" width="16.44140625" style="35" customWidth="1"/>
    <col min="8" max="8" width="16.88671875" style="35" customWidth="1"/>
    <col min="9" max="10" width="12.33203125" style="44" customWidth="1"/>
    <col min="11" max="11" width="17.109375" style="7" customWidth="1"/>
    <col min="12" max="13" width="16.44140625" style="7" customWidth="1"/>
    <col min="14" max="15" width="16.88671875" style="7" customWidth="1"/>
    <col min="16" max="16" width="14.6640625" style="7" customWidth="1"/>
    <col min="17" max="17" width="19.44140625" style="115" customWidth="1"/>
    <col min="18" max="18" width="44.21875" style="8" customWidth="1"/>
    <col min="19" max="19" width="16.5546875" style="1" customWidth="1"/>
    <col min="20" max="16384" width="9.109375" style="1"/>
  </cols>
  <sheetData>
    <row r="1" spans="1:19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</row>
    <row r="2" spans="1:19" ht="17.399999999999999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9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</row>
    <row r="4" spans="1:19">
      <c r="A4" s="50" t="s">
        <v>272</v>
      </c>
      <c r="B4" s="142"/>
      <c r="C4" s="2"/>
      <c r="D4" s="2"/>
      <c r="E4" s="3"/>
      <c r="F4" s="3"/>
      <c r="G4" s="4"/>
      <c r="H4" s="4"/>
      <c r="I4" s="6"/>
      <c r="J4" s="6"/>
    </row>
    <row r="5" spans="1:19" ht="29.25" customHeight="1">
      <c r="A5" s="291" t="s">
        <v>1</v>
      </c>
      <c r="B5" s="326" t="s">
        <v>2</v>
      </c>
      <c r="C5" s="284" t="s">
        <v>3</v>
      </c>
      <c r="D5" s="284" t="s">
        <v>4</v>
      </c>
      <c r="E5" s="292" t="s">
        <v>5</v>
      </c>
      <c r="F5" s="293"/>
      <c r="G5" s="294" t="s">
        <v>6</v>
      </c>
      <c r="H5" s="295"/>
      <c r="I5" s="296"/>
      <c r="J5" s="381"/>
      <c r="K5" s="297" t="s">
        <v>7</v>
      </c>
      <c r="L5" s="299" t="s">
        <v>8</v>
      </c>
      <c r="M5" s="300"/>
      <c r="N5" s="299" t="s">
        <v>9</v>
      </c>
      <c r="O5" s="300"/>
      <c r="P5" s="303" t="s">
        <v>10</v>
      </c>
      <c r="Q5" s="303" t="s">
        <v>11</v>
      </c>
      <c r="R5" s="338" t="s">
        <v>12</v>
      </c>
    </row>
    <row r="6" spans="1:19" ht="23.25" customHeight="1">
      <c r="A6" s="291"/>
      <c r="B6" s="326"/>
      <c r="C6" s="285"/>
      <c r="D6" s="285"/>
      <c r="E6" s="284" t="s">
        <v>13</v>
      </c>
      <c r="F6" s="284" t="s">
        <v>14</v>
      </c>
      <c r="G6" s="231" t="s">
        <v>15</v>
      </c>
      <c r="H6" s="294" t="s">
        <v>16</v>
      </c>
      <c r="I6" s="296"/>
      <c r="J6" s="382"/>
      <c r="K6" s="298"/>
      <c r="L6" s="301"/>
      <c r="M6" s="302"/>
      <c r="N6" s="301"/>
      <c r="O6" s="302"/>
      <c r="P6" s="304"/>
      <c r="Q6" s="304"/>
      <c r="R6" s="339"/>
    </row>
    <row r="7" spans="1:19" ht="22.5" customHeight="1">
      <c r="A7" s="291"/>
      <c r="B7" s="326"/>
      <c r="C7" s="341"/>
      <c r="D7" s="341"/>
      <c r="E7" s="341"/>
      <c r="F7" s="341"/>
      <c r="G7" s="231" t="s">
        <v>18</v>
      </c>
      <c r="H7" s="231" t="s">
        <v>19</v>
      </c>
      <c r="I7" s="230" t="s">
        <v>18</v>
      </c>
      <c r="J7" s="383"/>
      <c r="K7" s="342"/>
      <c r="L7" s="231" t="s">
        <v>15</v>
      </c>
      <c r="M7" s="9" t="s">
        <v>16</v>
      </c>
      <c r="N7" s="231" t="s">
        <v>15</v>
      </c>
      <c r="O7" s="90" t="s">
        <v>16</v>
      </c>
      <c r="P7" s="323"/>
      <c r="Q7" s="323"/>
      <c r="R7" s="340"/>
    </row>
    <row r="8" spans="1:19" ht="24.6" customHeight="1">
      <c r="A8" s="73">
        <v>1</v>
      </c>
      <c r="B8" s="131" t="s">
        <v>189</v>
      </c>
      <c r="C8" s="203">
        <v>9</v>
      </c>
      <c r="D8" s="203" t="s">
        <v>132</v>
      </c>
      <c r="E8" s="11" t="s">
        <v>48</v>
      </c>
      <c r="F8" s="11"/>
      <c r="G8" s="75"/>
      <c r="H8" s="214">
        <v>77000</v>
      </c>
      <c r="I8" s="214">
        <v>462</v>
      </c>
      <c r="J8" s="214"/>
      <c r="K8" s="185"/>
      <c r="L8" s="74"/>
      <c r="M8" s="74">
        <v>1100000</v>
      </c>
      <c r="N8" s="74"/>
      <c r="O8" s="74"/>
      <c r="P8" s="76"/>
      <c r="Q8" s="118">
        <f>SUM(L8:P8)</f>
        <v>1100000</v>
      </c>
      <c r="R8" s="160"/>
    </row>
    <row r="9" spans="1:19" ht="24.6" customHeight="1">
      <c r="A9" s="271">
        <v>2</v>
      </c>
      <c r="B9" s="330" t="s">
        <v>193</v>
      </c>
      <c r="C9" s="203">
        <v>41</v>
      </c>
      <c r="D9" s="203" t="s">
        <v>120</v>
      </c>
      <c r="E9" s="11" t="s">
        <v>48</v>
      </c>
      <c r="F9" s="11"/>
      <c r="G9" s="75">
        <v>1020</v>
      </c>
      <c r="H9" s="214"/>
      <c r="I9" s="214"/>
      <c r="J9" s="214"/>
      <c r="K9" s="133"/>
      <c r="L9" s="74">
        <v>500000</v>
      </c>
      <c r="M9" s="74"/>
      <c r="N9" s="74"/>
      <c r="O9" s="74"/>
      <c r="P9" s="76"/>
      <c r="Q9" s="266">
        <f>SUM(L9:P10)</f>
        <v>1200000</v>
      </c>
      <c r="R9" s="186" t="s">
        <v>51</v>
      </c>
    </row>
    <row r="10" spans="1:19" ht="24.6" customHeight="1">
      <c r="A10" s="272"/>
      <c r="B10" s="331"/>
      <c r="C10" s="11" t="s">
        <v>273</v>
      </c>
      <c r="D10" s="11" t="s">
        <v>123</v>
      </c>
      <c r="E10" s="11" t="s">
        <v>62</v>
      </c>
      <c r="F10" s="11"/>
      <c r="G10" s="75"/>
      <c r="H10" s="214">
        <v>34300</v>
      </c>
      <c r="I10" s="214">
        <v>771.3999</v>
      </c>
      <c r="J10" s="214"/>
      <c r="K10" s="159"/>
      <c r="L10" s="74"/>
      <c r="M10" s="74">
        <v>700000</v>
      </c>
      <c r="N10" s="74"/>
      <c r="O10" s="74"/>
      <c r="P10" s="76"/>
      <c r="Q10" s="267"/>
      <c r="R10" s="186"/>
      <c r="S10" s="211"/>
    </row>
    <row r="11" spans="1:19" ht="24.6" customHeight="1">
      <c r="A11" s="73">
        <v>3</v>
      </c>
      <c r="B11" s="131" t="s">
        <v>194</v>
      </c>
      <c r="C11" s="203">
        <v>28</v>
      </c>
      <c r="D11" s="203" t="s">
        <v>47</v>
      </c>
      <c r="E11" s="11" t="s">
        <v>61</v>
      </c>
      <c r="F11" s="11"/>
      <c r="G11" s="75"/>
      <c r="H11" s="214">
        <v>105903</v>
      </c>
      <c r="I11" s="214">
        <v>1217.7014999999999</v>
      </c>
      <c r="J11" s="214"/>
      <c r="K11" s="159"/>
      <c r="L11" s="74"/>
      <c r="M11" s="74">
        <v>1100000</v>
      </c>
      <c r="N11" s="74"/>
      <c r="O11" s="74"/>
      <c r="P11" s="76"/>
      <c r="Q11" s="118">
        <f t="shared" ref="Q11:Q49" si="0">SUM(L11:P11)</f>
        <v>1100000</v>
      </c>
      <c r="R11" s="160"/>
    </row>
    <row r="12" spans="1:19" ht="24.6" customHeight="1">
      <c r="A12" s="73">
        <v>4</v>
      </c>
      <c r="B12" s="131" t="s">
        <v>196</v>
      </c>
      <c r="C12" s="203" t="s">
        <v>274</v>
      </c>
      <c r="D12" s="203" t="s">
        <v>60</v>
      </c>
      <c r="E12" s="11" t="s">
        <v>85</v>
      </c>
      <c r="F12" s="11"/>
      <c r="G12" s="75"/>
      <c r="H12" s="214">
        <v>84400</v>
      </c>
      <c r="I12" s="214">
        <v>1197.2623000000001</v>
      </c>
      <c r="J12" s="214"/>
      <c r="K12" s="161"/>
      <c r="L12" s="74"/>
      <c r="M12" s="74">
        <v>1100000</v>
      </c>
      <c r="N12" s="74"/>
      <c r="O12" s="74"/>
      <c r="P12" s="76"/>
      <c r="Q12" s="118">
        <f t="shared" si="0"/>
        <v>1100000</v>
      </c>
      <c r="R12" s="160"/>
    </row>
    <row r="13" spans="1:19" ht="24.6" customHeight="1">
      <c r="A13" s="73">
        <v>5</v>
      </c>
      <c r="B13" s="131" t="s">
        <v>199</v>
      </c>
      <c r="C13" s="203" t="s">
        <v>275</v>
      </c>
      <c r="D13" s="203" t="s">
        <v>58</v>
      </c>
      <c r="E13" s="11" t="s">
        <v>61</v>
      </c>
      <c r="F13" s="11"/>
      <c r="G13" s="75"/>
      <c r="H13" s="214">
        <v>72800</v>
      </c>
      <c r="I13" s="214">
        <v>1053.4940999999999</v>
      </c>
      <c r="J13" s="214"/>
      <c r="K13" s="161"/>
      <c r="L13" s="74"/>
      <c r="M13" s="74">
        <v>1150000</v>
      </c>
      <c r="N13" s="158"/>
      <c r="O13" s="158"/>
      <c r="P13" s="158"/>
      <c r="Q13" s="118">
        <f t="shared" si="0"/>
        <v>1150000</v>
      </c>
      <c r="R13" s="160" t="s">
        <v>51</v>
      </c>
    </row>
    <row r="14" spans="1:19" ht="24.6" customHeight="1">
      <c r="A14" s="73">
        <v>6</v>
      </c>
      <c r="B14" s="131" t="s">
        <v>201</v>
      </c>
      <c r="C14" s="203" t="s">
        <v>276</v>
      </c>
      <c r="D14" s="203" t="s">
        <v>58</v>
      </c>
      <c r="E14" s="11" t="s">
        <v>61</v>
      </c>
      <c r="F14" s="11"/>
      <c r="G14" s="75"/>
      <c r="H14" s="214">
        <f>6000+88000</f>
        <v>94000</v>
      </c>
      <c r="I14" s="214">
        <f>98.5542+1411.2019</f>
        <v>1509.7561000000001</v>
      </c>
      <c r="J14" s="214"/>
      <c r="K14" s="159"/>
      <c r="L14" s="204"/>
      <c r="M14" s="74">
        <v>1100000</v>
      </c>
      <c r="N14" s="204"/>
      <c r="O14" s="74"/>
      <c r="P14" s="74"/>
      <c r="Q14" s="118">
        <f t="shared" si="0"/>
        <v>1100000</v>
      </c>
      <c r="R14" s="133"/>
    </row>
    <row r="15" spans="1:19" ht="24.6" customHeight="1">
      <c r="A15" s="73">
        <v>7</v>
      </c>
      <c r="B15" s="131" t="s">
        <v>203</v>
      </c>
      <c r="C15" s="203">
        <v>1</v>
      </c>
      <c r="D15" s="203" t="s">
        <v>126</v>
      </c>
      <c r="E15" s="11" t="s">
        <v>62</v>
      </c>
      <c r="F15" s="11"/>
      <c r="G15" s="75"/>
      <c r="H15" s="214">
        <v>320000</v>
      </c>
      <c r="I15" s="214">
        <v>1842.9760000000001</v>
      </c>
      <c r="J15" s="214"/>
      <c r="K15" s="74"/>
      <c r="L15" s="204"/>
      <c r="M15" s="74">
        <v>1100000</v>
      </c>
      <c r="N15" s="74"/>
      <c r="O15" s="74"/>
      <c r="P15" s="76"/>
      <c r="Q15" s="118">
        <f t="shared" si="0"/>
        <v>1100000</v>
      </c>
      <c r="R15" s="133"/>
    </row>
    <row r="16" spans="1:19" ht="23.4" customHeight="1">
      <c r="A16" s="73">
        <v>8</v>
      </c>
      <c r="B16" s="131" t="s">
        <v>206</v>
      </c>
      <c r="C16" s="11">
        <v>17</v>
      </c>
      <c r="D16" s="203" t="s">
        <v>116</v>
      </c>
      <c r="E16" s="11" t="s">
        <v>48</v>
      </c>
      <c r="F16" s="11"/>
      <c r="G16" s="75"/>
      <c r="H16" s="228">
        <v>227650</v>
      </c>
      <c r="I16" s="228">
        <v>615.80250000000001</v>
      </c>
      <c r="J16" s="228"/>
      <c r="K16" s="180"/>
      <c r="L16" s="82"/>
      <c r="M16" s="74">
        <v>1100000</v>
      </c>
      <c r="N16" s="74"/>
      <c r="O16" s="74"/>
      <c r="P16" s="76"/>
      <c r="Q16" s="118">
        <f t="shared" si="0"/>
        <v>1100000</v>
      </c>
      <c r="R16" s="186"/>
    </row>
    <row r="17" spans="1:18" ht="23.4" customHeight="1">
      <c r="A17" s="73">
        <v>9</v>
      </c>
      <c r="B17" s="131" t="s">
        <v>206</v>
      </c>
      <c r="C17" s="232">
        <v>14</v>
      </c>
      <c r="D17" s="232" t="s">
        <v>116</v>
      </c>
      <c r="E17" s="131" t="s">
        <v>46</v>
      </c>
      <c r="F17" s="131"/>
      <c r="G17" s="228"/>
      <c r="H17" s="228">
        <v>69530</v>
      </c>
      <c r="I17" s="228">
        <v>1324.9835</v>
      </c>
      <c r="J17" s="228"/>
      <c r="K17" s="180"/>
      <c r="L17" s="82"/>
      <c r="M17" s="74">
        <v>950000</v>
      </c>
      <c r="N17" s="74"/>
      <c r="O17" s="74"/>
      <c r="P17" s="76"/>
      <c r="Q17" s="118">
        <f t="shared" si="0"/>
        <v>950000</v>
      </c>
      <c r="R17" s="186" t="s">
        <v>53</v>
      </c>
    </row>
    <row r="18" spans="1:18" ht="23.4" customHeight="1">
      <c r="A18" s="73">
        <v>10</v>
      </c>
      <c r="B18" s="131" t="s">
        <v>207</v>
      </c>
      <c r="C18" s="11">
        <v>28</v>
      </c>
      <c r="D18" s="203" t="s">
        <v>132</v>
      </c>
      <c r="E18" s="11" t="s">
        <v>48</v>
      </c>
      <c r="F18" s="11"/>
      <c r="G18" s="75"/>
      <c r="H18" s="228">
        <v>160000</v>
      </c>
      <c r="I18" s="228">
        <v>500</v>
      </c>
      <c r="J18" s="228"/>
      <c r="K18" s="180"/>
      <c r="L18" s="82"/>
      <c r="M18" s="74">
        <v>1100000</v>
      </c>
      <c r="N18" s="74"/>
      <c r="O18" s="74">
        <v>300000</v>
      </c>
      <c r="P18" s="76"/>
      <c r="Q18" s="118">
        <f t="shared" si="0"/>
        <v>1400000</v>
      </c>
      <c r="R18" s="218" t="s">
        <v>277</v>
      </c>
    </row>
    <row r="19" spans="1:18" ht="23.4" customHeight="1">
      <c r="A19" s="73">
        <v>11</v>
      </c>
      <c r="B19" s="131" t="s">
        <v>210</v>
      </c>
      <c r="C19" s="11">
        <v>2</v>
      </c>
      <c r="D19" s="203" t="s">
        <v>119</v>
      </c>
      <c r="E19" s="11" t="s">
        <v>63</v>
      </c>
      <c r="F19" s="11"/>
      <c r="G19" s="75"/>
      <c r="H19" s="228">
        <v>80000</v>
      </c>
      <c r="I19" s="228">
        <v>480</v>
      </c>
      <c r="J19" s="228"/>
      <c r="K19" s="180"/>
      <c r="L19" s="82"/>
      <c r="M19" s="74">
        <v>1000000</v>
      </c>
      <c r="N19" s="74"/>
      <c r="O19" s="74"/>
      <c r="P19" s="76"/>
      <c r="Q19" s="118">
        <f t="shared" si="0"/>
        <v>1000000</v>
      </c>
      <c r="R19" s="186"/>
    </row>
    <row r="20" spans="1:18" ht="23.4" customHeight="1">
      <c r="A20" s="73">
        <v>12</v>
      </c>
      <c r="B20" s="131" t="s">
        <v>210</v>
      </c>
      <c r="C20" s="11" t="s">
        <v>278</v>
      </c>
      <c r="D20" s="11" t="s">
        <v>162</v>
      </c>
      <c r="E20" s="11" t="s">
        <v>69</v>
      </c>
      <c r="F20" s="11"/>
      <c r="G20" s="75"/>
      <c r="H20" s="228">
        <f>54000+37660</f>
        <v>91660</v>
      </c>
      <c r="I20" s="228">
        <f>393.39+749.9692</f>
        <v>1143.3591999999999</v>
      </c>
      <c r="J20" s="228"/>
      <c r="K20" s="180"/>
      <c r="L20" s="82"/>
      <c r="M20" s="74">
        <v>550000</v>
      </c>
      <c r="N20" s="74"/>
      <c r="O20" s="74"/>
      <c r="P20" s="76"/>
      <c r="Q20" s="118">
        <f t="shared" si="0"/>
        <v>550000</v>
      </c>
      <c r="R20" s="186"/>
    </row>
    <row r="21" spans="1:18" ht="23.4" customHeight="1">
      <c r="A21" s="73">
        <v>13</v>
      </c>
      <c r="B21" s="131" t="s">
        <v>213</v>
      </c>
      <c r="C21" s="11" t="s">
        <v>279</v>
      </c>
      <c r="D21" s="203" t="s">
        <v>253</v>
      </c>
      <c r="E21" s="11" t="s">
        <v>45</v>
      </c>
      <c r="F21" s="11"/>
      <c r="G21" s="75"/>
      <c r="H21" s="228">
        <f>33000+41000</f>
        <v>74000</v>
      </c>
      <c r="I21" s="228">
        <f>666.6+672.9</f>
        <v>1339.5</v>
      </c>
      <c r="J21" s="228"/>
      <c r="K21" s="180"/>
      <c r="L21" s="82"/>
      <c r="M21" s="74">
        <v>1150000</v>
      </c>
      <c r="N21" s="74"/>
      <c r="O21" s="74">
        <v>60000</v>
      </c>
      <c r="P21" s="76"/>
      <c r="Q21" s="118">
        <f t="shared" si="0"/>
        <v>1210000</v>
      </c>
      <c r="R21" s="186" t="s">
        <v>96</v>
      </c>
    </row>
    <row r="22" spans="1:18" ht="23.4" customHeight="1">
      <c r="A22" s="73">
        <v>14</v>
      </c>
      <c r="B22" s="131" t="s">
        <v>215</v>
      </c>
      <c r="C22" s="11">
        <v>7</v>
      </c>
      <c r="D22" s="203" t="s">
        <v>116</v>
      </c>
      <c r="E22" s="11" t="s">
        <v>48</v>
      </c>
      <c r="F22" s="11"/>
      <c r="G22" s="75"/>
      <c r="H22" s="228">
        <v>122800</v>
      </c>
      <c r="I22" s="228">
        <v>1529.6871000000001</v>
      </c>
      <c r="J22" s="228"/>
      <c r="K22" s="180"/>
      <c r="L22" s="82"/>
      <c r="M22" s="74">
        <v>1100000</v>
      </c>
      <c r="N22" s="74"/>
      <c r="O22" s="74"/>
      <c r="P22" s="76"/>
      <c r="Q22" s="118">
        <f t="shared" si="0"/>
        <v>1100000</v>
      </c>
      <c r="R22" s="186"/>
    </row>
    <row r="23" spans="1:18" ht="23.4" customHeight="1">
      <c r="A23" s="73">
        <v>15</v>
      </c>
      <c r="B23" s="131" t="s">
        <v>217</v>
      </c>
      <c r="C23" s="11">
        <v>13</v>
      </c>
      <c r="D23" s="203" t="s">
        <v>126</v>
      </c>
      <c r="E23" s="11" t="s">
        <v>62</v>
      </c>
      <c r="F23" s="11"/>
      <c r="G23" s="75"/>
      <c r="H23" s="228">
        <v>320000</v>
      </c>
      <c r="I23" s="228">
        <v>1842.9760000000001</v>
      </c>
      <c r="J23" s="228"/>
      <c r="K23" s="180"/>
      <c r="L23" s="82"/>
      <c r="M23" s="74">
        <v>1100000</v>
      </c>
      <c r="N23" s="74"/>
      <c r="O23" s="74"/>
      <c r="P23" s="76"/>
      <c r="Q23" s="118">
        <f t="shared" si="0"/>
        <v>1100000</v>
      </c>
      <c r="R23" s="186"/>
    </row>
    <row r="24" spans="1:18" ht="23.4" customHeight="1">
      <c r="A24" s="73">
        <v>16</v>
      </c>
      <c r="B24" s="131" t="s">
        <v>218</v>
      </c>
      <c r="C24" s="11">
        <v>6</v>
      </c>
      <c r="D24" s="203" t="s">
        <v>143</v>
      </c>
      <c r="E24" s="11" t="s">
        <v>91</v>
      </c>
      <c r="F24" s="11"/>
      <c r="G24" s="75"/>
      <c r="H24" s="228">
        <v>212960</v>
      </c>
      <c r="I24" s="228">
        <v>1269.8547000000001</v>
      </c>
      <c r="J24" s="228"/>
      <c r="K24" s="180"/>
      <c r="L24" s="82"/>
      <c r="M24" s="74">
        <v>1000000</v>
      </c>
      <c r="N24" s="74"/>
      <c r="O24" s="74"/>
      <c r="P24" s="76"/>
      <c r="Q24" s="118">
        <f t="shared" si="0"/>
        <v>1000000</v>
      </c>
      <c r="R24" s="186"/>
    </row>
    <row r="25" spans="1:18" ht="23.4" customHeight="1">
      <c r="A25" s="73">
        <v>17</v>
      </c>
      <c r="B25" s="131" t="s">
        <v>218</v>
      </c>
      <c r="C25" s="11">
        <v>26</v>
      </c>
      <c r="D25" s="203" t="s">
        <v>119</v>
      </c>
      <c r="E25" s="11" t="s">
        <v>63</v>
      </c>
      <c r="F25" s="11"/>
      <c r="G25" s="75"/>
      <c r="H25" s="228">
        <v>59600</v>
      </c>
      <c r="I25" s="228">
        <v>796.28480000000002</v>
      </c>
      <c r="J25" s="228"/>
      <c r="K25" s="180"/>
      <c r="L25" s="82"/>
      <c r="M25" s="74">
        <v>950000</v>
      </c>
      <c r="N25" s="74"/>
      <c r="O25" s="74"/>
      <c r="P25" s="76"/>
      <c r="Q25" s="118">
        <f t="shared" si="0"/>
        <v>950000</v>
      </c>
      <c r="R25" s="186" t="s">
        <v>53</v>
      </c>
    </row>
    <row r="26" spans="1:18" ht="23.4" customHeight="1">
      <c r="A26" s="271">
        <v>18</v>
      </c>
      <c r="B26" s="330" t="s">
        <v>259</v>
      </c>
      <c r="C26" s="203">
        <v>5</v>
      </c>
      <c r="D26" s="203" t="s">
        <v>89</v>
      </c>
      <c r="E26" s="11" t="s">
        <v>85</v>
      </c>
      <c r="F26" s="11"/>
      <c r="G26" s="75"/>
      <c r="H26" s="214">
        <v>76000</v>
      </c>
      <c r="I26" s="214">
        <v>866.02059999999994</v>
      </c>
      <c r="J26" s="214"/>
      <c r="K26" s="180"/>
      <c r="L26" s="82"/>
      <c r="M26" s="264">
        <v>1150000</v>
      </c>
      <c r="N26" s="74"/>
      <c r="O26" s="74"/>
      <c r="P26" s="76"/>
      <c r="Q26" s="266">
        <f>SUM(L26:P27)</f>
        <v>1150000</v>
      </c>
      <c r="R26" s="186"/>
    </row>
    <row r="27" spans="1:18" ht="23.4" customHeight="1">
      <c r="A27" s="272"/>
      <c r="B27" s="331"/>
      <c r="C27" s="203" t="s">
        <v>280</v>
      </c>
      <c r="D27" s="203" t="s">
        <v>115</v>
      </c>
      <c r="E27" s="11" t="s">
        <v>62</v>
      </c>
      <c r="F27" s="11"/>
      <c r="G27" s="75"/>
      <c r="H27" s="214">
        <f>4000+210000</f>
        <v>214000</v>
      </c>
      <c r="I27" s="214">
        <f>86.8+385.442</f>
        <v>472.24200000000002</v>
      </c>
      <c r="J27" s="214"/>
      <c r="K27" s="180"/>
      <c r="L27" s="82"/>
      <c r="M27" s="265"/>
      <c r="N27" s="74"/>
      <c r="O27" s="74"/>
      <c r="P27" s="76"/>
      <c r="Q27" s="267"/>
      <c r="R27" s="186"/>
    </row>
    <row r="28" spans="1:18" ht="23.4" customHeight="1">
      <c r="A28" s="73">
        <v>19</v>
      </c>
      <c r="B28" s="131" t="s">
        <v>221</v>
      </c>
      <c r="C28" s="203" t="s">
        <v>281</v>
      </c>
      <c r="D28" s="203" t="s">
        <v>116</v>
      </c>
      <c r="E28" s="11" t="s">
        <v>48</v>
      </c>
      <c r="F28" s="11"/>
      <c r="G28" s="214"/>
      <c r="H28" s="214">
        <v>241800</v>
      </c>
      <c r="I28" s="214">
        <v>1019.2562</v>
      </c>
      <c r="J28" s="214"/>
      <c r="K28" s="180"/>
      <c r="L28" s="82"/>
      <c r="M28" s="74">
        <v>1100000</v>
      </c>
      <c r="N28" s="74"/>
      <c r="O28" s="74"/>
      <c r="P28" s="76"/>
      <c r="Q28" s="118">
        <f t="shared" si="0"/>
        <v>1100000</v>
      </c>
      <c r="R28" s="186"/>
    </row>
    <row r="29" spans="1:18" ht="23.4" customHeight="1">
      <c r="A29" s="73">
        <v>20</v>
      </c>
      <c r="B29" s="131" t="s">
        <v>223</v>
      </c>
      <c r="C29" s="203">
        <v>12</v>
      </c>
      <c r="D29" s="203" t="s">
        <v>144</v>
      </c>
      <c r="E29" s="11" t="s">
        <v>48</v>
      </c>
      <c r="F29" s="11"/>
      <c r="G29" s="75"/>
      <c r="H29" s="214">
        <v>96000</v>
      </c>
      <c r="I29" s="214">
        <v>835.2</v>
      </c>
      <c r="J29" s="214"/>
      <c r="K29" s="180"/>
      <c r="L29" s="82"/>
      <c r="M29" s="74">
        <v>1100000</v>
      </c>
      <c r="N29" s="74"/>
      <c r="O29" s="74"/>
      <c r="P29" s="76"/>
      <c r="Q29" s="118">
        <f t="shared" si="0"/>
        <v>1100000</v>
      </c>
      <c r="R29" s="186"/>
    </row>
    <row r="30" spans="1:18" ht="23.4" customHeight="1">
      <c r="A30" s="73">
        <v>21</v>
      </c>
      <c r="B30" s="131" t="s">
        <v>225</v>
      </c>
      <c r="C30" s="203" t="s">
        <v>282</v>
      </c>
      <c r="D30" s="203" t="s">
        <v>90</v>
      </c>
      <c r="E30" s="11" t="s">
        <v>66</v>
      </c>
      <c r="F30" s="11"/>
      <c r="G30" s="75"/>
      <c r="H30" s="214">
        <v>85180</v>
      </c>
      <c r="I30" s="214">
        <v>1374.4191000000001</v>
      </c>
      <c r="J30" s="214"/>
      <c r="K30" s="180"/>
      <c r="L30" s="82"/>
      <c r="M30" s="74">
        <v>1150000</v>
      </c>
      <c r="N30" s="74"/>
      <c r="O30" s="74"/>
      <c r="P30" s="76"/>
      <c r="Q30" s="118">
        <f t="shared" si="0"/>
        <v>1150000</v>
      </c>
      <c r="R30" s="186"/>
    </row>
    <row r="31" spans="1:18" ht="23.4" customHeight="1">
      <c r="A31" s="73">
        <v>22</v>
      </c>
      <c r="B31" s="131" t="s">
        <v>226</v>
      </c>
      <c r="C31" s="11">
        <v>5</v>
      </c>
      <c r="D31" s="203" t="s">
        <v>148</v>
      </c>
      <c r="E31" s="11" t="s">
        <v>48</v>
      </c>
      <c r="F31" s="11"/>
      <c r="G31" s="75"/>
      <c r="H31" s="228">
        <v>96000</v>
      </c>
      <c r="I31" s="228">
        <v>851.98080000000004</v>
      </c>
      <c r="J31" s="228"/>
      <c r="K31" s="180"/>
      <c r="L31" s="82"/>
      <c r="M31" s="74">
        <v>1100000</v>
      </c>
      <c r="N31" s="74"/>
      <c r="O31" s="74"/>
      <c r="P31" s="76"/>
      <c r="Q31" s="118">
        <f t="shared" si="0"/>
        <v>1100000</v>
      </c>
      <c r="R31" s="186"/>
    </row>
    <row r="32" spans="1:18" ht="23.4" customHeight="1">
      <c r="A32" s="205">
        <v>23</v>
      </c>
      <c r="B32" s="131" t="s">
        <v>226</v>
      </c>
      <c r="C32" s="203">
        <v>14</v>
      </c>
      <c r="D32" s="203" t="s">
        <v>116</v>
      </c>
      <c r="E32" s="11" t="s">
        <v>46</v>
      </c>
      <c r="F32" s="11"/>
      <c r="G32" s="75"/>
      <c r="H32" s="214">
        <v>75300</v>
      </c>
      <c r="I32" s="214">
        <v>1425.462</v>
      </c>
      <c r="J32" s="214"/>
      <c r="K32" s="180"/>
      <c r="L32" s="194"/>
      <c r="M32" s="74">
        <v>950000</v>
      </c>
      <c r="N32" s="74"/>
      <c r="O32" s="74"/>
      <c r="P32" s="76"/>
      <c r="Q32" s="118">
        <f t="shared" si="0"/>
        <v>950000</v>
      </c>
      <c r="R32" s="196" t="s">
        <v>53</v>
      </c>
    </row>
    <row r="33" spans="1:20" ht="24.6" customHeight="1">
      <c r="A33" s="205">
        <v>24</v>
      </c>
      <c r="B33" s="131" t="s">
        <v>227</v>
      </c>
      <c r="C33" s="203">
        <v>2</v>
      </c>
      <c r="D33" s="203" t="s">
        <v>126</v>
      </c>
      <c r="E33" s="11" t="s">
        <v>62</v>
      </c>
      <c r="F33" s="11"/>
      <c r="G33" s="75"/>
      <c r="H33" s="214">
        <v>320000</v>
      </c>
      <c r="I33" s="214">
        <v>1842.9760000000001</v>
      </c>
      <c r="J33" s="214"/>
      <c r="K33" s="180"/>
      <c r="L33" s="82"/>
      <c r="M33" s="74">
        <v>1100000</v>
      </c>
      <c r="N33" s="74"/>
      <c r="O33" s="74"/>
      <c r="P33" s="76"/>
      <c r="Q33" s="118">
        <f t="shared" si="0"/>
        <v>1100000</v>
      </c>
      <c r="R33" s="186"/>
      <c r="S33" s="219"/>
    </row>
    <row r="34" spans="1:20" ht="24" customHeight="1">
      <c r="A34" s="205">
        <v>25</v>
      </c>
      <c r="B34" s="131" t="s">
        <v>229</v>
      </c>
      <c r="C34" s="203">
        <v>3</v>
      </c>
      <c r="D34" s="203" t="s">
        <v>148</v>
      </c>
      <c r="E34" s="11" t="s">
        <v>48</v>
      </c>
      <c r="F34" s="11"/>
      <c r="G34" s="75"/>
      <c r="H34" s="214">
        <v>96000</v>
      </c>
      <c r="I34" s="214">
        <v>851.98080000000004</v>
      </c>
      <c r="J34" s="214"/>
      <c r="K34" s="75"/>
      <c r="L34" s="132"/>
      <c r="M34" s="74">
        <v>1100000</v>
      </c>
      <c r="N34" s="74"/>
      <c r="O34" s="74"/>
      <c r="P34" s="76"/>
      <c r="Q34" s="118">
        <f t="shared" si="0"/>
        <v>1100000</v>
      </c>
      <c r="R34" s="186"/>
      <c r="S34" s="219"/>
    </row>
    <row r="35" spans="1:20" ht="24.6" customHeight="1">
      <c r="A35" s="73">
        <v>26</v>
      </c>
      <c r="B35" s="131" t="s">
        <v>229</v>
      </c>
      <c r="C35" s="203" t="s">
        <v>283</v>
      </c>
      <c r="D35" s="203" t="s">
        <v>142</v>
      </c>
      <c r="E35" s="11" t="s">
        <v>54</v>
      </c>
      <c r="F35" s="11"/>
      <c r="G35" s="75"/>
      <c r="H35" s="214">
        <f>122400+51000</f>
        <v>173400</v>
      </c>
      <c r="I35" s="214">
        <f>732.564+561.9113</f>
        <v>1294.4753000000001</v>
      </c>
      <c r="J35" s="214"/>
      <c r="K35" s="75"/>
      <c r="L35" s="82"/>
      <c r="M35" s="74">
        <v>900000</v>
      </c>
      <c r="N35" s="74"/>
      <c r="O35" s="74"/>
      <c r="P35" s="76"/>
      <c r="Q35" s="118">
        <f t="shared" si="0"/>
        <v>900000</v>
      </c>
      <c r="R35" s="186" t="s">
        <v>53</v>
      </c>
    </row>
    <row r="36" spans="1:20" ht="24.6" customHeight="1">
      <c r="A36" s="73">
        <v>27</v>
      </c>
      <c r="B36" s="131" t="s">
        <v>231</v>
      </c>
      <c r="C36" s="203">
        <v>27</v>
      </c>
      <c r="D36" s="203" t="s">
        <v>116</v>
      </c>
      <c r="E36" s="11" t="s">
        <v>48</v>
      </c>
      <c r="F36" s="11"/>
      <c r="G36" s="75"/>
      <c r="H36" s="214">
        <v>126000</v>
      </c>
      <c r="I36" s="214">
        <v>1201.9236000000001</v>
      </c>
      <c r="J36" s="214"/>
      <c r="K36" s="156"/>
      <c r="L36" s="82"/>
      <c r="M36" s="74">
        <v>1100000</v>
      </c>
      <c r="N36" s="74"/>
      <c r="O36" s="74"/>
      <c r="P36" s="76"/>
      <c r="Q36" s="118">
        <f t="shared" si="0"/>
        <v>1100000</v>
      </c>
      <c r="R36" s="162"/>
    </row>
    <row r="37" spans="1:20" ht="24.6" customHeight="1">
      <c r="A37" s="73">
        <v>28</v>
      </c>
      <c r="B37" s="131" t="s">
        <v>233</v>
      </c>
      <c r="C37" s="203">
        <v>12</v>
      </c>
      <c r="D37" s="203" t="s">
        <v>124</v>
      </c>
      <c r="E37" s="11" t="s">
        <v>54</v>
      </c>
      <c r="F37" s="11"/>
      <c r="G37" s="75"/>
      <c r="H37" s="214">
        <v>106920</v>
      </c>
      <c r="I37" s="214">
        <v>1154.7360000000001</v>
      </c>
      <c r="J37" s="214"/>
      <c r="K37" s="156"/>
      <c r="L37" s="82"/>
      <c r="M37" s="74">
        <v>950000</v>
      </c>
      <c r="N37" s="74"/>
      <c r="O37" s="74"/>
      <c r="P37" s="76"/>
      <c r="Q37" s="118">
        <f t="shared" si="0"/>
        <v>950000</v>
      </c>
      <c r="R37" s="162"/>
    </row>
    <row r="38" spans="1:20" ht="24.6" customHeight="1">
      <c r="A38" s="73">
        <v>29</v>
      </c>
      <c r="B38" s="131" t="s">
        <v>233</v>
      </c>
      <c r="C38" s="203">
        <v>42</v>
      </c>
      <c r="D38" s="203" t="s">
        <v>284</v>
      </c>
      <c r="E38" s="11" t="s">
        <v>64</v>
      </c>
      <c r="F38" s="11"/>
      <c r="G38" s="75"/>
      <c r="H38" s="214">
        <v>43200</v>
      </c>
      <c r="I38" s="214">
        <v>680.4</v>
      </c>
      <c r="J38" s="214"/>
      <c r="K38" s="156"/>
      <c r="L38" s="82"/>
      <c r="M38" s="74">
        <v>950000</v>
      </c>
      <c r="N38" s="74"/>
      <c r="O38" s="74"/>
      <c r="P38" s="76"/>
      <c r="Q38" s="118">
        <f t="shared" si="0"/>
        <v>950000</v>
      </c>
      <c r="R38" s="133" t="s">
        <v>53</v>
      </c>
      <c r="T38" s="209"/>
    </row>
    <row r="39" spans="1:20" ht="24.6" customHeight="1">
      <c r="A39" s="73">
        <v>30</v>
      </c>
      <c r="B39" s="131" t="s">
        <v>234</v>
      </c>
      <c r="C39" s="203" t="s">
        <v>285</v>
      </c>
      <c r="D39" s="203" t="s">
        <v>47</v>
      </c>
      <c r="E39" s="11" t="s">
        <v>61</v>
      </c>
      <c r="F39" s="11"/>
      <c r="G39" s="75"/>
      <c r="H39" s="214">
        <f>21600+510000</f>
        <v>531600</v>
      </c>
      <c r="I39" s="214">
        <f>129.276+714</f>
        <v>843.27600000000007</v>
      </c>
      <c r="J39" s="214"/>
      <c r="K39" s="156"/>
      <c r="L39" s="82"/>
      <c r="M39" s="74">
        <v>1100000</v>
      </c>
      <c r="N39" s="74"/>
      <c r="O39" s="74"/>
      <c r="P39" s="76"/>
      <c r="Q39" s="118">
        <f t="shared" si="0"/>
        <v>1100000</v>
      </c>
      <c r="R39" s="186"/>
    </row>
    <row r="40" spans="1:20" ht="24" customHeight="1">
      <c r="A40" s="271">
        <v>31</v>
      </c>
      <c r="B40" s="330" t="s">
        <v>234</v>
      </c>
      <c r="C40" s="203" t="s">
        <v>286</v>
      </c>
      <c r="D40" s="203" t="s">
        <v>58</v>
      </c>
      <c r="E40" s="11" t="s">
        <v>48</v>
      </c>
      <c r="F40" s="11"/>
      <c r="G40" s="75"/>
      <c r="H40" s="214">
        <f>29200+1250</f>
        <v>30450</v>
      </c>
      <c r="I40" s="214">
        <f>787.3735+52.5</f>
        <v>839.87350000000004</v>
      </c>
      <c r="J40" s="214"/>
      <c r="K40" s="156"/>
      <c r="L40" s="82"/>
      <c r="M40" s="264">
        <v>1200000</v>
      </c>
      <c r="N40" s="74"/>
      <c r="O40" s="74">
        <v>260000</v>
      </c>
      <c r="P40" s="76"/>
      <c r="Q40" s="266">
        <f>SUM(L40:P41)</f>
        <v>1520000</v>
      </c>
      <c r="R40" s="220" t="s">
        <v>287</v>
      </c>
    </row>
    <row r="41" spans="1:20" ht="24.6" customHeight="1">
      <c r="A41" s="272"/>
      <c r="B41" s="331"/>
      <c r="C41" s="203" t="s">
        <v>170</v>
      </c>
      <c r="D41" s="203" t="s">
        <v>58</v>
      </c>
      <c r="E41" s="11" t="s">
        <v>45</v>
      </c>
      <c r="F41" s="11"/>
      <c r="G41" s="75"/>
      <c r="H41" s="214">
        <v>18430</v>
      </c>
      <c r="I41" s="214">
        <v>547.3655</v>
      </c>
      <c r="J41" s="214"/>
      <c r="K41" s="156"/>
      <c r="L41" s="82"/>
      <c r="M41" s="265"/>
      <c r="N41" s="74"/>
      <c r="O41" s="74">
        <v>60000</v>
      </c>
      <c r="P41" s="76"/>
      <c r="Q41" s="267"/>
      <c r="R41" s="186" t="s">
        <v>288</v>
      </c>
    </row>
    <row r="42" spans="1:20" ht="24.6" customHeight="1">
      <c r="A42" s="271">
        <v>32</v>
      </c>
      <c r="B42" s="330" t="s">
        <v>235</v>
      </c>
      <c r="C42" s="203">
        <v>29</v>
      </c>
      <c r="D42" s="203" t="s">
        <v>67</v>
      </c>
      <c r="E42" s="11" t="s">
        <v>63</v>
      </c>
      <c r="F42" s="11"/>
      <c r="G42" s="75"/>
      <c r="H42" s="214">
        <v>27850</v>
      </c>
      <c r="I42" s="214">
        <v>521.47659999999996</v>
      </c>
      <c r="J42" s="214"/>
      <c r="K42" s="156"/>
      <c r="L42" s="82"/>
      <c r="M42" s="264">
        <v>1050000</v>
      </c>
      <c r="N42" s="74"/>
      <c r="O42" s="74"/>
      <c r="P42" s="76"/>
      <c r="Q42" s="266">
        <f t="shared" si="0"/>
        <v>1050000</v>
      </c>
      <c r="R42" s="162"/>
    </row>
    <row r="43" spans="1:20" ht="24.6" customHeight="1">
      <c r="A43" s="272"/>
      <c r="B43" s="331"/>
      <c r="C43" s="203">
        <v>39</v>
      </c>
      <c r="D43" s="203" t="s">
        <v>289</v>
      </c>
      <c r="E43" s="11" t="s">
        <v>69</v>
      </c>
      <c r="F43" s="11"/>
      <c r="G43" s="75"/>
      <c r="H43" s="214">
        <v>114000</v>
      </c>
      <c r="I43" s="214">
        <v>852.3066</v>
      </c>
      <c r="J43" s="214"/>
      <c r="K43" s="156"/>
      <c r="L43" s="82"/>
      <c r="M43" s="265"/>
      <c r="N43" s="74"/>
      <c r="O43" s="74"/>
      <c r="P43" s="76"/>
      <c r="Q43" s="267"/>
      <c r="R43" s="186"/>
    </row>
    <row r="44" spans="1:20" ht="24.6" customHeight="1">
      <c r="A44" s="73">
        <v>33</v>
      </c>
      <c r="B44" s="131" t="s">
        <v>236</v>
      </c>
      <c r="C44" s="203">
        <v>22</v>
      </c>
      <c r="D44" s="203" t="s">
        <v>144</v>
      </c>
      <c r="E44" s="11" t="s">
        <v>48</v>
      </c>
      <c r="F44" s="11"/>
      <c r="G44" s="75"/>
      <c r="H44" s="214">
        <v>96000</v>
      </c>
      <c r="I44" s="214">
        <v>835.2</v>
      </c>
      <c r="J44" s="214"/>
      <c r="K44" s="156"/>
      <c r="L44" s="82"/>
      <c r="M44" s="74">
        <v>1100000</v>
      </c>
      <c r="N44" s="74"/>
      <c r="O44" s="74"/>
      <c r="P44" s="76"/>
      <c r="Q44" s="118">
        <f t="shared" si="0"/>
        <v>1100000</v>
      </c>
      <c r="R44" s="186"/>
    </row>
    <row r="45" spans="1:20" ht="24.6" customHeight="1">
      <c r="A45" s="73">
        <v>34</v>
      </c>
      <c r="B45" s="131" t="s">
        <v>236</v>
      </c>
      <c r="C45" s="203" t="s">
        <v>290</v>
      </c>
      <c r="D45" s="203" t="s">
        <v>47</v>
      </c>
      <c r="E45" s="11" t="s">
        <v>61</v>
      </c>
      <c r="F45" s="11"/>
      <c r="G45" s="75"/>
      <c r="H45" s="214">
        <f>16972+4800</f>
        <v>21772</v>
      </c>
      <c r="I45" s="214">
        <f>390.356+110.4</f>
        <v>500.75599999999997</v>
      </c>
      <c r="J45" s="214"/>
      <c r="K45" s="156"/>
      <c r="L45" s="82"/>
      <c r="M45" s="74">
        <v>1050000</v>
      </c>
      <c r="N45" s="74"/>
      <c r="O45" s="74"/>
      <c r="P45" s="76"/>
      <c r="Q45" s="118">
        <f t="shared" si="0"/>
        <v>1050000</v>
      </c>
      <c r="R45" s="186" t="s">
        <v>53</v>
      </c>
    </row>
    <row r="46" spans="1:20" ht="24.6" customHeight="1">
      <c r="A46" s="73">
        <v>35</v>
      </c>
      <c r="B46" s="131" t="s">
        <v>239</v>
      </c>
      <c r="C46" s="203">
        <v>20</v>
      </c>
      <c r="D46" s="203" t="s">
        <v>291</v>
      </c>
      <c r="E46" s="11" t="s">
        <v>87</v>
      </c>
      <c r="F46" s="11"/>
      <c r="G46" s="75"/>
      <c r="H46" s="214">
        <v>5100</v>
      </c>
      <c r="I46" s="214">
        <v>606.9</v>
      </c>
      <c r="J46" s="214"/>
      <c r="K46" s="156"/>
      <c r="L46" s="82"/>
      <c r="M46" s="74">
        <v>300000</v>
      </c>
      <c r="N46" s="74"/>
      <c r="O46" s="74"/>
      <c r="P46" s="76"/>
      <c r="Q46" s="118">
        <f t="shared" si="0"/>
        <v>300000</v>
      </c>
      <c r="R46" s="133"/>
      <c r="S46" s="249"/>
    </row>
    <row r="47" spans="1:20" ht="24.6" customHeight="1">
      <c r="A47" s="73">
        <v>36</v>
      </c>
      <c r="B47" s="131" t="s">
        <v>239</v>
      </c>
      <c r="C47" s="203">
        <v>21</v>
      </c>
      <c r="D47" s="203" t="s">
        <v>148</v>
      </c>
      <c r="E47" s="11" t="s">
        <v>48</v>
      </c>
      <c r="F47" s="11"/>
      <c r="G47" s="75"/>
      <c r="H47" s="214">
        <v>96000</v>
      </c>
      <c r="I47" s="214">
        <v>851.98080000000004</v>
      </c>
      <c r="J47" s="214"/>
      <c r="K47" s="156"/>
      <c r="L47" s="82"/>
      <c r="M47" s="74">
        <v>1100000</v>
      </c>
      <c r="N47" s="74"/>
      <c r="O47" s="74"/>
      <c r="P47" s="76"/>
      <c r="Q47" s="118">
        <f t="shared" si="0"/>
        <v>1100000</v>
      </c>
      <c r="R47" s="162"/>
    </row>
    <row r="48" spans="1:20" ht="24.6" customHeight="1">
      <c r="A48" s="73">
        <v>37</v>
      </c>
      <c r="B48" s="131" t="s">
        <v>240</v>
      </c>
      <c r="C48" s="203">
        <v>20</v>
      </c>
      <c r="D48" s="203" t="s">
        <v>116</v>
      </c>
      <c r="E48" s="11" t="s">
        <v>64</v>
      </c>
      <c r="F48" s="11"/>
      <c r="G48" s="75"/>
      <c r="H48" s="214">
        <v>615000</v>
      </c>
      <c r="I48" s="214">
        <v>1005.186</v>
      </c>
      <c r="J48" s="214"/>
      <c r="K48" s="156"/>
      <c r="L48" s="82"/>
      <c r="M48" s="74">
        <v>1050000</v>
      </c>
      <c r="N48" s="74"/>
      <c r="O48" s="74"/>
      <c r="P48" s="76"/>
      <c r="Q48" s="118">
        <f t="shared" si="0"/>
        <v>1050000</v>
      </c>
      <c r="R48" s="98" t="s">
        <v>51</v>
      </c>
    </row>
    <row r="49" spans="1:19" ht="24.6" customHeight="1">
      <c r="A49" s="73">
        <v>38</v>
      </c>
      <c r="B49" s="131" t="s">
        <v>240</v>
      </c>
      <c r="C49" s="203">
        <v>29</v>
      </c>
      <c r="D49" s="203" t="s">
        <v>200</v>
      </c>
      <c r="E49" s="11" t="s">
        <v>97</v>
      </c>
      <c r="F49" s="11"/>
      <c r="G49" s="75"/>
      <c r="H49" s="214">
        <v>132000</v>
      </c>
      <c r="I49" s="214">
        <v>1093.7760000000001</v>
      </c>
      <c r="J49" s="214"/>
      <c r="K49" s="156"/>
      <c r="L49" s="82"/>
      <c r="M49" s="74">
        <v>1100000</v>
      </c>
      <c r="N49" s="74"/>
      <c r="O49" s="74">
        <v>200000</v>
      </c>
      <c r="P49" s="76"/>
      <c r="Q49" s="118">
        <f t="shared" si="0"/>
        <v>1300000</v>
      </c>
      <c r="R49" s="220" t="s">
        <v>100</v>
      </c>
    </row>
    <row r="50" spans="1:19" s="21" customFormat="1" ht="24.6" customHeight="1">
      <c r="A50" s="335" t="s">
        <v>20</v>
      </c>
      <c r="B50" s="336"/>
      <c r="C50" s="336"/>
      <c r="D50" s="336"/>
      <c r="E50" s="336"/>
      <c r="F50" s="337"/>
      <c r="G50" s="20">
        <f t="shared" ref="G50:Q50" si="1">SUM(G8:G49)</f>
        <v>1020</v>
      </c>
      <c r="H50" s="20">
        <f t="shared" si="1"/>
        <v>5644605</v>
      </c>
      <c r="I50" s="20">
        <f t="shared" si="1"/>
        <v>41266.2071</v>
      </c>
      <c r="J50" s="20"/>
      <c r="K50" s="20">
        <f t="shared" si="1"/>
        <v>0</v>
      </c>
      <c r="L50" s="20">
        <f t="shared" si="1"/>
        <v>500000</v>
      </c>
      <c r="M50" s="20">
        <f t="shared" si="1"/>
        <v>39050000</v>
      </c>
      <c r="N50" s="20">
        <f t="shared" si="1"/>
        <v>0</v>
      </c>
      <c r="O50" s="20">
        <f t="shared" si="1"/>
        <v>880000</v>
      </c>
      <c r="P50" s="20">
        <f t="shared" si="1"/>
        <v>0</v>
      </c>
      <c r="Q50" s="143">
        <f t="shared" si="1"/>
        <v>40430000</v>
      </c>
      <c r="R50" s="109"/>
      <c r="S50" s="250"/>
    </row>
    <row r="51" spans="1:19" s="21" customFormat="1" ht="24.6" customHeight="1">
      <c r="A51" s="332" t="s">
        <v>21</v>
      </c>
      <c r="B51" s="333"/>
      <c r="C51" s="333"/>
      <c r="D51" s="333"/>
      <c r="E51" s="333"/>
      <c r="F51" s="334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f>8%*Q50</f>
        <v>3234400</v>
      </c>
      <c r="R51" s="22"/>
      <c r="S51" s="229"/>
    </row>
    <row r="52" spans="1:19" s="21" customFormat="1" ht="24.6" customHeight="1">
      <c r="A52" s="332" t="s">
        <v>22</v>
      </c>
      <c r="B52" s="333"/>
      <c r="C52" s="333"/>
      <c r="D52" s="333"/>
      <c r="E52" s="333"/>
      <c r="F52" s="334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>
        <f>Q51+Q50</f>
        <v>43664400</v>
      </c>
      <c r="R52" s="20"/>
    </row>
    <row r="53" spans="1:19" s="21" customFormat="1" ht="22.95" customHeight="1">
      <c r="A53" s="23"/>
      <c r="B53" s="101"/>
      <c r="C53" s="23"/>
      <c r="D53" s="23"/>
      <c r="E53" s="23"/>
      <c r="F53" s="2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5"/>
      <c r="S53" s="26"/>
    </row>
    <row r="54" spans="1:19" s="21" customFormat="1" ht="24.6" customHeight="1">
      <c r="A54" s="261" t="s">
        <v>23</v>
      </c>
      <c r="B54" s="262"/>
      <c r="C54" s="262"/>
      <c r="D54" s="262"/>
      <c r="E54" s="262"/>
      <c r="F54" s="263"/>
      <c r="G54" s="27">
        <f>G50</f>
        <v>1020</v>
      </c>
      <c r="H54" s="27"/>
      <c r="I54" s="27"/>
      <c r="J54" s="27"/>
      <c r="K54" s="28">
        <f>G50+I50</f>
        <v>42286.2071</v>
      </c>
      <c r="L54" s="27"/>
      <c r="M54" s="27"/>
      <c r="N54" s="27"/>
      <c r="O54" s="27"/>
      <c r="P54" s="27"/>
      <c r="Q54" s="27">
        <f>L50+N50</f>
        <v>500000</v>
      </c>
      <c r="R54" s="29"/>
      <c r="S54" s="30"/>
    </row>
    <row r="55" spans="1:19" s="21" customFormat="1" ht="24.6" customHeight="1">
      <c r="A55" s="261" t="s">
        <v>24</v>
      </c>
      <c r="B55" s="262"/>
      <c r="C55" s="262"/>
      <c r="D55" s="262"/>
      <c r="E55" s="262"/>
      <c r="F55" s="263"/>
      <c r="G55" s="27"/>
      <c r="H55" s="27"/>
      <c r="I55" s="27">
        <f>I50</f>
        <v>41266.2071</v>
      </c>
      <c r="J55" s="27"/>
      <c r="K55" s="27"/>
      <c r="L55" s="27"/>
      <c r="M55" s="27"/>
      <c r="N55" s="27"/>
      <c r="O55" s="27"/>
      <c r="P55" s="27"/>
      <c r="Q55" s="27">
        <f>M50+O50</f>
        <v>39930000</v>
      </c>
      <c r="R55" s="29"/>
      <c r="S55" s="30"/>
    </row>
    <row r="56" spans="1:19" s="21" customFormat="1" ht="24.6" customHeight="1">
      <c r="A56" s="261" t="s">
        <v>25</v>
      </c>
      <c r="B56" s="262"/>
      <c r="C56" s="262"/>
      <c r="D56" s="262"/>
      <c r="E56" s="262"/>
      <c r="F56" s="263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>
        <f>P50</f>
        <v>0</v>
      </c>
      <c r="R56" s="108"/>
      <c r="S56" s="30"/>
    </row>
    <row r="57" spans="1:19">
      <c r="A57" s="31"/>
      <c r="B57" s="102"/>
      <c r="C57" s="3" t="s">
        <v>27</v>
      </c>
      <c r="D57" s="32"/>
      <c r="E57" s="33"/>
      <c r="F57" s="33"/>
      <c r="G57" s="34" t="s">
        <v>241</v>
      </c>
      <c r="I57" s="35"/>
      <c r="J57" s="35"/>
      <c r="K57" s="36"/>
      <c r="L57" s="1"/>
      <c r="M57" s="1"/>
      <c r="N57" s="1"/>
      <c r="O57" s="1"/>
      <c r="P57" s="1"/>
      <c r="Q57" s="144" t="s">
        <v>28</v>
      </c>
    </row>
    <row r="58" spans="1:19" ht="18" customHeight="1">
      <c r="B58" s="102"/>
      <c r="D58" s="32"/>
      <c r="E58" s="37"/>
      <c r="F58" s="37"/>
      <c r="G58" s="38"/>
      <c r="H58" s="34"/>
      <c r="I58" s="32"/>
      <c r="J58" s="32"/>
      <c r="K58" s="32"/>
    </row>
    <row r="59" spans="1:19" s="8" customFormat="1" ht="18" customHeight="1">
      <c r="A59" s="1"/>
      <c r="B59" s="102"/>
      <c r="C59" s="3"/>
      <c r="D59" s="3"/>
      <c r="E59" s="3"/>
      <c r="F59" s="3"/>
      <c r="G59" s="39"/>
      <c r="H59" s="4"/>
      <c r="Q59" s="127"/>
    </row>
    <row r="60" spans="1:19">
      <c r="B60" s="102"/>
      <c r="E60" s="37"/>
      <c r="F60" s="37"/>
      <c r="G60" s="38"/>
      <c r="H60" s="34"/>
      <c r="I60" s="32"/>
      <c r="J60" s="32"/>
      <c r="K60" s="32"/>
    </row>
    <row r="61" spans="1:19">
      <c r="H61" s="34"/>
      <c r="Q61" s="21"/>
    </row>
    <row r="62" spans="1:19">
      <c r="C62" s="45"/>
      <c r="G62" s="34" t="str">
        <f>'[1]A VIEN'!G71</f>
        <v>Đặng Thị Mỹ Tin</v>
      </c>
      <c r="H62" s="34"/>
      <c r="Q62" s="145" t="s">
        <v>292</v>
      </c>
    </row>
    <row r="65" spans="18:18">
      <c r="R65" s="39" t="e">
        <f>+Q50+#REF!+#REF!+#REF!+#REF!+#REF!+#REF!+#REF!+#REF!</f>
        <v>#REF!</v>
      </c>
    </row>
  </sheetData>
  <mergeCells count="39">
    <mergeCell ref="M42:M43"/>
    <mergeCell ref="Q42:Q43"/>
    <mergeCell ref="Q9:Q10"/>
    <mergeCell ref="A1:R1"/>
    <mergeCell ref="A2:R2"/>
    <mergeCell ref="A3:R3"/>
    <mergeCell ref="A5:A7"/>
    <mergeCell ref="B5:B7"/>
    <mergeCell ref="C5:C7"/>
    <mergeCell ref="D5:D7"/>
    <mergeCell ref="E5:F5"/>
    <mergeCell ref="G5:I5"/>
    <mergeCell ref="K5:K7"/>
    <mergeCell ref="L5:M6"/>
    <mergeCell ref="N5:O6"/>
    <mergeCell ref="F6:F7"/>
    <mergeCell ref="P5:P7"/>
    <mergeCell ref="Q5:Q7"/>
    <mergeCell ref="R5:R7"/>
    <mergeCell ref="E6:E7"/>
    <mergeCell ref="A9:A10"/>
    <mergeCell ref="B9:B10"/>
    <mergeCell ref="H6:I6"/>
    <mergeCell ref="A26:A27"/>
    <mergeCell ref="B26:B27"/>
    <mergeCell ref="M26:M27"/>
    <mergeCell ref="Q26:Q27"/>
    <mergeCell ref="A56:F56"/>
    <mergeCell ref="A51:F51"/>
    <mergeCell ref="A52:F52"/>
    <mergeCell ref="A54:F54"/>
    <mergeCell ref="A55:F55"/>
    <mergeCell ref="A50:F50"/>
    <mergeCell ref="A40:A41"/>
    <mergeCell ref="B40:B41"/>
    <mergeCell ref="M40:M41"/>
    <mergeCell ref="Q40:Q41"/>
    <mergeCell ref="A42:A43"/>
    <mergeCell ref="B42:B4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3"/>
  <sheetViews>
    <sheetView topLeftCell="D1" zoomScale="70" zoomScaleNormal="70" workbookViewId="0">
      <selection activeCell="S37" sqref="S1:S1048576"/>
    </sheetView>
  </sheetViews>
  <sheetFormatPr defaultColWidth="9.109375" defaultRowHeight="13.8"/>
  <cols>
    <col min="1" max="1" width="8.77734375" style="1" customWidth="1"/>
    <col min="2" max="2" width="14.109375" style="103" customWidth="1"/>
    <col min="3" max="3" width="15.88671875" style="3" customWidth="1"/>
    <col min="4" max="4" width="22.33203125" style="3" customWidth="1"/>
    <col min="5" max="5" width="17.21875" style="41" customWidth="1"/>
    <col min="6" max="6" width="17.88671875" style="42" customWidth="1"/>
    <col min="7" max="7" width="15.88671875" style="35" customWidth="1"/>
    <col min="8" max="8" width="14.21875" style="46" customWidth="1"/>
    <col min="9" max="9" width="12.44140625" style="44" customWidth="1"/>
    <col min="10" max="10" width="11.33203125" style="44" customWidth="1"/>
    <col min="11" max="11" width="12.88671875" style="7" customWidth="1"/>
    <col min="12" max="13" width="15.88671875" style="7" customWidth="1"/>
    <col min="14" max="15" width="15" style="7" customWidth="1"/>
    <col min="16" max="16" width="14.33203125" style="7" customWidth="1"/>
    <col min="17" max="17" width="17" style="115" customWidth="1"/>
    <col min="18" max="18" width="40.21875" style="8" customWidth="1"/>
    <col min="19" max="19" width="21.6640625" style="3" customWidth="1"/>
    <col min="20" max="16384" width="9.109375" style="1"/>
  </cols>
  <sheetData>
    <row r="1" spans="1:18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</row>
    <row r="2" spans="1:18" ht="17.399999999999999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8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</row>
    <row r="4" spans="1:18">
      <c r="A4" s="357" t="s">
        <v>293</v>
      </c>
      <c r="B4" s="357"/>
      <c r="C4" s="357"/>
      <c r="D4" s="2"/>
      <c r="E4" s="3"/>
      <c r="F4" s="3"/>
      <c r="G4" s="4"/>
      <c r="H4" s="5"/>
      <c r="I4" s="6"/>
      <c r="J4" s="6"/>
    </row>
    <row r="5" spans="1:18" ht="21" customHeight="1">
      <c r="A5" s="291" t="s">
        <v>1</v>
      </c>
      <c r="B5" s="326" t="s">
        <v>2</v>
      </c>
      <c r="C5" s="291" t="s">
        <v>3</v>
      </c>
      <c r="D5" s="291" t="s">
        <v>4</v>
      </c>
      <c r="E5" s="291" t="s">
        <v>5</v>
      </c>
      <c r="F5" s="291"/>
      <c r="G5" s="321" t="s">
        <v>6</v>
      </c>
      <c r="H5" s="321"/>
      <c r="I5" s="321"/>
      <c r="J5" s="321"/>
      <c r="K5" s="327" t="s">
        <v>7</v>
      </c>
      <c r="L5" s="299" t="s">
        <v>8</v>
      </c>
      <c r="M5" s="300"/>
      <c r="N5" s="322" t="s">
        <v>9</v>
      </c>
      <c r="O5" s="322"/>
      <c r="P5" s="303" t="s">
        <v>10</v>
      </c>
      <c r="Q5" s="322" t="s">
        <v>11</v>
      </c>
      <c r="R5" s="358" t="s">
        <v>12</v>
      </c>
    </row>
    <row r="6" spans="1:18" ht="21" customHeight="1">
      <c r="A6" s="291"/>
      <c r="B6" s="326"/>
      <c r="C6" s="291"/>
      <c r="D6" s="291"/>
      <c r="E6" s="291" t="s">
        <v>13</v>
      </c>
      <c r="F6" s="291" t="s">
        <v>14</v>
      </c>
      <c r="G6" s="231" t="s">
        <v>15</v>
      </c>
      <c r="H6" s="321" t="s">
        <v>16</v>
      </c>
      <c r="I6" s="321"/>
      <c r="J6" s="230" t="s">
        <v>17</v>
      </c>
      <c r="K6" s="327"/>
      <c r="L6" s="328"/>
      <c r="M6" s="329"/>
      <c r="N6" s="322"/>
      <c r="O6" s="322"/>
      <c r="P6" s="304"/>
      <c r="Q6" s="322"/>
      <c r="R6" s="358"/>
    </row>
    <row r="7" spans="1:18" ht="21" customHeight="1">
      <c r="A7" s="291"/>
      <c r="B7" s="326"/>
      <c r="C7" s="291"/>
      <c r="D7" s="291"/>
      <c r="E7" s="291"/>
      <c r="F7" s="291"/>
      <c r="G7" s="231" t="s">
        <v>18</v>
      </c>
      <c r="H7" s="226" t="s">
        <v>19</v>
      </c>
      <c r="I7" s="230" t="s">
        <v>18</v>
      </c>
      <c r="J7" s="230" t="s">
        <v>18</v>
      </c>
      <c r="K7" s="327"/>
      <c r="L7" s="231" t="s">
        <v>15</v>
      </c>
      <c r="M7" s="9" t="s">
        <v>16</v>
      </c>
      <c r="N7" s="231" t="s">
        <v>15</v>
      </c>
      <c r="O7" s="90" t="s">
        <v>16</v>
      </c>
      <c r="P7" s="323"/>
      <c r="Q7" s="322"/>
      <c r="R7" s="358"/>
    </row>
    <row r="8" spans="1:18" ht="25.2" customHeight="1">
      <c r="A8" s="345">
        <v>1</v>
      </c>
      <c r="B8" s="273" t="s">
        <v>189</v>
      </c>
      <c r="C8" s="203">
        <v>43</v>
      </c>
      <c r="D8" s="203" t="s">
        <v>116</v>
      </c>
      <c r="E8" s="11"/>
      <c r="F8" s="11" t="s">
        <v>69</v>
      </c>
      <c r="G8" s="75"/>
      <c r="H8" s="214">
        <v>36400</v>
      </c>
      <c r="I8" s="214">
        <v>311.16059999999999</v>
      </c>
      <c r="J8" s="9"/>
      <c r="K8" s="234"/>
      <c r="L8" s="13"/>
      <c r="M8" s="343">
        <v>1260000</v>
      </c>
      <c r="N8" s="13"/>
      <c r="O8" s="13"/>
      <c r="P8" s="16"/>
      <c r="Q8" s="266">
        <f>SUM(L8:P10)</f>
        <v>1260000</v>
      </c>
      <c r="R8" s="130"/>
    </row>
    <row r="9" spans="1:18" ht="25.2" customHeight="1">
      <c r="A9" s="351"/>
      <c r="B9" s="276"/>
      <c r="C9" s="11" t="s">
        <v>166</v>
      </c>
      <c r="D9" s="203" t="s">
        <v>180</v>
      </c>
      <c r="E9" s="11"/>
      <c r="F9" s="11" t="s">
        <v>54</v>
      </c>
      <c r="G9" s="75"/>
      <c r="H9" s="228">
        <v>42900</v>
      </c>
      <c r="I9" s="228">
        <v>1083.8040000000001</v>
      </c>
      <c r="J9" s="9"/>
      <c r="K9" s="234"/>
      <c r="L9" s="13"/>
      <c r="M9" s="356"/>
      <c r="N9" s="13"/>
      <c r="O9" s="13"/>
      <c r="P9" s="16"/>
      <c r="Q9" s="278"/>
      <c r="R9" s="79"/>
    </row>
    <row r="10" spans="1:18" ht="25.2" customHeight="1">
      <c r="A10" s="346"/>
      <c r="B10" s="274"/>
      <c r="C10" s="11">
        <v>32</v>
      </c>
      <c r="D10" s="203" t="s">
        <v>105</v>
      </c>
      <c r="E10" s="11"/>
      <c r="F10" s="11" t="s">
        <v>50</v>
      </c>
      <c r="G10" s="132"/>
      <c r="H10" s="214">
        <v>32000</v>
      </c>
      <c r="I10" s="228">
        <v>518.4</v>
      </c>
      <c r="J10" s="111"/>
      <c r="K10" s="234"/>
      <c r="L10" s="13"/>
      <c r="M10" s="344"/>
      <c r="N10" s="13"/>
      <c r="O10" s="13"/>
      <c r="P10" s="19"/>
      <c r="Q10" s="267"/>
      <c r="R10" s="130"/>
    </row>
    <row r="11" spans="1:18" ht="25.2" customHeight="1">
      <c r="A11" s="345">
        <v>2</v>
      </c>
      <c r="B11" s="273" t="s">
        <v>193</v>
      </c>
      <c r="C11" s="203">
        <v>7</v>
      </c>
      <c r="D11" s="203" t="s">
        <v>74</v>
      </c>
      <c r="E11" s="11"/>
      <c r="F11" s="11" t="s">
        <v>75</v>
      </c>
      <c r="G11" s="75">
        <v>2040</v>
      </c>
      <c r="H11" s="214"/>
      <c r="I11" s="214"/>
      <c r="J11" s="111"/>
      <c r="K11" s="234"/>
      <c r="L11" s="13">
        <v>480000</v>
      </c>
      <c r="M11" s="13"/>
      <c r="N11" s="13"/>
      <c r="O11" s="13"/>
      <c r="P11" s="16"/>
      <c r="Q11" s="266">
        <f>SUM(L11:P12)</f>
        <v>1280000</v>
      </c>
      <c r="R11" s="130"/>
    </row>
    <row r="12" spans="1:18" ht="25.2" customHeight="1">
      <c r="A12" s="346"/>
      <c r="B12" s="274"/>
      <c r="C12" s="11">
        <v>4</v>
      </c>
      <c r="D12" s="203" t="s">
        <v>183</v>
      </c>
      <c r="E12" s="11"/>
      <c r="F12" s="11" t="s">
        <v>46</v>
      </c>
      <c r="G12" s="75"/>
      <c r="H12" s="228">
        <v>100000</v>
      </c>
      <c r="I12" s="228">
        <v>850</v>
      </c>
      <c r="J12" s="111"/>
      <c r="K12" s="234"/>
      <c r="L12" s="18"/>
      <c r="M12" s="13">
        <v>800000</v>
      </c>
      <c r="N12" s="13"/>
      <c r="O12" s="13"/>
      <c r="P12" s="16"/>
      <c r="Q12" s="267"/>
      <c r="R12" s="198"/>
    </row>
    <row r="13" spans="1:18" ht="25.2" customHeight="1">
      <c r="A13" s="205">
        <v>3</v>
      </c>
      <c r="B13" s="206" t="s">
        <v>193</v>
      </c>
      <c r="C13" s="203">
        <v>36</v>
      </c>
      <c r="D13" s="203" t="s">
        <v>169</v>
      </c>
      <c r="E13" s="11"/>
      <c r="F13" s="11" t="s">
        <v>48</v>
      </c>
      <c r="G13" s="75"/>
      <c r="H13" s="214">
        <v>142000</v>
      </c>
      <c r="I13" s="214">
        <v>1534.86</v>
      </c>
      <c r="J13" s="9"/>
      <c r="K13" s="205"/>
      <c r="L13" s="15"/>
      <c r="M13" s="13">
        <v>1250000</v>
      </c>
      <c r="N13" s="13"/>
      <c r="O13" s="13">
        <v>260000</v>
      </c>
      <c r="P13" s="16"/>
      <c r="Q13" s="118">
        <f t="shared" ref="Q13:Q56" si="0">SUM(L13:P13)</f>
        <v>1510000</v>
      </c>
      <c r="R13" s="130" t="s">
        <v>294</v>
      </c>
    </row>
    <row r="14" spans="1:18" ht="25.2" customHeight="1">
      <c r="A14" s="345">
        <v>4</v>
      </c>
      <c r="B14" s="273" t="s">
        <v>194</v>
      </c>
      <c r="C14" s="203">
        <v>36</v>
      </c>
      <c r="D14" s="203" t="s">
        <v>72</v>
      </c>
      <c r="E14" s="11"/>
      <c r="F14" s="11" t="s">
        <v>77</v>
      </c>
      <c r="G14" s="75">
        <v>3000</v>
      </c>
      <c r="H14" s="75"/>
      <c r="I14" s="75"/>
      <c r="J14" s="9"/>
      <c r="K14" s="13"/>
      <c r="L14" s="347">
        <v>1630000</v>
      </c>
      <c r="M14" s="13"/>
      <c r="N14" s="13"/>
      <c r="O14" s="13"/>
      <c r="P14" s="16"/>
      <c r="Q14" s="266">
        <f>SUM(L14:P15)</f>
        <v>1630000</v>
      </c>
      <c r="R14" s="130" t="s">
        <v>51</v>
      </c>
    </row>
    <row r="15" spans="1:18" ht="25.2" customHeight="1">
      <c r="A15" s="346"/>
      <c r="B15" s="274"/>
      <c r="C15" s="11">
        <v>20</v>
      </c>
      <c r="D15" s="203" t="s">
        <v>159</v>
      </c>
      <c r="E15" s="11"/>
      <c r="F15" s="11" t="s">
        <v>66</v>
      </c>
      <c r="G15" s="132">
        <v>704</v>
      </c>
      <c r="H15" s="75"/>
      <c r="I15" s="75"/>
      <c r="J15" s="9"/>
      <c r="K15" s="13"/>
      <c r="L15" s="348"/>
      <c r="M15" s="13"/>
      <c r="N15" s="17"/>
      <c r="O15" s="17"/>
      <c r="P15" s="17"/>
      <c r="Q15" s="267"/>
      <c r="R15" s="188"/>
    </row>
    <row r="16" spans="1:18" ht="25.2" customHeight="1">
      <c r="A16" s="205">
        <v>5</v>
      </c>
      <c r="B16" s="206" t="s">
        <v>196</v>
      </c>
      <c r="C16" s="203">
        <v>44</v>
      </c>
      <c r="D16" s="203" t="s">
        <v>175</v>
      </c>
      <c r="E16" s="11"/>
      <c r="F16" s="11" t="s">
        <v>77</v>
      </c>
      <c r="G16" s="75"/>
      <c r="H16" s="214">
        <v>100000</v>
      </c>
      <c r="I16" s="214">
        <v>920</v>
      </c>
      <c r="J16" s="9"/>
      <c r="K16" s="205"/>
      <c r="L16" s="18"/>
      <c r="M16" s="13">
        <v>1450000</v>
      </c>
      <c r="N16" s="13"/>
      <c r="O16" s="13"/>
      <c r="P16" s="16"/>
      <c r="Q16" s="118">
        <f t="shared" si="0"/>
        <v>1450000</v>
      </c>
      <c r="R16" s="112"/>
    </row>
    <row r="17" spans="1:19" ht="31.2" customHeight="1">
      <c r="A17" s="205">
        <v>6</v>
      </c>
      <c r="B17" s="206" t="s">
        <v>201</v>
      </c>
      <c r="C17" s="203">
        <v>36</v>
      </c>
      <c r="D17" s="203" t="s">
        <v>116</v>
      </c>
      <c r="E17" s="11"/>
      <c r="F17" s="11" t="s">
        <v>109</v>
      </c>
      <c r="G17" s="75"/>
      <c r="H17" s="214">
        <v>160900</v>
      </c>
      <c r="I17" s="214">
        <v>2266.06</v>
      </c>
      <c r="J17" s="9"/>
      <c r="K17" s="205"/>
      <c r="L17" s="13"/>
      <c r="M17" s="13">
        <v>1750000</v>
      </c>
      <c r="N17" s="13">
        <v>400000</v>
      </c>
      <c r="O17" s="13"/>
      <c r="P17" s="16"/>
      <c r="Q17" s="118">
        <f t="shared" si="0"/>
        <v>2150000</v>
      </c>
      <c r="R17" s="187" t="s">
        <v>295</v>
      </c>
    </row>
    <row r="18" spans="1:19" ht="25.2" customHeight="1">
      <c r="A18" s="345">
        <v>7</v>
      </c>
      <c r="B18" s="273" t="s">
        <v>203</v>
      </c>
      <c r="C18" s="11">
        <v>8</v>
      </c>
      <c r="D18" s="203" t="s">
        <v>72</v>
      </c>
      <c r="E18" s="11"/>
      <c r="F18" s="11" t="s">
        <v>77</v>
      </c>
      <c r="G18" s="75">
        <v>2000</v>
      </c>
      <c r="H18" s="228"/>
      <c r="I18" s="228"/>
      <c r="J18" s="9"/>
      <c r="K18" s="177"/>
      <c r="L18" s="13"/>
      <c r="M18" s="13">
        <v>900000</v>
      </c>
      <c r="N18" s="13"/>
      <c r="O18" s="13"/>
      <c r="P18" s="16"/>
      <c r="Q18" s="266">
        <f>SUM(L18:P19)</f>
        <v>1530000</v>
      </c>
      <c r="R18" s="188"/>
    </row>
    <row r="19" spans="1:19" ht="25.2" customHeight="1">
      <c r="A19" s="346"/>
      <c r="B19" s="274"/>
      <c r="C19" s="232">
        <v>2</v>
      </c>
      <c r="D19" s="232" t="s">
        <v>106</v>
      </c>
      <c r="E19" s="131"/>
      <c r="F19" s="131" t="s">
        <v>77</v>
      </c>
      <c r="G19" s="228"/>
      <c r="H19" s="228">
        <v>60000</v>
      </c>
      <c r="I19" s="228">
        <v>422</v>
      </c>
      <c r="J19" s="170"/>
      <c r="K19" s="11"/>
      <c r="L19" s="84"/>
      <c r="M19" s="13"/>
      <c r="N19" s="75">
        <v>630000</v>
      </c>
      <c r="O19" s="13"/>
      <c r="P19" s="16"/>
      <c r="Q19" s="267"/>
      <c r="R19" s="130"/>
    </row>
    <row r="20" spans="1:19" ht="27.6" customHeight="1">
      <c r="A20" s="345">
        <v>8</v>
      </c>
      <c r="B20" s="273" t="s">
        <v>206</v>
      </c>
      <c r="C20" s="11" t="s">
        <v>296</v>
      </c>
      <c r="D20" s="11" t="s">
        <v>128</v>
      </c>
      <c r="E20" s="11"/>
      <c r="F20" s="11" t="s">
        <v>110</v>
      </c>
      <c r="G20" s="228">
        <f>2740+1000</f>
        <v>3740</v>
      </c>
      <c r="H20" s="228"/>
      <c r="I20" s="228"/>
      <c r="J20" s="111"/>
      <c r="K20" s="234"/>
      <c r="L20" s="84"/>
      <c r="M20" s="13">
        <v>1700000</v>
      </c>
      <c r="N20" s="19"/>
      <c r="O20" s="17"/>
      <c r="P20" s="17"/>
      <c r="Q20" s="266">
        <f>SUM(L20:P21)</f>
        <v>2030000</v>
      </c>
      <c r="R20" s="188"/>
    </row>
    <row r="21" spans="1:19" ht="25.2" customHeight="1">
      <c r="A21" s="346"/>
      <c r="B21" s="274"/>
      <c r="C21" s="11">
        <v>17</v>
      </c>
      <c r="D21" s="203" t="s">
        <v>56</v>
      </c>
      <c r="E21" s="11"/>
      <c r="F21" s="11" t="s">
        <v>33</v>
      </c>
      <c r="G21" s="75"/>
      <c r="H21" s="228">
        <v>122405</v>
      </c>
      <c r="I21" s="228">
        <v>732.56399999999996</v>
      </c>
      <c r="J21" s="111"/>
      <c r="K21" s="234"/>
      <c r="L21" s="84"/>
      <c r="M21" s="13"/>
      <c r="N21" s="10">
        <v>330000</v>
      </c>
      <c r="O21" s="17"/>
      <c r="P21" s="17"/>
      <c r="Q21" s="267"/>
      <c r="R21" s="130"/>
    </row>
    <row r="22" spans="1:19" ht="25.2" customHeight="1">
      <c r="A22" s="345">
        <v>9</v>
      </c>
      <c r="B22" s="273" t="s">
        <v>207</v>
      </c>
      <c r="C22" s="11">
        <v>23</v>
      </c>
      <c r="D22" s="11" t="s">
        <v>164</v>
      </c>
      <c r="E22" s="11"/>
      <c r="F22" s="11" t="s">
        <v>66</v>
      </c>
      <c r="G22" s="228"/>
      <c r="H22" s="228">
        <v>25532</v>
      </c>
      <c r="I22" s="228">
        <v>310.63159999999999</v>
      </c>
      <c r="J22" s="9"/>
      <c r="K22" s="234"/>
      <c r="L22" s="13"/>
      <c r="M22" s="343">
        <v>1260000</v>
      </c>
      <c r="N22" s="13"/>
      <c r="O22" s="13"/>
      <c r="P22" s="16"/>
      <c r="Q22" s="266">
        <f>SUM(L22:P24)</f>
        <v>1660000</v>
      </c>
      <c r="R22" s="130" t="s">
        <v>51</v>
      </c>
    </row>
    <row r="23" spans="1:19" ht="25.2" customHeight="1">
      <c r="A23" s="351"/>
      <c r="B23" s="276"/>
      <c r="C23" s="11">
        <v>21</v>
      </c>
      <c r="D23" s="203" t="s">
        <v>297</v>
      </c>
      <c r="E23" s="11"/>
      <c r="F23" s="11" t="s">
        <v>66</v>
      </c>
      <c r="G23" s="75"/>
      <c r="H23" s="228">
        <v>29500</v>
      </c>
      <c r="I23" s="228">
        <v>870.25</v>
      </c>
      <c r="J23" s="9"/>
      <c r="K23" s="234"/>
      <c r="L23" s="13"/>
      <c r="M23" s="344"/>
      <c r="N23" s="13"/>
      <c r="O23" s="13"/>
      <c r="P23" s="16"/>
      <c r="Q23" s="278"/>
      <c r="R23" s="130"/>
    </row>
    <row r="24" spans="1:19" ht="25.2" customHeight="1">
      <c r="A24" s="346"/>
      <c r="B24" s="274"/>
      <c r="C24" s="11">
        <v>16</v>
      </c>
      <c r="D24" s="203" t="s">
        <v>65</v>
      </c>
      <c r="E24" s="11"/>
      <c r="F24" s="11" t="s">
        <v>66</v>
      </c>
      <c r="G24" s="132">
        <v>1000</v>
      </c>
      <c r="H24" s="214"/>
      <c r="I24" s="228"/>
      <c r="J24" s="9"/>
      <c r="K24" s="146"/>
      <c r="L24" s="13">
        <v>400000</v>
      </c>
      <c r="M24" s="13"/>
      <c r="N24" s="13"/>
      <c r="O24" s="13"/>
      <c r="P24" s="16"/>
      <c r="Q24" s="267"/>
      <c r="R24" s="130"/>
    </row>
    <row r="25" spans="1:19" ht="25.2" customHeight="1">
      <c r="A25" s="205">
        <v>10</v>
      </c>
      <c r="B25" s="206" t="s">
        <v>210</v>
      </c>
      <c r="C25" s="203">
        <v>9</v>
      </c>
      <c r="D25" s="203" t="s">
        <v>93</v>
      </c>
      <c r="E25" s="11"/>
      <c r="F25" s="11" t="s">
        <v>46</v>
      </c>
      <c r="G25" s="75"/>
      <c r="H25" s="214">
        <v>83200</v>
      </c>
      <c r="I25" s="214">
        <v>1551.86</v>
      </c>
      <c r="J25" s="9"/>
      <c r="K25" s="146"/>
      <c r="L25" s="13"/>
      <c r="M25" s="18">
        <v>1200000</v>
      </c>
      <c r="N25" s="11"/>
      <c r="O25" s="11"/>
      <c r="P25" s="75"/>
      <c r="Q25" s="118">
        <f t="shared" si="0"/>
        <v>1200000</v>
      </c>
      <c r="R25" s="130"/>
      <c r="S25" s="251"/>
    </row>
    <row r="26" spans="1:19" ht="25.2" customHeight="1">
      <c r="A26" s="345">
        <v>11</v>
      </c>
      <c r="B26" s="273" t="s">
        <v>215</v>
      </c>
      <c r="C26" s="203">
        <v>8</v>
      </c>
      <c r="D26" s="203" t="s">
        <v>105</v>
      </c>
      <c r="E26" s="11"/>
      <c r="F26" s="11" t="s">
        <v>76</v>
      </c>
      <c r="G26" s="75"/>
      <c r="H26" s="214">
        <v>50000</v>
      </c>
      <c r="I26" s="228">
        <v>375</v>
      </c>
      <c r="J26" s="9"/>
      <c r="K26" s="83"/>
      <c r="L26" s="84"/>
      <c r="M26" s="18">
        <v>480000</v>
      </c>
      <c r="N26" s="13"/>
      <c r="O26" s="13"/>
      <c r="P26" s="16"/>
      <c r="Q26" s="266">
        <f>SUM(L26:P27)</f>
        <v>980000</v>
      </c>
      <c r="R26" s="208"/>
    </row>
    <row r="27" spans="1:19" ht="25.2" customHeight="1">
      <c r="A27" s="346"/>
      <c r="B27" s="274"/>
      <c r="C27" s="11">
        <v>12</v>
      </c>
      <c r="D27" s="203" t="s">
        <v>70</v>
      </c>
      <c r="E27" s="11"/>
      <c r="F27" s="11" t="s">
        <v>76</v>
      </c>
      <c r="G27" s="75">
        <v>1870</v>
      </c>
      <c r="H27" s="228"/>
      <c r="I27" s="228"/>
      <c r="J27" s="9"/>
      <c r="K27" s="83"/>
      <c r="L27" s="13">
        <v>500000</v>
      </c>
      <c r="M27" s="18"/>
      <c r="N27" s="13"/>
      <c r="O27" s="13"/>
      <c r="P27" s="13"/>
      <c r="Q27" s="267"/>
      <c r="R27" s="199"/>
    </row>
    <row r="28" spans="1:19" ht="25.2" customHeight="1">
      <c r="A28" s="205">
        <v>12</v>
      </c>
      <c r="B28" s="206" t="s">
        <v>215</v>
      </c>
      <c r="C28" s="203">
        <v>3</v>
      </c>
      <c r="D28" s="203" t="s">
        <v>56</v>
      </c>
      <c r="E28" s="11"/>
      <c r="F28" s="11" t="s">
        <v>33</v>
      </c>
      <c r="G28" s="75"/>
      <c r="H28" s="214">
        <v>123600</v>
      </c>
      <c r="I28" s="214">
        <v>2311.8002000000001</v>
      </c>
      <c r="J28" s="9"/>
      <c r="K28" s="146"/>
      <c r="L28" s="13"/>
      <c r="M28" s="18">
        <v>850000</v>
      </c>
      <c r="N28" s="13"/>
      <c r="O28" s="13"/>
      <c r="P28" s="13"/>
      <c r="Q28" s="118">
        <f t="shared" si="0"/>
        <v>850000</v>
      </c>
      <c r="R28" s="79" t="s">
        <v>53</v>
      </c>
    </row>
    <row r="29" spans="1:19" ht="25.2" customHeight="1">
      <c r="A29" s="345">
        <v>13</v>
      </c>
      <c r="B29" s="273" t="s">
        <v>217</v>
      </c>
      <c r="C29" s="203">
        <v>40</v>
      </c>
      <c r="D29" s="203" t="s">
        <v>298</v>
      </c>
      <c r="E29" s="11"/>
      <c r="F29" s="11" t="s">
        <v>54</v>
      </c>
      <c r="G29" s="75"/>
      <c r="H29" s="214">
        <v>56000</v>
      </c>
      <c r="I29" s="228">
        <v>1597.19</v>
      </c>
      <c r="J29" s="9"/>
      <c r="K29" s="146"/>
      <c r="L29" s="13"/>
      <c r="M29" s="347">
        <v>1180000</v>
      </c>
      <c r="N29" s="13"/>
      <c r="O29" s="13"/>
      <c r="P29" s="13"/>
      <c r="Q29" s="266">
        <f>SUM(L29:P30)</f>
        <v>1180000</v>
      </c>
      <c r="R29" s="112"/>
    </row>
    <row r="30" spans="1:19" ht="25.2" customHeight="1">
      <c r="A30" s="346"/>
      <c r="B30" s="274"/>
      <c r="C30" s="11">
        <v>30</v>
      </c>
      <c r="D30" s="203" t="s">
        <v>180</v>
      </c>
      <c r="E30" s="11"/>
      <c r="F30" s="11" t="s">
        <v>54</v>
      </c>
      <c r="G30" s="75"/>
      <c r="H30" s="228">
        <v>14949</v>
      </c>
      <c r="I30" s="228">
        <v>554.7441</v>
      </c>
      <c r="J30" s="9"/>
      <c r="K30" s="146"/>
      <c r="L30" s="13"/>
      <c r="M30" s="348"/>
      <c r="N30" s="13"/>
      <c r="O30" s="13"/>
      <c r="P30" s="16"/>
      <c r="Q30" s="267"/>
      <c r="R30" s="79"/>
    </row>
    <row r="31" spans="1:19" ht="25.2" customHeight="1">
      <c r="A31" s="205">
        <v>14</v>
      </c>
      <c r="B31" s="206" t="s">
        <v>218</v>
      </c>
      <c r="C31" s="203">
        <v>27</v>
      </c>
      <c r="D31" s="203" t="s">
        <v>49</v>
      </c>
      <c r="E31" s="11"/>
      <c r="F31" s="11" t="s">
        <v>299</v>
      </c>
      <c r="G31" s="75"/>
      <c r="H31" s="214">
        <v>15000</v>
      </c>
      <c r="I31" s="228">
        <v>1489.11</v>
      </c>
      <c r="J31" s="170"/>
      <c r="K31" s="53"/>
      <c r="L31" s="13"/>
      <c r="M31" s="107">
        <v>600000</v>
      </c>
      <c r="N31" s="84"/>
      <c r="O31" s="75">
        <v>200000</v>
      </c>
      <c r="P31" s="95"/>
      <c r="Q31" s="118">
        <f t="shared" si="0"/>
        <v>800000</v>
      </c>
      <c r="R31" s="197" t="s">
        <v>300</v>
      </c>
    </row>
    <row r="32" spans="1:19" ht="25.2" customHeight="1">
      <c r="A32" s="345">
        <v>15</v>
      </c>
      <c r="B32" s="273" t="s">
        <v>218</v>
      </c>
      <c r="C32" s="203">
        <v>16</v>
      </c>
      <c r="D32" s="203" t="s">
        <v>133</v>
      </c>
      <c r="E32" s="11"/>
      <c r="F32" s="11" t="s">
        <v>63</v>
      </c>
      <c r="G32" s="75"/>
      <c r="H32" s="214">
        <v>55300</v>
      </c>
      <c r="I32" s="228">
        <v>1447.93</v>
      </c>
      <c r="J32" s="111"/>
      <c r="K32" s="234"/>
      <c r="L32" s="13"/>
      <c r="M32" s="354">
        <v>1230000</v>
      </c>
      <c r="N32" s="84"/>
      <c r="O32" s="84"/>
      <c r="P32" s="95"/>
      <c r="Q32" s="266">
        <f>SUM(L32:P33)</f>
        <v>1230000</v>
      </c>
      <c r="R32" s="130" t="s">
        <v>53</v>
      </c>
    </row>
    <row r="33" spans="1:18" ht="25.2" customHeight="1">
      <c r="A33" s="346"/>
      <c r="B33" s="274"/>
      <c r="C33" s="11">
        <v>31</v>
      </c>
      <c r="D33" s="203" t="s">
        <v>116</v>
      </c>
      <c r="E33" s="11"/>
      <c r="F33" s="11" t="s">
        <v>46</v>
      </c>
      <c r="G33" s="75"/>
      <c r="H33" s="228">
        <v>61600</v>
      </c>
      <c r="I33" s="228">
        <v>965.77739999999994</v>
      </c>
      <c r="J33" s="111"/>
      <c r="K33" s="234"/>
      <c r="L33" s="13"/>
      <c r="M33" s="355"/>
      <c r="N33" s="84"/>
      <c r="O33" s="84"/>
      <c r="P33" s="95"/>
      <c r="Q33" s="267"/>
      <c r="R33" s="130"/>
    </row>
    <row r="34" spans="1:18" ht="25.2" customHeight="1">
      <c r="A34" s="345">
        <v>16</v>
      </c>
      <c r="B34" s="273" t="s">
        <v>221</v>
      </c>
      <c r="C34" s="203">
        <v>20</v>
      </c>
      <c r="D34" s="203" t="s">
        <v>98</v>
      </c>
      <c r="E34" s="11"/>
      <c r="F34" s="11" t="s">
        <v>46</v>
      </c>
      <c r="G34" s="75">
        <v>2216</v>
      </c>
      <c r="H34" s="214"/>
      <c r="I34" s="216"/>
      <c r="J34" s="111"/>
      <c r="K34" s="234"/>
      <c r="L34" s="13">
        <v>500000</v>
      </c>
      <c r="M34" s="96"/>
      <c r="N34" s="84"/>
      <c r="O34" s="84"/>
      <c r="P34" s="95"/>
      <c r="Q34" s="266">
        <f>SUM(L34:P35)</f>
        <v>1280000</v>
      </c>
      <c r="R34" s="130"/>
    </row>
    <row r="35" spans="1:18" ht="25.2" customHeight="1">
      <c r="A35" s="346"/>
      <c r="B35" s="274"/>
      <c r="C35" s="11">
        <v>27</v>
      </c>
      <c r="D35" s="11" t="s">
        <v>116</v>
      </c>
      <c r="E35" s="11"/>
      <c r="F35" s="11" t="s">
        <v>46</v>
      </c>
      <c r="G35" s="75"/>
      <c r="H35" s="214">
        <v>40800</v>
      </c>
      <c r="I35" s="214">
        <v>885.36</v>
      </c>
      <c r="J35" s="111"/>
      <c r="K35" s="234"/>
      <c r="L35" s="13"/>
      <c r="M35" s="96">
        <v>780000</v>
      </c>
      <c r="N35" s="84"/>
      <c r="O35" s="84"/>
      <c r="P35" s="95"/>
      <c r="Q35" s="267"/>
      <c r="R35" s="79"/>
    </row>
    <row r="36" spans="1:18" ht="25.2" customHeight="1">
      <c r="A36" s="345">
        <v>17</v>
      </c>
      <c r="B36" s="273" t="s">
        <v>223</v>
      </c>
      <c r="C36" s="203">
        <v>9</v>
      </c>
      <c r="D36" s="203" t="s">
        <v>65</v>
      </c>
      <c r="E36" s="11"/>
      <c r="F36" s="11" t="s">
        <v>66</v>
      </c>
      <c r="G36" s="75">
        <v>2390</v>
      </c>
      <c r="H36" s="214"/>
      <c r="I36" s="216"/>
      <c r="J36" s="111"/>
      <c r="K36" s="234"/>
      <c r="L36" s="343">
        <v>1340000</v>
      </c>
      <c r="M36" s="96"/>
      <c r="N36" s="84"/>
      <c r="O36" s="84"/>
      <c r="P36" s="95"/>
      <c r="Q36" s="266">
        <f>SUM(L36:P38)</f>
        <v>1740000</v>
      </c>
      <c r="R36" s="79" t="s">
        <v>301</v>
      </c>
    </row>
    <row r="37" spans="1:18" ht="25.2" customHeight="1">
      <c r="A37" s="351"/>
      <c r="B37" s="276"/>
      <c r="C37" s="11">
        <v>28</v>
      </c>
      <c r="D37" s="11" t="s">
        <v>74</v>
      </c>
      <c r="E37" s="11"/>
      <c r="F37" s="11" t="s">
        <v>75</v>
      </c>
      <c r="G37" s="75">
        <v>1320</v>
      </c>
      <c r="H37" s="214"/>
      <c r="I37" s="214"/>
      <c r="J37" s="111"/>
      <c r="K37" s="234"/>
      <c r="L37" s="344"/>
      <c r="M37" s="96"/>
      <c r="N37" s="84"/>
      <c r="O37" s="84"/>
      <c r="P37" s="95"/>
      <c r="Q37" s="278"/>
      <c r="R37" s="79"/>
    </row>
    <row r="38" spans="1:18" ht="25.2" customHeight="1">
      <c r="A38" s="346"/>
      <c r="B38" s="274"/>
      <c r="C38" s="203" t="s">
        <v>302</v>
      </c>
      <c r="D38" s="203" t="s">
        <v>108</v>
      </c>
      <c r="E38" s="11"/>
      <c r="F38" s="11" t="s">
        <v>48</v>
      </c>
      <c r="G38" s="75"/>
      <c r="H38" s="214">
        <f>35000+5000</f>
        <v>40000</v>
      </c>
      <c r="I38" s="214">
        <f>369.3+112.5</f>
        <v>481.8</v>
      </c>
      <c r="J38" s="111"/>
      <c r="K38" s="234"/>
      <c r="L38" s="13"/>
      <c r="M38" s="96">
        <v>400000</v>
      </c>
      <c r="N38" s="84"/>
      <c r="O38" s="84"/>
      <c r="P38" s="95"/>
      <c r="Q38" s="267"/>
      <c r="R38" s="79"/>
    </row>
    <row r="39" spans="1:18" ht="25.2" customHeight="1">
      <c r="A39" s="205">
        <v>18</v>
      </c>
      <c r="B39" s="206" t="s">
        <v>225</v>
      </c>
      <c r="C39" s="203">
        <v>42</v>
      </c>
      <c r="D39" s="203" t="s">
        <v>116</v>
      </c>
      <c r="E39" s="11"/>
      <c r="F39" s="11" t="s">
        <v>33</v>
      </c>
      <c r="G39" s="75"/>
      <c r="H39" s="214">
        <v>151960</v>
      </c>
      <c r="I39" s="228">
        <v>1427.1949</v>
      </c>
      <c r="J39" s="111"/>
      <c r="K39" s="234"/>
      <c r="L39" s="13"/>
      <c r="M39" s="96">
        <v>900000</v>
      </c>
      <c r="N39" s="10"/>
      <c r="O39" s="84"/>
      <c r="P39" s="95"/>
      <c r="Q39" s="118">
        <f t="shared" si="0"/>
        <v>900000</v>
      </c>
      <c r="R39" s="218"/>
    </row>
    <row r="40" spans="1:18" ht="25.2" customHeight="1">
      <c r="A40" s="205">
        <v>19</v>
      </c>
      <c r="B40" s="206" t="s">
        <v>226</v>
      </c>
      <c r="C40" s="11">
        <v>10</v>
      </c>
      <c r="D40" s="203" t="s">
        <v>147</v>
      </c>
      <c r="E40" s="11"/>
      <c r="F40" s="11" t="s">
        <v>109</v>
      </c>
      <c r="G40" s="75"/>
      <c r="H40" s="228">
        <v>164800</v>
      </c>
      <c r="I40" s="228">
        <v>2395.3062</v>
      </c>
      <c r="J40" s="111">
        <v>1043</v>
      </c>
      <c r="K40" s="234"/>
      <c r="L40" s="13"/>
      <c r="M40" s="96">
        <v>1750000</v>
      </c>
      <c r="N40" s="84"/>
      <c r="O40" s="84"/>
      <c r="P40" s="95">
        <f>J40*400+80000</f>
        <v>497200</v>
      </c>
      <c r="Q40" s="118">
        <f t="shared" si="0"/>
        <v>2247200</v>
      </c>
      <c r="R40" s="218" t="s">
        <v>138</v>
      </c>
    </row>
    <row r="41" spans="1:18" ht="25.2" customHeight="1">
      <c r="A41" s="345">
        <v>20</v>
      </c>
      <c r="B41" s="273" t="s">
        <v>227</v>
      </c>
      <c r="C41" s="11" t="s">
        <v>303</v>
      </c>
      <c r="D41" s="203" t="s">
        <v>108</v>
      </c>
      <c r="E41" s="11"/>
      <c r="F41" s="11" t="s">
        <v>48</v>
      </c>
      <c r="G41" s="75"/>
      <c r="H41" s="228">
        <f>13000+30000</f>
        <v>43000</v>
      </c>
      <c r="I41" s="228">
        <f>187.1306+366.1954</f>
        <v>553.32600000000002</v>
      </c>
      <c r="J41" s="9"/>
      <c r="K41" s="234"/>
      <c r="L41" s="13"/>
      <c r="M41" s="352">
        <v>1480000</v>
      </c>
      <c r="N41" s="84"/>
      <c r="O41" s="84"/>
      <c r="P41" s="95"/>
      <c r="Q41" s="266">
        <f>SUM(L41:P42)</f>
        <v>1545000</v>
      </c>
      <c r="R41" s="200" t="s">
        <v>51</v>
      </c>
    </row>
    <row r="42" spans="1:18" ht="25.2" customHeight="1">
      <c r="A42" s="346"/>
      <c r="B42" s="274"/>
      <c r="C42" s="11" t="s">
        <v>304</v>
      </c>
      <c r="D42" s="203" t="s">
        <v>60</v>
      </c>
      <c r="E42" s="11"/>
      <c r="F42" s="11" t="s">
        <v>66</v>
      </c>
      <c r="G42" s="75"/>
      <c r="H42" s="228">
        <v>54200</v>
      </c>
      <c r="I42" s="228">
        <v>1421.92</v>
      </c>
      <c r="J42" s="111"/>
      <c r="K42" s="234"/>
      <c r="L42" s="13"/>
      <c r="M42" s="353"/>
      <c r="N42" s="84"/>
      <c r="O42" s="84">
        <v>65000</v>
      </c>
      <c r="P42" s="95"/>
      <c r="Q42" s="267"/>
      <c r="R42" s="188" t="s">
        <v>96</v>
      </c>
    </row>
    <row r="43" spans="1:18" ht="25.2" customHeight="1">
      <c r="A43" s="345">
        <v>21</v>
      </c>
      <c r="B43" s="273" t="s">
        <v>229</v>
      </c>
      <c r="C43" s="11">
        <v>17</v>
      </c>
      <c r="D43" s="203" t="s">
        <v>84</v>
      </c>
      <c r="E43" s="11"/>
      <c r="F43" s="11" t="s">
        <v>69</v>
      </c>
      <c r="G43" s="75"/>
      <c r="H43" s="228">
        <v>521000</v>
      </c>
      <c r="I43" s="228">
        <v>829.33199999999999</v>
      </c>
      <c r="J43" s="111"/>
      <c r="K43" s="234"/>
      <c r="L43" s="13"/>
      <c r="M43" s="349">
        <v>680000</v>
      </c>
      <c r="N43" s="84"/>
      <c r="O43" s="84"/>
      <c r="P43" s="95"/>
      <c r="Q43" s="266">
        <f>SUM(L43:P44)</f>
        <v>680000</v>
      </c>
      <c r="R43" s="130"/>
    </row>
    <row r="44" spans="1:18" ht="25.2" customHeight="1">
      <c r="A44" s="346"/>
      <c r="B44" s="274"/>
      <c r="C44" s="203">
        <v>42</v>
      </c>
      <c r="D44" s="203" t="s">
        <v>116</v>
      </c>
      <c r="E44" s="11"/>
      <c r="F44" s="11" t="s">
        <v>69</v>
      </c>
      <c r="G44" s="75"/>
      <c r="H44" s="214">
        <v>56800</v>
      </c>
      <c r="I44" s="228">
        <v>429.52820000000003</v>
      </c>
      <c r="J44" s="111"/>
      <c r="K44" s="234"/>
      <c r="L44" s="13"/>
      <c r="M44" s="350"/>
      <c r="N44" s="84"/>
      <c r="O44" s="84"/>
      <c r="P44" s="95"/>
      <c r="Q44" s="267"/>
      <c r="R44" s="210"/>
    </row>
    <row r="45" spans="1:18" ht="25.2" customHeight="1">
      <c r="A45" s="205">
        <v>22</v>
      </c>
      <c r="B45" s="206" t="s">
        <v>229</v>
      </c>
      <c r="C45" s="203" t="s">
        <v>305</v>
      </c>
      <c r="D45" s="203" t="s">
        <v>68</v>
      </c>
      <c r="E45" s="11"/>
      <c r="F45" s="11" t="s">
        <v>61</v>
      </c>
      <c r="G45" s="75">
        <v>3489</v>
      </c>
      <c r="H45" s="132"/>
      <c r="I45" s="132"/>
      <c r="J45" s="195">
        <v>1635</v>
      </c>
      <c r="K45" s="205"/>
      <c r="L45" s="10">
        <v>1250000</v>
      </c>
      <c r="M45" s="13"/>
      <c r="N45" s="13"/>
      <c r="O45" s="13"/>
      <c r="P45" s="16">
        <f>J45*400</f>
        <v>654000</v>
      </c>
      <c r="Q45" s="118">
        <f t="shared" si="0"/>
        <v>1904000</v>
      </c>
      <c r="R45" s="117" t="s">
        <v>154</v>
      </c>
    </row>
    <row r="46" spans="1:18" ht="25.2" customHeight="1">
      <c r="A46" s="345">
        <v>23</v>
      </c>
      <c r="B46" s="273" t="s">
        <v>231</v>
      </c>
      <c r="C46" s="11" t="s">
        <v>306</v>
      </c>
      <c r="D46" s="203" t="s">
        <v>145</v>
      </c>
      <c r="E46" s="11"/>
      <c r="F46" s="11" t="s">
        <v>77</v>
      </c>
      <c r="G46" s="75"/>
      <c r="H46" s="228">
        <f>53800+30000</f>
        <v>83800</v>
      </c>
      <c r="I46" s="228">
        <f>894.5945+591.2662</f>
        <v>1485.8607000000002</v>
      </c>
      <c r="J46" s="195"/>
      <c r="K46" s="205"/>
      <c r="L46" s="10"/>
      <c r="M46" s="343">
        <v>1580000</v>
      </c>
      <c r="N46" s="13"/>
      <c r="O46" s="13"/>
      <c r="P46" s="16"/>
      <c r="Q46" s="266">
        <f>SUM(L46:P47)</f>
        <v>1580000</v>
      </c>
      <c r="R46" s="117" t="s">
        <v>51</v>
      </c>
    </row>
    <row r="47" spans="1:18" ht="25.2" customHeight="1">
      <c r="A47" s="346"/>
      <c r="B47" s="274"/>
      <c r="C47" s="203">
        <v>1</v>
      </c>
      <c r="D47" s="203" t="s">
        <v>106</v>
      </c>
      <c r="E47" s="11"/>
      <c r="F47" s="11" t="s">
        <v>77</v>
      </c>
      <c r="G47" s="75"/>
      <c r="H47" s="214">
        <v>70000</v>
      </c>
      <c r="I47" s="228">
        <v>473.87220000000002</v>
      </c>
      <c r="J47" s="195"/>
      <c r="K47" s="205"/>
      <c r="L47" s="10"/>
      <c r="M47" s="344"/>
      <c r="N47" s="13"/>
      <c r="O47" s="13"/>
      <c r="P47" s="16"/>
      <c r="Q47" s="267"/>
      <c r="R47" s="117"/>
    </row>
    <row r="48" spans="1:18" ht="22.2" customHeight="1">
      <c r="A48" s="345">
        <v>24</v>
      </c>
      <c r="B48" s="273" t="s">
        <v>233</v>
      </c>
      <c r="C48" s="203" t="s">
        <v>187</v>
      </c>
      <c r="D48" s="203" t="s">
        <v>78</v>
      </c>
      <c r="E48" s="11"/>
      <c r="F48" s="11" t="s">
        <v>48</v>
      </c>
      <c r="G48" s="75"/>
      <c r="H48" s="214">
        <v>42000</v>
      </c>
      <c r="I48" s="228">
        <v>506.0566</v>
      </c>
      <c r="J48" s="195"/>
      <c r="K48" s="205"/>
      <c r="L48" s="10"/>
      <c r="M48" s="343">
        <v>1000000</v>
      </c>
      <c r="N48" s="13"/>
      <c r="O48" s="13"/>
      <c r="P48" s="16"/>
      <c r="Q48" s="266">
        <f>SUM(L48:P50)</f>
        <v>1510000</v>
      </c>
      <c r="R48" s="188"/>
    </row>
    <row r="49" spans="1:19" ht="25.2" customHeight="1">
      <c r="A49" s="351"/>
      <c r="B49" s="276"/>
      <c r="C49" s="11">
        <v>25</v>
      </c>
      <c r="D49" s="203" t="s">
        <v>116</v>
      </c>
      <c r="E49" s="11"/>
      <c r="F49" s="11" t="s">
        <v>46</v>
      </c>
      <c r="G49" s="75"/>
      <c r="H49" s="228">
        <v>15720</v>
      </c>
      <c r="I49" s="228">
        <v>295.3426</v>
      </c>
      <c r="J49" s="195"/>
      <c r="K49" s="205"/>
      <c r="L49" s="10"/>
      <c r="M49" s="344"/>
      <c r="N49" s="13"/>
      <c r="O49" s="13"/>
      <c r="P49" s="16"/>
      <c r="Q49" s="278"/>
      <c r="R49" s="218"/>
      <c r="S49" s="218"/>
    </row>
    <row r="50" spans="1:19" ht="25.2" customHeight="1">
      <c r="A50" s="346"/>
      <c r="B50" s="274"/>
      <c r="C50" s="203" t="s">
        <v>307</v>
      </c>
      <c r="D50" s="203" t="s">
        <v>159</v>
      </c>
      <c r="E50" s="11"/>
      <c r="F50" s="11" t="s">
        <v>66</v>
      </c>
      <c r="G50" s="75">
        <v>1937</v>
      </c>
      <c r="H50" s="214"/>
      <c r="I50" s="216"/>
      <c r="J50" s="195"/>
      <c r="K50" s="205"/>
      <c r="L50" s="10">
        <v>510000</v>
      </c>
      <c r="M50" s="13"/>
      <c r="N50" s="13"/>
      <c r="O50" s="13"/>
      <c r="P50" s="16"/>
      <c r="Q50" s="267"/>
      <c r="R50" s="117"/>
    </row>
    <row r="51" spans="1:19" ht="25.2" customHeight="1">
      <c r="A51" s="205">
        <v>25</v>
      </c>
      <c r="B51" s="206" t="s">
        <v>234</v>
      </c>
      <c r="C51" s="203">
        <v>36</v>
      </c>
      <c r="D51" s="203" t="s">
        <v>308</v>
      </c>
      <c r="E51" s="11"/>
      <c r="F51" s="11" t="s">
        <v>50</v>
      </c>
      <c r="G51" s="75"/>
      <c r="H51" s="214">
        <v>84000</v>
      </c>
      <c r="I51" s="228">
        <v>1680</v>
      </c>
      <c r="J51" s="201"/>
      <c r="K51" s="13"/>
      <c r="L51" s="13"/>
      <c r="M51" s="13">
        <v>900000</v>
      </c>
      <c r="N51" s="16"/>
      <c r="O51" s="16"/>
      <c r="P51" s="16"/>
      <c r="Q51" s="118">
        <f t="shared" si="0"/>
        <v>900000</v>
      </c>
      <c r="R51" s="112"/>
    </row>
    <row r="52" spans="1:19" ht="25.2" customHeight="1">
      <c r="A52" s="345">
        <v>26</v>
      </c>
      <c r="B52" s="273" t="s">
        <v>235</v>
      </c>
      <c r="C52" s="203">
        <v>20</v>
      </c>
      <c r="D52" s="203" t="s">
        <v>58</v>
      </c>
      <c r="E52" s="11"/>
      <c r="F52" s="11" t="s">
        <v>66</v>
      </c>
      <c r="G52" s="75"/>
      <c r="H52" s="214">
        <v>71200</v>
      </c>
      <c r="I52" s="228">
        <v>1251.3697999999999</v>
      </c>
      <c r="J52" s="195"/>
      <c r="K52" s="205"/>
      <c r="L52" s="13"/>
      <c r="M52" s="13">
        <v>1130000</v>
      </c>
      <c r="N52" s="13"/>
      <c r="O52" s="13"/>
      <c r="P52" s="16"/>
      <c r="Q52" s="266">
        <f>SUM(L52:P53)</f>
        <v>1430000</v>
      </c>
      <c r="R52" s="130"/>
    </row>
    <row r="53" spans="1:19" ht="25.2" customHeight="1">
      <c r="A53" s="346"/>
      <c r="B53" s="274"/>
      <c r="C53" s="203">
        <v>14</v>
      </c>
      <c r="D53" s="203" t="s">
        <v>98</v>
      </c>
      <c r="E53" s="11"/>
      <c r="F53" s="11" t="s">
        <v>46</v>
      </c>
      <c r="G53" s="75">
        <v>1020</v>
      </c>
      <c r="H53" s="214"/>
      <c r="I53" s="228"/>
      <c r="J53" s="201"/>
      <c r="K53" s="234"/>
      <c r="L53" s="13">
        <v>300000</v>
      </c>
      <c r="M53" s="13"/>
      <c r="N53" s="13"/>
      <c r="O53" s="13"/>
      <c r="P53" s="16"/>
      <c r="Q53" s="267"/>
      <c r="R53" s="208"/>
    </row>
    <row r="54" spans="1:19" ht="25.2" customHeight="1">
      <c r="A54" s="345">
        <v>27</v>
      </c>
      <c r="B54" s="273" t="s">
        <v>236</v>
      </c>
      <c r="C54" s="203">
        <v>5</v>
      </c>
      <c r="D54" s="203" t="s">
        <v>106</v>
      </c>
      <c r="E54" s="11"/>
      <c r="F54" s="11" t="s">
        <v>77</v>
      </c>
      <c r="G54" s="75"/>
      <c r="H54" s="214">
        <v>80400</v>
      </c>
      <c r="I54" s="228">
        <v>926.66399999999999</v>
      </c>
      <c r="J54" s="201"/>
      <c r="K54" s="234"/>
      <c r="L54" s="13"/>
      <c r="M54" s="13">
        <v>930000</v>
      </c>
      <c r="N54" s="13"/>
      <c r="O54" s="13"/>
      <c r="P54" s="16"/>
      <c r="Q54" s="266">
        <f>SUM(L54:P55)</f>
        <v>1530000</v>
      </c>
      <c r="R54" s="208" t="s">
        <v>309</v>
      </c>
    </row>
    <row r="55" spans="1:19" ht="25.2" customHeight="1">
      <c r="A55" s="346"/>
      <c r="B55" s="274"/>
      <c r="C55" s="203">
        <v>16</v>
      </c>
      <c r="D55" s="203" t="s">
        <v>65</v>
      </c>
      <c r="E55" s="11"/>
      <c r="F55" s="11" t="s">
        <v>66</v>
      </c>
      <c r="G55" s="75">
        <v>2000</v>
      </c>
      <c r="H55" s="214"/>
      <c r="I55" s="228"/>
      <c r="J55" s="195"/>
      <c r="K55" s="234"/>
      <c r="L55" s="13">
        <v>600000</v>
      </c>
      <c r="M55" s="13"/>
      <c r="N55" s="13"/>
      <c r="O55" s="13"/>
      <c r="P55" s="16"/>
      <c r="Q55" s="267"/>
      <c r="R55" s="208"/>
    </row>
    <row r="56" spans="1:19" ht="25.2" customHeight="1">
      <c r="A56" s="205">
        <v>28</v>
      </c>
      <c r="B56" s="206" t="s">
        <v>239</v>
      </c>
      <c r="C56" s="203">
        <v>38</v>
      </c>
      <c r="D56" s="203" t="s">
        <v>125</v>
      </c>
      <c r="E56" s="11"/>
      <c r="F56" s="11" t="s">
        <v>117</v>
      </c>
      <c r="G56" s="75"/>
      <c r="H56" s="214">
        <v>60027</v>
      </c>
      <c r="I56" s="228">
        <v>1583.1396</v>
      </c>
      <c r="J56" s="201"/>
      <c r="K56" s="234"/>
      <c r="L56" s="13"/>
      <c r="M56" s="13">
        <v>1950000</v>
      </c>
      <c r="N56" s="13"/>
      <c r="O56" s="13"/>
      <c r="P56" s="16"/>
      <c r="Q56" s="118">
        <f t="shared" si="0"/>
        <v>1950000</v>
      </c>
      <c r="R56" s="208"/>
    </row>
    <row r="57" spans="1:19" ht="25.2" customHeight="1">
      <c r="A57" s="345">
        <v>29</v>
      </c>
      <c r="B57" s="273" t="s">
        <v>240</v>
      </c>
      <c r="C57" s="203">
        <v>4</v>
      </c>
      <c r="D57" s="203" t="s">
        <v>98</v>
      </c>
      <c r="E57" s="11"/>
      <c r="F57" s="11" t="s">
        <v>46</v>
      </c>
      <c r="G57" s="75">
        <v>2760</v>
      </c>
      <c r="H57" s="214"/>
      <c r="I57" s="228"/>
      <c r="J57" s="201"/>
      <c r="K57" s="234"/>
      <c r="L57" s="13">
        <v>1000000</v>
      </c>
      <c r="M57" s="13"/>
      <c r="N57" s="13"/>
      <c r="O57" s="13"/>
      <c r="P57" s="16"/>
      <c r="Q57" s="266">
        <f>SUM(L57:P58)</f>
        <v>1430000</v>
      </c>
      <c r="R57" s="208"/>
    </row>
    <row r="58" spans="1:19" ht="25.2" customHeight="1">
      <c r="A58" s="346"/>
      <c r="B58" s="274"/>
      <c r="C58" s="203" t="s">
        <v>262</v>
      </c>
      <c r="D58" s="203" t="s">
        <v>78</v>
      </c>
      <c r="E58" s="11"/>
      <c r="F58" s="11" t="s">
        <v>48</v>
      </c>
      <c r="G58" s="75"/>
      <c r="H58" s="214">
        <v>40000</v>
      </c>
      <c r="I58" s="228">
        <v>490.84</v>
      </c>
      <c r="J58" s="195"/>
      <c r="K58" s="234"/>
      <c r="L58" s="13"/>
      <c r="M58" s="13">
        <v>430000</v>
      </c>
      <c r="N58" s="13"/>
      <c r="O58" s="13"/>
      <c r="P58" s="16"/>
      <c r="Q58" s="267"/>
      <c r="R58" s="208" t="s">
        <v>51</v>
      </c>
    </row>
    <row r="59" spans="1:19" s="21" customFormat="1" ht="22.8" customHeight="1">
      <c r="A59" s="308" t="s">
        <v>20</v>
      </c>
      <c r="B59" s="308"/>
      <c r="C59" s="308"/>
      <c r="D59" s="308"/>
      <c r="E59" s="308"/>
      <c r="F59" s="308"/>
      <c r="G59" s="20">
        <f t="shared" ref="G59:Q59" si="1">SUM(G8:G58)</f>
        <v>31486</v>
      </c>
      <c r="H59" s="20">
        <f t="shared" si="1"/>
        <v>2930993</v>
      </c>
      <c r="I59" s="20">
        <f t="shared" si="1"/>
        <v>37230.054699999993</v>
      </c>
      <c r="J59" s="20">
        <f t="shared" si="1"/>
        <v>2678</v>
      </c>
      <c r="K59" s="20">
        <f t="shared" si="1"/>
        <v>0</v>
      </c>
      <c r="L59" s="20">
        <f t="shared" si="1"/>
        <v>8510000</v>
      </c>
      <c r="M59" s="20">
        <f t="shared" si="1"/>
        <v>29820000</v>
      </c>
      <c r="N59" s="20">
        <f t="shared" si="1"/>
        <v>1360000</v>
      </c>
      <c r="O59" s="20">
        <f t="shared" si="1"/>
        <v>525000</v>
      </c>
      <c r="P59" s="20">
        <f t="shared" si="1"/>
        <v>1151200</v>
      </c>
      <c r="Q59" s="143">
        <f t="shared" si="1"/>
        <v>41366200</v>
      </c>
      <c r="R59" s="169"/>
      <c r="S59" s="252"/>
    </row>
    <row r="60" spans="1:19" s="21" customFormat="1" ht="19.2" customHeight="1">
      <c r="A60" s="310" t="s">
        <v>21</v>
      </c>
      <c r="B60" s="310"/>
      <c r="C60" s="310"/>
      <c r="D60" s="310"/>
      <c r="E60" s="310"/>
      <c r="F60" s="31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>
        <f>8%*Q59</f>
        <v>3309296</v>
      </c>
      <c r="R60" s="22"/>
      <c r="S60" s="229"/>
    </row>
    <row r="61" spans="1:19" s="21" customFormat="1" ht="19.2" customHeight="1">
      <c r="A61" s="310" t="s">
        <v>22</v>
      </c>
      <c r="B61" s="310"/>
      <c r="C61" s="310"/>
      <c r="D61" s="310"/>
      <c r="E61" s="310"/>
      <c r="F61" s="31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>
        <f>Q60+Q59</f>
        <v>44675496</v>
      </c>
      <c r="R61" s="169"/>
      <c r="S61" s="26"/>
    </row>
    <row r="62" spans="1:19" s="21" customFormat="1" ht="19.2" customHeight="1">
      <c r="A62" s="23"/>
      <c r="B62" s="147"/>
      <c r="C62" s="23"/>
      <c r="D62" s="23"/>
      <c r="E62" s="23"/>
      <c r="F62" s="23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5"/>
      <c r="S62" s="26"/>
    </row>
    <row r="63" spans="1:19" s="21" customFormat="1" ht="19.2" customHeight="1">
      <c r="A63" s="307" t="s">
        <v>23</v>
      </c>
      <c r="B63" s="307"/>
      <c r="C63" s="307"/>
      <c r="D63" s="307"/>
      <c r="E63" s="307"/>
      <c r="F63" s="307"/>
      <c r="G63" s="27">
        <f>G59</f>
        <v>31486</v>
      </c>
      <c r="H63" s="27"/>
      <c r="I63" s="27"/>
      <c r="J63" s="27"/>
      <c r="K63" s="28">
        <f>G59+J59</f>
        <v>34164</v>
      </c>
      <c r="L63" s="27"/>
      <c r="M63" s="27"/>
      <c r="N63" s="27"/>
      <c r="O63" s="27"/>
      <c r="P63" s="27"/>
      <c r="Q63" s="27">
        <f>L59+N59</f>
        <v>9870000</v>
      </c>
      <c r="R63" s="29">
        <f>Q63/G63</f>
        <v>313.47265451311694</v>
      </c>
      <c r="S63" s="243"/>
    </row>
    <row r="64" spans="1:19" s="21" customFormat="1" ht="19.2" customHeight="1">
      <c r="A64" s="307" t="s">
        <v>24</v>
      </c>
      <c r="B64" s="307"/>
      <c r="C64" s="307"/>
      <c r="D64" s="307"/>
      <c r="E64" s="307"/>
      <c r="F64" s="307"/>
      <c r="G64" s="27"/>
      <c r="H64" s="27"/>
      <c r="I64" s="27">
        <f>I59</f>
        <v>37230.054699999993</v>
      </c>
      <c r="J64" s="27"/>
      <c r="K64" s="27"/>
      <c r="L64" s="27"/>
      <c r="M64" s="27"/>
      <c r="N64" s="27"/>
      <c r="O64" s="27"/>
      <c r="P64" s="27"/>
      <c r="Q64" s="27">
        <f>M59+O59</f>
        <v>30345000</v>
      </c>
      <c r="R64" s="29">
        <f>Q64/I64</f>
        <v>815.06729561694692</v>
      </c>
      <c r="S64" s="243"/>
    </row>
    <row r="65" spans="1:19" s="21" customFormat="1" ht="19.2" customHeight="1">
      <c r="A65" s="307" t="s">
        <v>25</v>
      </c>
      <c r="B65" s="307"/>
      <c r="C65" s="307"/>
      <c r="D65" s="307"/>
      <c r="E65" s="307"/>
      <c r="F65" s="307"/>
      <c r="G65" s="27"/>
      <c r="H65" s="27"/>
      <c r="I65" s="27"/>
      <c r="J65" s="27"/>
      <c r="K65" s="27"/>
      <c r="L65" s="27"/>
      <c r="M65" s="27"/>
      <c r="N65" s="27"/>
      <c r="O65" s="27"/>
      <c r="P65" s="27">
        <f>J59</f>
        <v>2678</v>
      </c>
      <c r="Q65" s="27">
        <f>P59</f>
        <v>1151200</v>
      </c>
      <c r="R65" s="29">
        <f>Q65/P65</f>
        <v>429.87303958177745</v>
      </c>
      <c r="S65" s="243"/>
    </row>
    <row r="66" spans="1:19">
      <c r="A66" s="31"/>
      <c r="B66" s="102"/>
      <c r="C66" s="3" t="s">
        <v>27</v>
      </c>
      <c r="D66" s="32"/>
      <c r="E66" s="33"/>
      <c r="F66" s="33"/>
      <c r="G66" s="34" t="s">
        <v>241</v>
      </c>
      <c r="H66" s="35"/>
      <c r="I66" s="35"/>
      <c r="J66" s="35"/>
      <c r="K66" s="36"/>
      <c r="L66" s="1"/>
      <c r="M66" s="1"/>
      <c r="N66" s="1"/>
      <c r="O66" s="1"/>
      <c r="P66" s="1"/>
      <c r="Q66" s="144" t="s">
        <v>28</v>
      </c>
    </row>
    <row r="67" spans="1:19" ht="18" customHeight="1">
      <c r="B67" s="102"/>
      <c r="D67" s="32"/>
      <c r="E67" s="37"/>
      <c r="F67" s="37"/>
      <c r="G67" s="38"/>
      <c r="H67" s="31"/>
      <c r="I67" s="32"/>
      <c r="J67" s="32"/>
      <c r="K67" s="32"/>
    </row>
    <row r="68" spans="1:19" s="8" customFormat="1" ht="18" customHeight="1">
      <c r="A68" s="1"/>
      <c r="B68" s="102"/>
      <c r="C68" s="3"/>
      <c r="D68" s="3"/>
      <c r="E68" s="3"/>
      <c r="F68" s="3"/>
      <c r="G68" s="39"/>
      <c r="Q68" s="127"/>
      <c r="S68" s="3"/>
    </row>
    <row r="69" spans="1:19">
      <c r="B69" s="102"/>
      <c r="E69" s="37"/>
      <c r="F69" s="37"/>
      <c r="G69" s="38"/>
      <c r="H69" s="31"/>
      <c r="I69" s="32"/>
      <c r="J69" s="32"/>
      <c r="K69" s="32"/>
    </row>
    <row r="70" spans="1:19">
      <c r="C70" s="45"/>
      <c r="G70" s="34" t="str">
        <f>'[1]A VIEN'!G71</f>
        <v>Đặng Thị Mỹ Tin</v>
      </c>
      <c r="H70" s="43"/>
      <c r="Q70" s="115" t="s">
        <v>114</v>
      </c>
    </row>
    <row r="73" spans="1:19">
      <c r="R73" s="39" t="e">
        <f>+Q59+#REF!+#REF!+#REF!+#REF!+#REF!+#REF!+#REF!+#REF!</f>
        <v>#REF!</v>
      </c>
    </row>
  </sheetData>
  <mergeCells count="89">
    <mergeCell ref="A11:A12"/>
    <mergeCell ref="B11:B12"/>
    <mergeCell ref="Q11:Q12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E6:E7"/>
    <mergeCell ref="F6:F7"/>
    <mergeCell ref="R5:R7"/>
    <mergeCell ref="K5:K7"/>
    <mergeCell ref="L5:M6"/>
    <mergeCell ref="Q5:Q7"/>
    <mergeCell ref="A8:A10"/>
    <mergeCell ref="B8:B10"/>
    <mergeCell ref="M8:M10"/>
    <mergeCell ref="Q8:Q10"/>
    <mergeCell ref="N5:O6"/>
    <mergeCell ref="P5:P7"/>
    <mergeCell ref="H6:I6"/>
    <mergeCell ref="A20:A21"/>
    <mergeCell ref="B20:B21"/>
    <mergeCell ref="Q20:Q21"/>
    <mergeCell ref="A22:A24"/>
    <mergeCell ref="B22:B24"/>
    <mergeCell ref="M22:M23"/>
    <mergeCell ref="Q22:Q24"/>
    <mergeCell ref="A32:A33"/>
    <mergeCell ref="B32:B33"/>
    <mergeCell ref="M32:M33"/>
    <mergeCell ref="Q32:Q33"/>
    <mergeCell ref="A34:A35"/>
    <mergeCell ref="B34:B35"/>
    <mergeCell ref="Q34:Q35"/>
    <mergeCell ref="A65:F65"/>
    <mergeCell ref="A63:F63"/>
    <mergeCell ref="A64:F64"/>
    <mergeCell ref="M48:M49"/>
    <mergeCell ref="A48:A50"/>
    <mergeCell ref="B48:B50"/>
    <mergeCell ref="A61:F61"/>
    <mergeCell ref="A57:A58"/>
    <mergeCell ref="B57:B58"/>
    <mergeCell ref="A54:A55"/>
    <mergeCell ref="B54:B55"/>
    <mergeCell ref="A52:A53"/>
    <mergeCell ref="B52:B53"/>
    <mergeCell ref="A14:A15"/>
    <mergeCell ref="B14:B15"/>
    <mergeCell ref="L14:L15"/>
    <mergeCell ref="Q14:Q15"/>
    <mergeCell ref="A18:A19"/>
    <mergeCell ref="B18:B19"/>
    <mergeCell ref="Q18:Q19"/>
    <mergeCell ref="A36:A38"/>
    <mergeCell ref="B36:B38"/>
    <mergeCell ref="L36:L37"/>
    <mergeCell ref="Q36:Q38"/>
    <mergeCell ref="A41:A42"/>
    <mergeCell ref="B41:B42"/>
    <mergeCell ref="M41:M42"/>
    <mergeCell ref="Q41:Q42"/>
    <mergeCell ref="A43:A44"/>
    <mergeCell ref="B43:B44"/>
    <mergeCell ref="M43:M44"/>
    <mergeCell ref="Q43:Q44"/>
    <mergeCell ref="A46:A47"/>
    <mergeCell ref="B46:B47"/>
    <mergeCell ref="A26:A27"/>
    <mergeCell ref="B26:B27"/>
    <mergeCell ref="Q26:Q27"/>
    <mergeCell ref="A29:A30"/>
    <mergeCell ref="B29:B30"/>
    <mergeCell ref="M29:M30"/>
    <mergeCell ref="Q29:Q30"/>
    <mergeCell ref="M46:M47"/>
    <mergeCell ref="Q46:Q47"/>
    <mergeCell ref="Q57:Q58"/>
    <mergeCell ref="A59:F59"/>
    <mergeCell ref="A60:F60"/>
    <mergeCell ref="Q48:Q50"/>
    <mergeCell ref="Q54:Q55"/>
    <mergeCell ref="Q52:Q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topLeftCell="C1" zoomScale="70" zoomScaleNormal="70" workbookViewId="0">
      <selection activeCell="J10" sqref="J10"/>
    </sheetView>
  </sheetViews>
  <sheetFormatPr defaultColWidth="9.109375" defaultRowHeight="13.8"/>
  <cols>
    <col min="1" max="1" width="8.44140625" style="1" customWidth="1"/>
    <col min="2" max="2" width="12.6640625" style="103" customWidth="1"/>
    <col min="3" max="3" width="12.21875" style="3" customWidth="1"/>
    <col min="4" max="4" width="21.77734375" style="3" customWidth="1"/>
    <col min="5" max="5" width="14.5546875" style="41" customWidth="1"/>
    <col min="6" max="6" width="17.33203125" style="42" customWidth="1"/>
    <col min="7" max="7" width="13.109375" style="35" customWidth="1"/>
    <col min="8" max="8" width="14.109375" style="46" customWidth="1"/>
    <col min="9" max="9" width="11.33203125" style="44" customWidth="1"/>
    <col min="10" max="10" width="13.5546875" style="44" customWidth="1"/>
    <col min="11" max="11" width="13.109375" style="7" customWidth="1"/>
    <col min="12" max="12" width="17.33203125" style="7" customWidth="1"/>
    <col min="13" max="13" width="15.88671875" style="7" customWidth="1"/>
    <col min="14" max="14" width="13.5546875" style="7" customWidth="1"/>
    <col min="15" max="15" width="13.77734375" style="7" customWidth="1"/>
    <col min="16" max="16" width="11" style="7" customWidth="1"/>
    <col min="17" max="17" width="15.33203125" style="115" customWidth="1"/>
    <col min="18" max="18" width="41.21875" style="3" customWidth="1"/>
    <col min="19" max="19" width="16" style="1" customWidth="1"/>
    <col min="20" max="16384" width="9.109375" style="1"/>
  </cols>
  <sheetData>
    <row r="1" spans="1:19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</row>
    <row r="2" spans="1:19" ht="17.399999999999999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9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</row>
    <row r="4" spans="1:19">
      <c r="A4" s="368" t="s">
        <v>310</v>
      </c>
      <c r="B4" s="368"/>
      <c r="C4" s="368"/>
      <c r="D4" s="2"/>
      <c r="E4" s="3"/>
      <c r="F4" s="3"/>
      <c r="G4" s="4"/>
      <c r="H4" s="5"/>
      <c r="I4" s="6"/>
      <c r="J4" s="6"/>
    </row>
    <row r="5" spans="1:19" ht="29.25" customHeight="1">
      <c r="A5" s="284" t="s">
        <v>1</v>
      </c>
      <c r="B5" s="369" t="s">
        <v>2</v>
      </c>
      <c r="C5" s="284" t="s">
        <v>3</v>
      </c>
      <c r="D5" s="284" t="s">
        <v>4</v>
      </c>
      <c r="E5" s="292" t="s">
        <v>5</v>
      </c>
      <c r="F5" s="293"/>
      <c r="G5" s="294" t="s">
        <v>6</v>
      </c>
      <c r="H5" s="295"/>
      <c r="I5" s="295"/>
      <c r="J5" s="296"/>
      <c r="K5" s="297" t="s">
        <v>7</v>
      </c>
      <c r="L5" s="299" t="s">
        <v>8</v>
      </c>
      <c r="M5" s="300"/>
      <c r="N5" s="299" t="s">
        <v>9</v>
      </c>
      <c r="O5" s="300"/>
      <c r="P5" s="303" t="s">
        <v>10</v>
      </c>
      <c r="Q5" s="303" t="s">
        <v>11</v>
      </c>
      <c r="R5" s="365" t="s">
        <v>12</v>
      </c>
    </row>
    <row r="6" spans="1:19" ht="23.25" customHeight="1">
      <c r="A6" s="285"/>
      <c r="B6" s="370"/>
      <c r="C6" s="285"/>
      <c r="D6" s="285"/>
      <c r="E6" s="284" t="s">
        <v>13</v>
      </c>
      <c r="F6" s="284" t="s">
        <v>14</v>
      </c>
      <c r="G6" s="231" t="s">
        <v>15</v>
      </c>
      <c r="H6" s="294" t="s">
        <v>16</v>
      </c>
      <c r="I6" s="296"/>
      <c r="J6" s="230" t="s">
        <v>17</v>
      </c>
      <c r="K6" s="298"/>
      <c r="L6" s="301"/>
      <c r="M6" s="302"/>
      <c r="N6" s="301"/>
      <c r="O6" s="302"/>
      <c r="P6" s="304"/>
      <c r="Q6" s="304"/>
      <c r="R6" s="366"/>
    </row>
    <row r="7" spans="1:19" ht="25.8" customHeight="1">
      <c r="A7" s="341"/>
      <c r="B7" s="371"/>
      <c r="C7" s="341"/>
      <c r="D7" s="341"/>
      <c r="E7" s="341"/>
      <c r="F7" s="341"/>
      <c r="G7" s="231" t="s">
        <v>18</v>
      </c>
      <c r="H7" s="226" t="s">
        <v>19</v>
      </c>
      <c r="I7" s="230" t="s">
        <v>18</v>
      </c>
      <c r="J7" s="230" t="s">
        <v>18</v>
      </c>
      <c r="K7" s="342"/>
      <c r="L7" s="231" t="s">
        <v>15</v>
      </c>
      <c r="M7" s="9" t="s">
        <v>16</v>
      </c>
      <c r="N7" s="231" t="s">
        <v>15</v>
      </c>
      <c r="O7" s="90" t="s">
        <v>16</v>
      </c>
      <c r="P7" s="323"/>
      <c r="Q7" s="323"/>
      <c r="R7" s="367"/>
    </row>
    <row r="8" spans="1:19" s="99" customFormat="1" ht="23.4" customHeight="1">
      <c r="A8" s="345">
        <v>1</v>
      </c>
      <c r="B8" s="362" t="s">
        <v>189</v>
      </c>
      <c r="C8" s="11">
        <v>11</v>
      </c>
      <c r="D8" s="203" t="s">
        <v>70</v>
      </c>
      <c r="E8" s="11"/>
      <c r="F8" s="11" t="s">
        <v>76</v>
      </c>
      <c r="G8" s="75">
        <v>7020</v>
      </c>
      <c r="H8" s="75"/>
      <c r="I8" s="75"/>
      <c r="J8" s="114"/>
      <c r="K8" s="114"/>
      <c r="L8" s="311">
        <v>1250000</v>
      </c>
      <c r="M8" s="18"/>
      <c r="N8" s="12"/>
      <c r="O8" s="12"/>
      <c r="P8" s="12"/>
      <c r="Q8" s="359">
        <f>SUM(L8:P9)</f>
        <v>1250000</v>
      </c>
      <c r="R8" s="186"/>
      <c r="S8" s="130"/>
    </row>
    <row r="9" spans="1:19" s="99" customFormat="1" ht="23.4" customHeight="1">
      <c r="A9" s="346"/>
      <c r="B9" s="363"/>
      <c r="C9" s="11">
        <v>12</v>
      </c>
      <c r="D9" s="203" t="s">
        <v>311</v>
      </c>
      <c r="E9" s="11"/>
      <c r="F9" s="11" t="s">
        <v>312</v>
      </c>
      <c r="G9" s="132">
        <v>217</v>
      </c>
      <c r="H9" s="132"/>
      <c r="I9" s="132"/>
      <c r="J9" s="132"/>
      <c r="K9" s="156"/>
      <c r="L9" s="312"/>
      <c r="M9" s="18"/>
      <c r="N9" s="10"/>
      <c r="O9" s="10"/>
      <c r="P9" s="10"/>
      <c r="Q9" s="361"/>
      <c r="R9" s="186"/>
    </row>
    <row r="10" spans="1:19" ht="23.4" customHeight="1">
      <c r="A10" s="205">
        <v>2</v>
      </c>
      <c r="B10" s="193" t="s">
        <v>193</v>
      </c>
      <c r="C10" s="11">
        <v>5</v>
      </c>
      <c r="D10" s="203" t="s">
        <v>105</v>
      </c>
      <c r="E10" s="11"/>
      <c r="F10" s="11" t="s">
        <v>76</v>
      </c>
      <c r="G10" s="75"/>
      <c r="H10" s="228">
        <v>124200</v>
      </c>
      <c r="I10" s="228">
        <v>1776.06</v>
      </c>
      <c r="J10" s="114"/>
      <c r="K10" s="114"/>
      <c r="L10" s="107"/>
      <c r="M10" s="107">
        <v>950000</v>
      </c>
      <c r="N10" s="13"/>
      <c r="O10" s="13"/>
      <c r="P10" s="13"/>
      <c r="Q10" s="148">
        <f t="shared" ref="Q10:Q63" si="0">SUM(L10:P10)</f>
        <v>950000</v>
      </c>
      <c r="R10" s="160"/>
    </row>
    <row r="11" spans="1:19" ht="25.8" customHeight="1">
      <c r="A11" s="205">
        <v>3</v>
      </c>
      <c r="B11" s="193" t="s">
        <v>193</v>
      </c>
      <c r="C11" s="11">
        <v>14</v>
      </c>
      <c r="D11" s="203" t="s">
        <v>313</v>
      </c>
      <c r="E11" s="11"/>
      <c r="F11" s="11" t="s">
        <v>64</v>
      </c>
      <c r="G11" s="75"/>
      <c r="H11" s="228">
        <v>192000</v>
      </c>
      <c r="I11" s="228"/>
      <c r="J11" s="89"/>
      <c r="K11" s="89"/>
      <c r="L11" s="107"/>
      <c r="M11" s="18">
        <v>1350000</v>
      </c>
      <c r="N11" s="13"/>
      <c r="O11" s="13">
        <v>675000</v>
      </c>
      <c r="P11" s="13"/>
      <c r="Q11" s="148">
        <f t="shared" si="0"/>
        <v>2025000</v>
      </c>
      <c r="R11" s="219" t="s">
        <v>314</v>
      </c>
    </row>
    <row r="12" spans="1:19" ht="23.4" customHeight="1">
      <c r="A12" s="345">
        <v>4</v>
      </c>
      <c r="B12" s="362" t="s">
        <v>194</v>
      </c>
      <c r="C12" s="203">
        <v>37</v>
      </c>
      <c r="D12" s="203" t="s">
        <v>175</v>
      </c>
      <c r="E12" s="11"/>
      <c r="F12" s="11" t="s">
        <v>77</v>
      </c>
      <c r="G12" s="75"/>
      <c r="H12" s="214">
        <v>80000</v>
      </c>
      <c r="I12" s="214">
        <v>760</v>
      </c>
      <c r="J12" s="89"/>
      <c r="K12" s="89"/>
      <c r="L12" s="107"/>
      <c r="M12" s="347">
        <v>1800000</v>
      </c>
      <c r="N12" s="205"/>
      <c r="O12" s="12"/>
      <c r="P12" s="12"/>
      <c r="Q12" s="359">
        <f>SUM(L12:P13)</f>
        <v>1800000</v>
      </c>
      <c r="R12" s="133"/>
      <c r="S12" s="47"/>
    </row>
    <row r="13" spans="1:19" ht="23.4" customHeight="1">
      <c r="A13" s="346"/>
      <c r="B13" s="363"/>
      <c r="C13" s="11" t="s">
        <v>315</v>
      </c>
      <c r="D13" s="203" t="s">
        <v>107</v>
      </c>
      <c r="E13" s="11"/>
      <c r="F13" s="11" t="s">
        <v>77</v>
      </c>
      <c r="G13" s="214"/>
      <c r="H13" s="214">
        <f>110000+2000</f>
        <v>112000</v>
      </c>
      <c r="I13" s="228">
        <f>1245.2+22.1009</f>
        <v>1267.3009</v>
      </c>
      <c r="J13" s="89"/>
      <c r="K13" s="89"/>
      <c r="L13" s="74"/>
      <c r="M13" s="348"/>
      <c r="N13" s="205"/>
      <c r="O13" s="12"/>
      <c r="P13" s="12"/>
      <c r="Q13" s="361"/>
      <c r="R13" s="186"/>
      <c r="S13" s="253"/>
    </row>
    <row r="14" spans="1:19" ht="22.8" customHeight="1">
      <c r="A14" s="345">
        <v>5</v>
      </c>
      <c r="B14" s="362" t="s">
        <v>196</v>
      </c>
      <c r="C14" s="203">
        <v>4</v>
      </c>
      <c r="D14" s="203" t="s">
        <v>79</v>
      </c>
      <c r="E14" s="11"/>
      <c r="F14" s="11" t="s">
        <v>77</v>
      </c>
      <c r="G14" s="75">
        <v>4320</v>
      </c>
      <c r="H14" s="214"/>
      <c r="I14" s="214"/>
      <c r="J14" s="114"/>
      <c r="K14" s="234"/>
      <c r="L14" s="264">
        <v>1850000</v>
      </c>
      <c r="M14" s="13"/>
      <c r="N14" s="10"/>
      <c r="O14" s="10"/>
      <c r="P14" s="10"/>
      <c r="Q14" s="359">
        <f>SUM(L14:P16)</f>
        <v>1950000</v>
      </c>
      <c r="R14" s="167" t="s">
        <v>51</v>
      </c>
    </row>
    <row r="15" spans="1:19" ht="23.4" customHeight="1">
      <c r="A15" s="351"/>
      <c r="B15" s="364"/>
      <c r="C15" s="11">
        <v>3</v>
      </c>
      <c r="D15" s="203" t="s">
        <v>98</v>
      </c>
      <c r="E15" s="11"/>
      <c r="F15" s="11" t="s">
        <v>46</v>
      </c>
      <c r="G15" s="214">
        <v>1020</v>
      </c>
      <c r="H15" s="214"/>
      <c r="I15" s="228"/>
      <c r="J15" s="114"/>
      <c r="K15" s="114"/>
      <c r="L15" s="265"/>
      <c r="M15" s="13"/>
      <c r="N15" s="13"/>
      <c r="O15" s="13"/>
      <c r="P15" s="13"/>
      <c r="Q15" s="360"/>
      <c r="R15" s="186"/>
    </row>
    <row r="16" spans="1:19" ht="24.6" customHeight="1">
      <c r="A16" s="346"/>
      <c r="B16" s="363"/>
      <c r="C16" s="11">
        <v>29</v>
      </c>
      <c r="D16" s="203" t="s">
        <v>169</v>
      </c>
      <c r="E16" s="11"/>
      <c r="F16" s="11" t="s">
        <v>48</v>
      </c>
      <c r="G16" s="214"/>
      <c r="H16" s="214">
        <v>10000</v>
      </c>
      <c r="I16" s="228">
        <v>86.4</v>
      </c>
      <c r="J16" s="114"/>
      <c r="K16" s="114"/>
      <c r="L16" s="74"/>
      <c r="M16" s="13">
        <v>100000</v>
      </c>
      <c r="N16" s="13"/>
      <c r="O16" s="13"/>
      <c r="P16" s="13"/>
      <c r="Q16" s="361"/>
      <c r="R16" s="196"/>
    </row>
    <row r="17" spans="1:19" ht="23.4" customHeight="1">
      <c r="A17" s="345">
        <v>6</v>
      </c>
      <c r="B17" s="362" t="s">
        <v>199</v>
      </c>
      <c r="C17" s="203">
        <v>1</v>
      </c>
      <c r="D17" s="203" t="s">
        <v>72</v>
      </c>
      <c r="E17" s="11"/>
      <c r="F17" s="11" t="s">
        <v>77</v>
      </c>
      <c r="G17" s="75">
        <v>5860</v>
      </c>
      <c r="H17" s="75"/>
      <c r="I17" s="132"/>
      <c r="J17" s="114"/>
      <c r="K17" s="114"/>
      <c r="L17" s="264">
        <v>2000000</v>
      </c>
      <c r="M17" s="13"/>
      <c r="N17" s="13"/>
      <c r="O17" s="13"/>
      <c r="P17" s="13"/>
      <c r="Q17" s="359">
        <f>SUM(L17:P18)</f>
        <v>2000000</v>
      </c>
      <c r="R17" s="186"/>
    </row>
    <row r="18" spans="1:19" ht="23.4" customHeight="1">
      <c r="A18" s="346"/>
      <c r="B18" s="363"/>
      <c r="C18" s="11">
        <v>14</v>
      </c>
      <c r="D18" s="203" t="s">
        <v>65</v>
      </c>
      <c r="E18" s="11"/>
      <c r="F18" s="11" t="s">
        <v>66</v>
      </c>
      <c r="G18" s="214">
        <v>920</v>
      </c>
      <c r="H18" s="75"/>
      <c r="I18" s="132"/>
      <c r="J18" s="114"/>
      <c r="K18" s="114"/>
      <c r="L18" s="265"/>
      <c r="M18" s="13"/>
      <c r="N18" s="13"/>
      <c r="O18" s="13"/>
      <c r="P18" s="13"/>
      <c r="Q18" s="361"/>
      <c r="R18" s="160"/>
    </row>
    <row r="19" spans="1:19" ht="23.4" customHeight="1">
      <c r="A19" s="205">
        <v>7</v>
      </c>
      <c r="B19" s="193" t="s">
        <v>199</v>
      </c>
      <c r="C19" s="11">
        <v>16</v>
      </c>
      <c r="D19" s="203" t="s">
        <v>311</v>
      </c>
      <c r="E19" s="11"/>
      <c r="F19" s="11" t="s">
        <v>50</v>
      </c>
      <c r="G19" s="75">
        <v>3000</v>
      </c>
      <c r="H19" s="75"/>
      <c r="I19" s="221"/>
      <c r="J19" s="114"/>
      <c r="K19" s="89"/>
      <c r="L19" s="74">
        <v>850000</v>
      </c>
      <c r="M19" s="13"/>
      <c r="N19" s="10"/>
      <c r="O19" s="10"/>
      <c r="P19" s="10"/>
      <c r="Q19" s="148">
        <f t="shared" si="0"/>
        <v>850000</v>
      </c>
      <c r="R19" s="186"/>
    </row>
    <row r="20" spans="1:19" ht="23.4" customHeight="1">
      <c r="A20" s="345">
        <v>8</v>
      </c>
      <c r="B20" s="362" t="s">
        <v>201</v>
      </c>
      <c r="C20" s="203">
        <v>53</v>
      </c>
      <c r="D20" s="203" t="s">
        <v>156</v>
      </c>
      <c r="E20" s="11"/>
      <c r="F20" s="11" t="s">
        <v>109</v>
      </c>
      <c r="G20" s="75"/>
      <c r="H20" s="214">
        <v>25000</v>
      </c>
      <c r="I20" s="214">
        <v>278.96870000000001</v>
      </c>
      <c r="J20" s="114"/>
      <c r="K20" s="114"/>
      <c r="L20" s="74"/>
      <c r="M20" s="343">
        <v>500000</v>
      </c>
      <c r="N20" s="13"/>
      <c r="O20" s="13"/>
      <c r="P20" s="13"/>
      <c r="Q20" s="359">
        <f>SUM(L20:P22)</f>
        <v>2400000</v>
      </c>
      <c r="R20" s="160" t="s">
        <v>51</v>
      </c>
    </row>
    <row r="21" spans="1:19" ht="22.8" customHeight="1">
      <c r="A21" s="351"/>
      <c r="B21" s="364"/>
      <c r="C21" s="11">
        <v>30</v>
      </c>
      <c r="D21" s="11" t="s">
        <v>184</v>
      </c>
      <c r="E21" s="11"/>
      <c r="F21" s="11" t="s">
        <v>185</v>
      </c>
      <c r="G21" s="75"/>
      <c r="H21" s="214">
        <v>72000</v>
      </c>
      <c r="I21" s="214">
        <v>284.72000000000003</v>
      </c>
      <c r="J21" s="89"/>
      <c r="K21" s="114"/>
      <c r="L21" s="74"/>
      <c r="M21" s="344"/>
      <c r="N21" s="13"/>
      <c r="O21" s="13"/>
      <c r="P21" s="13"/>
      <c r="Q21" s="360"/>
      <c r="R21" s="196"/>
      <c r="S21" s="3"/>
    </row>
    <row r="22" spans="1:19" s="99" customFormat="1" ht="23.4" customHeight="1">
      <c r="A22" s="346"/>
      <c r="B22" s="363"/>
      <c r="C22" s="11" t="s">
        <v>316</v>
      </c>
      <c r="D22" s="203" t="s">
        <v>128</v>
      </c>
      <c r="E22" s="11"/>
      <c r="F22" s="11" t="s">
        <v>110</v>
      </c>
      <c r="G22" s="214">
        <v>5200</v>
      </c>
      <c r="H22" s="214"/>
      <c r="I22" s="228"/>
      <c r="J22" s="9"/>
      <c r="K22" s="10"/>
      <c r="L22" s="13">
        <v>1900000</v>
      </c>
      <c r="M22" s="13"/>
      <c r="N22" s="13"/>
      <c r="O22" s="13"/>
      <c r="P22" s="13"/>
      <c r="Q22" s="361"/>
      <c r="R22" s="186"/>
    </row>
    <row r="23" spans="1:19" ht="23.4" customHeight="1">
      <c r="A23" s="345">
        <v>9</v>
      </c>
      <c r="B23" s="362" t="s">
        <v>203</v>
      </c>
      <c r="C23" s="203">
        <v>7</v>
      </c>
      <c r="D23" s="203" t="s">
        <v>158</v>
      </c>
      <c r="E23" s="11"/>
      <c r="F23" s="11" t="s">
        <v>52</v>
      </c>
      <c r="G23" s="75">
        <v>1315</v>
      </c>
      <c r="H23" s="214"/>
      <c r="I23" s="214"/>
      <c r="J23" s="9"/>
      <c r="K23" s="10"/>
      <c r="L23" s="13">
        <v>300000</v>
      </c>
      <c r="M23" s="13"/>
      <c r="N23" s="13"/>
      <c r="O23" s="13"/>
      <c r="P23" s="13"/>
      <c r="Q23" s="359">
        <f>SUM(L23:P24)</f>
        <v>2000000</v>
      </c>
      <c r="R23" s="219"/>
    </row>
    <row r="24" spans="1:19" ht="23.4" customHeight="1">
      <c r="A24" s="346"/>
      <c r="B24" s="363"/>
      <c r="C24" s="203" t="s">
        <v>317</v>
      </c>
      <c r="D24" s="203" t="s">
        <v>136</v>
      </c>
      <c r="E24" s="11"/>
      <c r="F24" s="11" t="s">
        <v>54</v>
      </c>
      <c r="G24" s="75"/>
      <c r="H24" s="214">
        <f>520010+50000</f>
        <v>570010</v>
      </c>
      <c r="I24" s="214">
        <f>728+300</f>
        <v>1028</v>
      </c>
      <c r="J24" s="89"/>
      <c r="K24" s="205"/>
      <c r="L24" s="13"/>
      <c r="M24" s="13">
        <v>1200000</v>
      </c>
      <c r="N24" s="204">
        <v>500000</v>
      </c>
      <c r="O24" s="13"/>
      <c r="P24" s="13"/>
      <c r="Q24" s="361"/>
      <c r="R24" s="219" t="s">
        <v>318</v>
      </c>
    </row>
    <row r="25" spans="1:19" ht="23.4" customHeight="1">
      <c r="A25" s="205">
        <v>10</v>
      </c>
      <c r="B25" s="193" t="s">
        <v>206</v>
      </c>
      <c r="C25" s="203">
        <v>5</v>
      </c>
      <c r="D25" s="203" t="s">
        <v>124</v>
      </c>
      <c r="E25" s="11"/>
      <c r="F25" s="11" t="s">
        <v>54</v>
      </c>
      <c r="G25" s="75"/>
      <c r="H25" s="214">
        <v>66810</v>
      </c>
      <c r="I25" s="214">
        <v>592.92539999999997</v>
      </c>
      <c r="J25" s="9"/>
      <c r="K25" s="10"/>
      <c r="L25" s="13"/>
      <c r="M25" s="13"/>
      <c r="N25" s="13">
        <v>1400000</v>
      </c>
      <c r="O25" s="13"/>
      <c r="P25" s="13"/>
      <c r="Q25" s="148">
        <f t="shared" si="0"/>
        <v>1400000</v>
      </c>
      <c r="R25" s="186"/>
    </row>
    <row r="26" spans="1:19" ht="23.4" customHeight="1">
      <c r="A26" s="205">
        <v>11</v>
      </c>
      <c r="B26" s="193" t="s">
        <v>207</v>
      </c>
      <c r="C26" s="203" t="s">
        <v>319</v>
      </c>
      <c r="D26" s="203" t="s">
        <v>70</v>
      </c>
      <c r="E26" s="11"/>
      <c r="F26" s="11" t="s">
        <v>76</v>
      </c>
      <c r="G26" s="75">
        <v>7340</v>
      </c>
      <c r="H26" s="75"/>
      <c r="I26" s="132"/>
      <c r="J26" s="9"/>
      <c r="K26" s="13"/>
      <c r="L26" s="13">
        <v>950000</v>
      </c>
      <c r="M26" s="13"/>
      <c r="N26" s="10"/>
      <c r="O26" s="10"/>
      <c r="P26" s="10"/>
      <c r="Q26" s="148">
        <f t="shared" si="0"/>
        <v>950000</v>
      </c>
      <c r="R26" s="160"/>
    </row>
    <row r="27" spans="1:19" s="99" customFormat="1" ht="23.4" customHeight="1">
      <c r="A27" s="345">
        <v>12</v>
      </c>
      <c r="B27" s="362" t="s">
        <v>207</v>
      </c>
      <c r="C27" s="203" t="s">
        <v>305</v>
      </c>
      <c r="D27" s="203" t="s">
        <v>142</v>
      </c>
      <c r="E27" s="11"/>
      <c r="F27" s="11" t="s">
        <v>54</v>
      </c>
      <c r="G27" s="75"/>
      <c r="H27" s="214">
        <v>62600</v>
      </c>
      <c r="I27" s="228">
        <v>997.44479999999999</v>
      </c>
      <c r="J27" s="170"/>
      <c r="K27" s="13"/>
      <c r="L27" s="13"/>
      <c r="M27" s="13">
        <v>550000</v>
      </c>
      <c r="N27" s="10"/>
      <c r="O27" s="10"/>
      <c r="P27" s="10"/>
      <c r="Q27" s="359">
        <f>SUM(L27:P28)</f>
        <v>2106400</v>
      </c>
      <c r="R27" s="254"/>
    </row>
    <row r="28" spans="1:19" ht="23.4" customHeight="1">
      <c r="A28" s="346"/>
      <c r="B28" s="363"/>
      <c r="C28" s="11" t="s">
        <v>320</v>
      </c>
      <c r="D28" s="11" t="s">
        <v>68</v>
      </c>
      <c r="E28" s="11"/>
      <c r="F28" s="11" t="s">
        <v>61</v>
      </c>
      <c r="G28" s="75">
        <v>4000</v>
      </c>
      <c r="H28" s="214"/>
      <c r="I28" s="214"/>
      <c r="J28" s="149">
        <v>1391</v>
      </c>
      <c r="K28" s="13"/>
      <c r="L28" s="13">
        <v>1000000</v>
      </c>
      <c r="M28" s="13"/>
      <c r="N28" s="97"/>
      <c r="O28" s="97"/>
      <c r="P28" s="113">
        <f>J28*400</f>
        <v>556400</v>
      </c>
      <c r="Q28" s="361"/>
      <c r="R28" s="186" t="s">
        <v>154</v>
      </c>
    </row>
    <row r="29" spans="1:19" ht="23.4" customHeight="1">
      <c r="A29" s="345">
        <v>13</v>
      </c>
      <c r="B29" s="362" t="s">
        <v>210</v>
      </c>
      <c r="C29" s="203">
        <v>8</v>
      </c>
      <c r="D29" s="203" t="s">
        <v>180</v>
      </c>
      <c r="E29" s="11"/>
      <c r="F29" s="11" t="s">
        <v>54</v>
      </c>
      <c r="G29" s="75"/>
      <c r="H29" s="214">
        <v>58260</v>
      </c>
      <c r="I29" s="228">
        <v>1738.7349999999999</v>
      </c>
      <c r="J29" s="75"/>
      <c r="K29" s="111"/>
      <c r="L29" s="13"/>
      <c r="M29" s="349">
        <v>1550000</v>
      </c>
      <c r="N29" s="13"/>
      <c r="O29" s="13"/>
      <c r="P29" s="13"/>
      <c r="Q29" s="359">
        <f>SUM(L29:P30)</f>
        <v>1550000</v>
      </c>
      <c r="R29" s="186" t="s">
        <v>51</v>
      </c>
    </row>
    <row r="30" spans="1:19" ht="23.4" customHeight="1">
      <c r="A30" s="346"/>
      <c r="B30" s="363"/>
      <c r="C30" s="203"/>
      <c r="D30" s="203" t="s">
        <v>178</v>
      </c>
      <c r="E30" s="11"/>
      <c r="F30" s="11" t="s">
        <v>33</v>
      </c>
      <c r="G30" s="75"/>
      <c r="H30" s="214">
        <v>83334</v>
      </c>
      <c r="I30" s="214">
        <v>2017</v>
      </c>
      <c r="J30" s="170"/>
      <c r="K30" s="111"/>
      <c r="L30" s="13"/>
      <c r="M30" s="350"/>
      <c r="N30" s="13"/>
      <c r="O30" s="13"/>
      <c r="P30" s="13"/>
      <c r="Q30" s="361"/>
      <c r="R30" s="219"/>
    </row>
    <row r="31" spans="1:19" ht="23.4" customHeight="1">
      <c r="A31" s="205">
        <v>14</v>
      </c>
      <c r="B31" s="193" t="s">
        <v>215</v>
      </c>
      <c r="C31" s="11">
        <v>25</v>
      </c>
      <c r="D31" s="203" t="s">
        <v>79</v>
      </c>
      <c r="E31" s="11"/>
      <c r="F31" s="11" t="s">
        <v>77</v>
      </c>
      <c r="G31" s="75">
        <v>6300</v>
      </c>
      <c r="H31" s="75"/>
      <c r="I31" s="132"/>
      <c r="J31" s="75"/>
      <c r="K31" s="111"/>
      <c r="L31" s="13">
        <v>1850000</v>
      </c>
      <c r="M31" s="84"/>
      <c r="N31" s="13"/>
      <c r="O31" s="13"/>
      <c r="P31" s="13"/>
      <c r="Q31" s="148">
        <f t="shared" si="0"/>
        <v>1850000</v>
      </c>
      <c r="R31" s="186"/>
    </row>
    <row r="32" spans="1:19" ht="24.6" customHeight="1">
      <c r="A32" s="205">
        <v>15</v>
      </c>
      <c r="B32" s="193" t="s">
        <v>217</v>
      </c>
      <c r="C32" s="11" t="s">
        <v>167</v>
      </c>
      <c r="D32" s="203" t="s">
        <v>321</v>
      </c>
      <c r="E32" s="11"/>
      <c r="F32" s="11" t="s">
        <v>299</v>
      </c>
      <c r="G32" s="75">
        <v>6000</v>
      </c>
      <c r="H32" s="75"/>
      <c r="I32" s="132"/>
      <c r="J32" s="9"/>
      <c r="K32" s="111"/>
      <c r="L32" s="13">
        <v>800000</v>
      </c>
      <c r="M32" s="13"/>
      <c r="N32" s="13"/>
      <c r="O32" s="13"/>
      <c r="P32" s="13"/>
      <c r="Q32" s="148">
        <f t="shared" si="0"/>
        <v>800000</v>
      </c>
      <c r="R32" s="219" t="s">
        <v>322</v>
      </c>
    </row>
    <row r="33" spans="1:26" ht="23.4" customHeight="1">
      <c r="A33" s="205">
        <v>16</v>
      </c>
      <c r="B33" s="193" t="s">
        <v>217</v>
      </c>
      <c r="C33" s="203">
        <v>32</v>
      </c>
      <c r="D33" s="203" t="s">
        <v>122</v>
      </c>
      <c r="E33" s="11"/>
      <c r="F33" s="11" t="s">
        <v>61</v>
      </c>
      <c r="G33" s="75">
        <v>5880</v>
      </c>
      <c r="H33" s="75"/>
      <c r="I33" s="132"/>
      <c r="J33" s="149">
        <v>650</v>
      </c>
      <c r="K33" s="89"/>
      <c r="L33" s="13">
        <v>1600000</v>
      </c>
      <c r="M33" s="13"/>
      <c r="N33" s="13"/>
      <c r="O33" s="13"/>
      <c r="P33" s="13">
        <f>J33*500</f>
        <v>325000</v>
      </c>
      <c r="Q33" s="148">
        <f t="shared" si="0"/>
        <v>1925000</v>
      </c>
      <c r="R33" s="186" t="s">
        <v>323</v>
      </c>
      <c r="S33" s="99"/>
      <c r="T33" s="99"/>
      <c r="U33" s="99"/>
      <c r="V33" s="99"/>
      <c r="W33" s="99"/>
      <c r="X33" s="99"/>
      <c r="Y33" s="99"/>
      <c r="Z33" s="99"/>
    </row>
    <row r="34" spans="1:26" ht="23.4" customHeight="1">
      <c r="A34" s="205">
        <v>17</v>
      </c>
      <c r="B34" s="193" t="s">
        <v>218</v>
      </c>
      <c r="C34" s="11">
        <v>24</v>
      </c>
      <c r="D34" s="203" t="s">
        <v>81</v>
      </c>
      <c r="E34" s="11"/>
      <c r="F34" s="11" t="s">
        <v>33</v>
      </c>
      <c r="G34" s="75">
        <v>5200</v>
      </c>
      <c r="H34" s="75"/>
      <c r="I34" s="132"/>
      <c r="J34" s="149"/>
      <c r="K34" s="178"/>
      <c r="L34" s="13">
        <v>1000000</v>
      </c>
      <c r="M34" s="13"/>
      <c r="N34" s="178"/>
      <c r="O34" s="179"/>
      <c r="P34" s="13"/>
      <c r="Q34" s="148">
        <f t="shared" si="0"/>
        <v>1000000</v>
      </c>
      <c r="R34" s="186"/>
      <c r="S34" s="99"/>
      <c r="T34" s="99"/>
      <c r="U34" s="99"/>
      <c r="V34" s="99"/>
      <c r="W34" s="99"/>
      <c r="X34" s="99"/>
      <c r="Y34" s="99"/>
      <c r="Z34" s="99"/>
    </row>
    <row r="35" spans="1:26" ht="23.4" customHeight="1">
      <c r="A35" s="205">
        <v>18</v>
      </c>
      <c r="B35" s="193" t="s">
        <v>218</v>
      </c>
      <c r="C35" s="11" t="s">
        <v>176</v>
      </c>
      <c r="D35" s="203" t="s">
        <v>68</v>
      </c>
      <c r="E35" s="11"/>
      <c r="F35" s="11" t="s">
        <v>61</v>
      </c>
      <c r="G35" s="75">
        <v>4500</v>
      </c>
      <c r="H35" s="75"/>
      <c r="I35" s="132"/>
      <c r="J35" s="170"/>
      <c r="K35" s="89"/>
      <c r="L35" s="13">
        <v>1400000</v>
      </c>
      <c r="M35" s="13"/>
      <c r="N35" s="13"/>
      <c r="O35" s="13"/>
      <c r="P35" s="13"/>
      <c r="Q35" s="148">
        <f t="shared" si="0"/>
        <v>1400000</v>
      </c>
      <c r="R35" s="133"/>
      <c r="S35" s="3"/>
    </row>
    <row r="36" spans="1:26" s="99" customFormat="1" ht="25.2" customHeight="1">
      <c r="A36" s="205">
        <v>19</v>
      </c>
      <c r="B36" s="193" t="s">
        <v>259</v>
      </c>
      <c r="C36" s="11" t="s">
        <v>324</v>
      </c>
      <c r="D36" s="203" t="s">
        <v>83</v>
      </c>
      <c r="E36" s="11"/>
      <c r="F36" s="11" t="s">
        <v>64</v>
      </c>
      <c r="G36" s="75"/>
      <c r="H36" s="75">
        <v>591400</v>
      </c>
      <c r="I36" s="228">
        <v>2441.3200000000002</v>
      </c>
      <c r="J36" s="170"/>
      <c r="K36" s="89"/>
      <c r="L36" s="13"/>
      <c r="M36" s="13">
        <v>1400000</v>
      </c>
      <c r="N36" s="13"/>
      <c r="O36" s="13"/>
      <c r="P36" s="13"/>
      <c r="Q36" s="148">
        <f t="shared" si="0"/>
        <v>1400000</v>
      </c>
      <c r="R36" s="196"/>
      <c r="S36" s="3"/>
      <c r="T36" s="1"/>
      <c r="U36" s="1"/>
      <c r="V36" s="1"/>
      <c r="W36" s="1"/>
      <c r="X36" s="1"/>
      <c r="Y36" s="1"/>
      <c r="Z36" s="1"/>
    </row>
    <row r="37" spans="1:26" s="99" customFormat="1" ht="23.4" customHeight="1">
      <c r="A37" s="205">
        <v>20</v>
      </c>
      <c r="B37" s="193" t="s">
        <v>221</v>
      </c>
      <c r="C37" s="11">
        <v>1</v>
      </c>
      <c r="D37" s="203" t="s">
        <v>159</v>
      </c>
      <c r="E37" s="11"/>
      <c r="F37" s="11" t="s">
        <v>66</v>
      </c>
      <c r="G37" s="228">
        <v>5632</v>
      </c>
      <c r="H37" s="75"/>
      <c r="I37" s="132"/>
      <c r="J37" s="149"/>
      <c r="K37" s="89"/>
      <c r="L37" s="13">
        <v>1600000</v>
      </c>
      <c r="M37" s="13"/>
      <c r="N37" s="13"/>
      <c r="O37" s="13"/>
      <c r="P37" s="13"/>
      <c r="Q37" s="148">
        <f t="shared" si="0"/>
        <v>1600000</v>
      </c>
      <c r="R37" s="133"/>
      <c r="S37" s="1"/>
      <c r="T37" s="1"/>
      <c r="U37" s="1"/>
      <c r="V37" s="1"/>
      <c r="W37" s="1"/>
      <c r="X37" s="1"/>
      <c r="Y37" s="1"/>
      <c r="Z37" s="1"/>
    </row>
    <row r="38" spans="1:26" ht="23.4" customHeight="1">
      <c r="A38" s="205">
        <v>21</v>
      </c>
      <c r="B38" s="193" t="s">
        <v>223</v>
      </c>
      <c r="C38" s="11">
        <v>40</v>
      </c>
      <c r="D38" s="203" t="s">
        <v>142</v>
      </c>
      <c r="E38" s="11"/>
      <c r="F38" s="11" t="s">
        <v>54</v>
      </c>
      <c r="G38" s="75"/>
      <c r="H38" s="228">
        <v>151000</v>
      </c>
      <c r="I38" s="228">
        <v>1161.6324</v>
      </c>
      <c r="J38" s="149"/>
      <c r="K38" s="114"/>
      <c r="L38" s="13"/>
      <c r="M38" s="13">
        <v>1400000</v>
      </c>
      <c r="N38" s="13"/>
      <c r="O38" s="13"/>
      <c r="P38" s="13"/>
      <c r="Q38" s="148">
        <f t="shared" si="0"/>
        <v>1400000</v>
      </c>
      <c r="R38" s="222" t="s">
        <v>325</v>
      </c>
      <c r="S38" s="99"/>
      <c r="T38" s="99"/>
      <c r="U38" s="99"/>
      <c r="V38" s="99"/>
      <c r="W38" s="99"/>
      <c r="X38" s="99"/>
      <c r="Y38" s="99"/>
      <c r="Z38" s="99"/>
    </row>
    <row r="39" spans="1:26" ht="24.6" customHeight="1">
      <c r="A39" s="205">
        <v>22</v>
      </c>
      <c r="B39" s="193" t="s">
        <v>225</v>
      </c>
      <c r="C39" s="11" t="s">
        <v>252</v>
      </c>
      <c r="D39" s="203" t="s">
        <v>82</v>
      </c>
      <c r="E39" s="11"/>
      <c r="F39" s="11" t="s">
        <v>66</v>
      </c>
      <c r="G39" s="75"/>
      <c r="H39" s="228">
        <v>140500</v>
      </c>
      <c r="I39" s="228">
        <v>2406.3249999999998</v>
      </c>
      <c r="J39" s="89"/>
      <c r="K39" s="114"/>
      <c r="L39" s="13"/>
      <c r="M39" s="13">
        <v>1600000</v>
      </c>
      <c r="N39" s="13"/>
      <c r="O39" s="13"/>
      <c r="P39" s="13"/>
      <c r="Q39" s="148">
        <f t="shared" si="0"/>
        <v>1600000</v>
      </c>
      <c r="R39" s="186"/>
      <c r="S39" s="99"/>
      <c r="T39" s="99"/>
      <c r="U39" s="99"/>
      <c r="V39" s="99"/>
      <c r="W39" s="99"/>
      <c r="X39" s="99"/>
      <c r="Y39" s="99"/>
      <c r="Z39" s="99"/>
    </row>
    <row r="40" spans="1:26" ht="23.4" customHeight="1">
      <c r="A40" s="205">
        <v>23</v>
      </c>
      <c r="B40" s="193" t="s">
        <v>226</v>
      </c>
      <c r="C40" s="11">
        <v>9</v>
      </c>
      <c r="D40" s="203" t="s">
        <v>152</v>
      </c>
      <c r="E40" s="11"/>
      <c r="F40" s="11" t="s">
        <v>135</v>
      </c>
      <c r="G40" s="75"/>
      <c r="H40" s="228">
        <v>138240</v>
      </c>
      <c r="I40" s="228">
        <v>1336.7808</v>
      </c>
      <c r="J40" s="89"/>
      <c r="K40" s="114"/>
      <c r="L40" s="13"/>
      <c r="M40" s="13">
        <v>1700000</v>
      </c>
      <c r="N40" s="13"/>
      <c r="O40" s="13"/>
      <c r="P40" s="13"/>
      <c r="Q40" s="148">
        <f t="shared" si="0"/>
        <v>1700000</v>
      </c>
      <c r="R40" s="79"/>
      <c r="S40" s="99"/>
      <c r="T40" s="99"/>
      <c r="U40" s="99"/>
      <c r="V40" s="99"/>
      <c r="W40" s="99"/>
      <c r="X40" s="99"/>
      <c r="Y40" s="99"/>
      <c r="Z40" s="99"/>
    </row>
    <row r="41" spans="1:26" s="99" customFormat="1" ht="25.2" customHeight="1">
      <c r="A41" s="345">
        <v>24</v>
      </c>
      <c r="B41" s="362" t="s">
        <v>227</v>
      </c>
      <c r="C41" s="203" t="s">
        <v>326</v>
      </c>
      <c r="D41" s="203" t="s">
        <v>145</v>
      </c>
      <c r="E41" s="11"/>
      <c r="F41" s="11" t="s">
        <v>77</v>
      </c>
      <c r="G41" s="75"/>
      <c r="H41" s="228">
        <f>140800+14000</f>
        <v>154800</v>
      </c>
      <c r="I41" s="228">
        <f>2070.1262+227.64</f>
        <v>2297.7662</v>
      </c>
      <c r="J41" s="89"/>
      <c r="K41" s="89"/>
      <c r="L41" s="13"/>
      <c r="M41" s="13">
        <v>1550000</v>
      </c>
      <c r="N41" s="13"/>
      <c r="O41" s="13"/>
      <c r="P41" s="13"/>
      <c r="Q41" s="359">
        <f>SUM(L41:P42)</f>
        <v>1850000</v>
      </c>
      <c r="R41" s="130" t="s">
        <v>51</v>
      </c>
    </row>
    <row r="42" spans="1:26" s="99" customFormat="1" ht="23.4" customHeight="1">
      <c r="A42" s="346"/>
      <c r="B42" s="363"/>
      <c r="C42" s="11">
        <v>22</v>
      </c>
      <c r="D42" s="11" t="s">
        <v>72</v>
      </c>
      <c r="E42" s="11"/>
      <c r="F42" s="11" t="s">
        <v>77</v>
      </c>
      <c r="G42" s="75">
        <v>1000</v>
      </c>
      <c r="H42" s="214"/>
      <c r="I42" s="214"/>
      <c r="J42" s="9"/>
      <c r="K42" s="89"/>
      <c r="L42" s="13">
        <v>300000</v>
      </c>
      <c r="M42" s="13"/>
      <c r="N42" s="13"/>
      <c r="O42" s="13"/>
      <c r="P42" s="13"/>
      <c r="Q42" s="361"/>
      <c r="R42" s="188"/>
    </row>
    <row r="43" spans="1:26" s="99" customFormat="1" ht="23.4" customHeight="1">
      <c r="A43" s="345">
        <v>25</v>
      </c>
      <c r="B43" s="362" t="s">
        <v>229</v>
      </c>
      <c r="C43" s="11">
        <v>20</v>
      </c>
      <c r="D43" s="203" t="s">
        <v>79</v>
      </c>
      <c r="E43" s="11"/>
      <c r="F43" s="11" t="s">
        <v>77</v>
      </c>
      <c r="G43" s="75">
        <v>3150</v>
      </c>
      <c r="H43" s="75"/>
      <c r="I43" s="75"/>
      <c r="J43" s="89"/>
      <c r="K43" s="89"/>
      <c r="L43" s="343">
        <v>1950000</v>
      </c>
      <c r="M43" s="13"/>
      <c r="N43" s="13"/>
      <c r="O43" s="13"/>
      <c r="P43" s="13"/>
      <c r="Q43" s="359">
        <f>SUM(L43:P44)</f>
        <v>1950000</v>
      </c>
      <c r="R43" s="79"/>
    </row>
    <row r="44" spans="1:26" s="99" customFormat="1" ht="23.4" customHeight="1">
      <c r="A44" s="346"/>
      <c r="B44" s="363"/>
      <c r="C44" s="11">
        <v>24</v>
      </c>
      <c r="D44" s="203" t="s">
        <v>74</v>
      </c>
      <c r="E44" s="11"/>
      <c r="F44" s="11" t="s">
        <v>75</v>
      </c>
      <c r="G44" s="75">
        <v>3000</v>
      </c>
      <c r="H44" s="132"/>
      <c r="I44" s="132"/>
      <c r="J44" s="89"/>
      <c r="K44" s="89"/>
      <c r="L44" s="344"/>
      <c r="M44" s="13"/>
      <c r="N44" s="13"/>
      <c r="O44" s="13"/>
      <c r="P44" s="13"/>
      <c r="Q44" s="361"/>
      <c r="R44" s="79"/>
    </row>
    <row r="45" spans="1:26" s="99" customFormat="1" ht="23.4" customHeight="1">
      <c r="A45" s="345">
        <v>26</v>
      </c>
      <c r="B45" s="362" t="s">
        <v>231</v>
      </c>
      <c r="C45" s="203">
        <v>3</v>
      </c>
      <c r="D45" s="203" t="s">
        <v>182</v>
      </c>
      <c r="E45" s="11"/>
      <c r="F45" s="11" t="s">
        <v>46</v>
      </c>
      <c r="G45" s="75">
        <v>2516</v>
      </c>
      <c r="H45" s="214"/>
      <c r="I45" s="216"/>
      <c r="J45" s="89"/>
      <c r="K45" s="89"/>
      <c r="L45" s="343">
        <v>1800000</v>
      </c>
      <c r="M45" s="13"/>
      <c r="N45" s="13"/>
      <c r="O45" s="13"/>
      <c r="P45" s="13"/>
      <c r="Q45" s="359">
        <f>SUM(L45:P47)</f>
        <v>2050000</v>
      </c>
      <c r="R45" s="130" t="s">
        <v>51</v>
      </c>
      <c r="S45" s="1"/>
      <c r="T45" s="1"/>
      <c r="U45" s="1"/>
      <c r="V45" s="1"/>
      <c r="W45" s="1"/>
      <c r="X45" s="1"/>
      <c r="Y45" s="1"/>
      <c r="Z45" s="1"/>
    </row>
    <row r="46" spans="1:26" s="99" customFormat="1" ht="23.4" customHeight="1">
      <c r="A46" s="351"/>
      <c r="B46" s="364"/>
      <c r="C46" s="203">
        <v>13</v>
      </c>
      <c r="D46" s="203" t="s">
        <v>65</v>
      </c>
      <c r="E46" s="11"/>
      <c r="F46" s="11" t="s">
        <v>66</v>
      </c>
      <c r="G46" s="75">
        <v>2985</v>
      </c>
      <c r="H46" s="214"/>
      <c r="I46" s="216"/>
      <c r="J46" s="9"/>
      <c r="K46" s="13"/>
      <c r="L46" s="344"/>
      <c r="M46" s="13"/>
      <c r="N46" s="13"/>
      <c r="O46" s="13"/>
      <c r="P46" s="13"/>
      <c r="Q46" s="360"/>
      <c r="R46" s="130"/>
      <c r="S46" s="1"/>
      <c r="T46" s="1"/>
      <c r="U46" s="1"/>
      <c r="V46" s="1"/>
      <c r="W46" s="1"/>
      <c r="X46" s="1"/>
      <c r="Y46" s="1"/>
      <c r="Z46" s="1"/>
    </row>
    <row r="47" spans="1:26" ht="23.4" customHeight="1">
      <c r="A47" s="346"/>
      <c r="B47" s="363"/>
      <c r="C47" s="203">
        <v>17</v>
      </c>
      <c r="D47" s="203" t="s">
        <v>108</v>
      </c>
      <c r="E47" s="11"/>
      <c r="F47" s="11" t="s">
        <v>48</v>
      </c>
      <c r="G47" s="75"/>
      <c r="H47" s="214">
        <v>24000</v>
      </c>
      <c r="I47" s="228">
        <v>324</v>
      </c>
      <c r="J47" s="114"/>
      <c r="K47" s="114"/>
      <c r="L47" s="13"/>
      <c r="M47" s="13">
        <v>250000</v>
      </c>
      <c r="N47" s="13"/>
      <c r="O47" s="13"/>
      <c r="P47" s="13"/>
      <c r="Q47" s="361"/>
      <c r="R47" s="79"/>
    </row>
    <row r="48" spans="1:26" s="99" customFormat="1" ht="23.4" customHeight="1">
      <c r="A48" s="345">
        <v>27</v>
      </c>
      <c r="B48" s="362" t="s">
        <v>233</v>
      </c>
      <c r="C48" s="203">
        <v>61</v>
      </c>
      <c r="D48" s="203" t="s">
        <v>141</v>
      </c>
      <c r="E48" s="11"/>
      <c r="F48" s="11" t="s">
        <v>327</v>
      </c>
      <c r="G48" s="214">
        <v>4801</v>
      </c>
      <c r="H48" s="132"/>
      <c r="I48" s="132"/>
      <c r="J48" s="89"/>
      <c r="K48" s="89"/>
      <c r="L48" s="343">
        <v>1750000</v>
      </c>
      <c r="M48" s="13"/>
      <c r="N48" s="13"/>
      <c r="O48" s="13"/>
      <c r="P48" s="13"/>
      <c r="Q48" s="359">
        <f>SUM(L48:P49)</f>
        <v>1750000</v>
      </c>
      <c r="R48" s="79"/>
      <c r="S48" s="1"/>
      <c r="T48" s="1"/>
      <c r="U48" s="1"/>
      <c r="V48" s="1"/>
      <c r="W48" s="1"/>
      <c r="X48" s="1"/>
      <c r="Y48" s="1"/>
      <c r="Z48" s="1"/>
    </row>
    <row r="49" spans="1:19" ht="23.4" customHeight="1">
      <c r="A49" s="346"/>
      <c r="B49" s="363"/>
      <c r="C49" s="203">
        <v>18</v>
      </c>
      <c r="D49" s="203" t="s">
        <v>127</v>
      </c>
      <c r="E49" s="11"/>
      <c r="F49" s="11" t="s">
        <v>71</v>
      </c>
      <c r="G49" s="75">
        <v>1200</v>
      </c>
      <c r="H49" s="75"/>
      <c r="I49" s="75"/>
      <c r="J49" s="170"/>
      <c r="K49" s="114"/>
      <c r="L49" s="344"/>
      <c r="M49" s="13"/>
      <c r="N49" s="13"/>
      <c r="O49" s="13"/>
      <c r="P49" s="13"/>
      <c r="Q49" s="361"/>
      <c r="R49" s="130"/>
    </row>
    <row r="50" spans="1:19" ht="23.4" customHeight="1">
      <c r="A50" s="205">
        <v>28</v>
      </c>
      <c r="B50" s="193" t="s">
        <v>233</v>
      </c>
      <c r="C50" s="11">
        <v>13</v>
      </c>
      <c r="D50" s="203" t="s">
        <v>124</v>
      </c>
      <c r="E50" s="11"/>
      <c r="F50" s="11" t="s">
        <v>54</v>
      </c>
      <c r="G50" s="75"/>
      <c r="H50" s="228">
        <v>109650</v>
      </c>
      <c r="I50" s="228">
        <v>973.12180000000001</v>
      </c>
      <c r="J50" s="75"/>
      <c r="K50" s="114"/>
      <c r="L50" s="13"/>
      <c r="M50" s="13">
        <v>1350000</v>
      </c>
      <c r="N50" s="13"/>
      <c r="O50" s="13"/>
      <c r="P50" s="13"/>
      <c r="Q50" s="148">
        <f t="shared" si="0"/>
        <v>1350000</v>
      </c>
      <c r="R50" s="130" t="s">
        <v>53</v>
      </c>
    </row>
    <row r="51" spans="1:19" ht="23.4" customHeight="1">
      <c r="A51" s="345">
        <v>29</v>
      </c>
      <c r="B51" s="362" t="s">
        <v>234</v>
      </c>
      <c r="C51" s="203">
        <v>4</v>
      </c>
      <c r="D51" s="203" t="s">
        <v>328</v>
      </c>
      <c r="E51" s="11"/>
      <c r="F51" s="11" t="s">
        <v>66</v>
      </c>
      <c r="G51" s="214">
        <v>1020</v>
      </c>
      <c r="H51" s="214"/>
      <c r="I51" s="214"/>
      <c r="J51" s="114"/>
      <c r="K51" s="114"/>
      <c r="L51" s="343">
        <v>1400000</v>
      </c>
      <c r="M51" s="13"/>
      <c r="N51" s="13"/>
      <c r="O51" s="13">
        <v>300000</v>
      </c>
      <c r="P51" s="13"/>
      <c r="Q51" s="359">
        <f>SUM(L51:P54)</f>
        <v>2200000</v>
      </c>
      <c r="R51" s="218" t="s">
        <v>329</v>
      </c>
    </row>
    <row r="52" spans="1:19" ht="23.4" customHeight="1">
      <c r="A52" s="351"/>
      <c r="B52" s="364"/>
      <c r="C52" s="203">
        <v>57</v>
      </c>
      <c r="D52" s="203" t="s">
        <v>65</v>
      </c>
      <c r="E52" s="11"/>
      <c r="F52" s="11" t="s">
        <v>66</v>
      </c>
      <c r="G52" s="75">
        <v>883</v>
      </c>
      <c r="H52" s="214"/>
      <c r="I52" s="216"/>
      <c r="J52" s="9"/>
      <c r="K52" s="114"/>
      <c r="L52" s="356"/>
      <c r="M52" s="13"/>
      <c r="N52" s="13"/>
      <c r="O52" s="13"/>
      <c r="P52" s="13"/>
      <c r="Q52" s="360"/>
      <c r="R52" s="130"/>
    </row>
    <row r="53" spans="1:19" ht="23.4" customHeight="1">
      <c r="A53" s="351"/>
      <c r="B53" s="364"/>
      <c r="C53" s="203">
        <v>5</v>
      </c>
      <c r="D53" s="203" t="s">
        <v>181</v>
      </c>
      <c r="E53" s="11"/>
      <c r="F53" s="11" t="s">
        <v>66</v>
      </c>
      <c r="G53" s="75">
        <v>3000</v>
      </c>
      <c r="H53" s="214"/>
      <c r="I53" s="216"/>
      <c r="J53" s="89"/>
      <c r="K53" s="114"/>
      <c r="L53" s="344"/>
      <c r="M53" s="13"/>
      <c r="N53" s="13"/>
      <c r="O53" s="13"/>
      <c r="P53" s="13"/>
      <c r="Q53" s="360"/>
      <c r="R53" s="130"/>
    </row>
    <row r="54" spans="1:19" ht="23.4" customHeight="1">
      <c r="A54" s="346"/>
      <c r="B54" s="363"/>
      <c r="C54" s="203">
        <v>18</v>
      </c>
      <c r="D54" s="203" t="s">
        <v>92</v>
      </c>
      <c r="E54" s="11"/>
      <c r="F54" s="11" t="s">
        <v>66</v>
      </c>
      <c r="G54" s="75"/>
      <c r="H54" s="214">
        <v>62290</v>
      </c>
      <c r="I54" s="228">
        <v>792.81299999999999</v>
      </c>
      <c r="J54" s="9"/>
      <c r="K54" s="114"/>
      <c r="L54" s="13"/>
      <c r="M54" s="13">
        <v>500000</v>
      </c>
      <c r="N54" s="13"/>
      <c r="O54" s="13"/>
      <c r="P54" s="13"/>
      <c r="Q54" s="361"/>
      <c r="R54" s="130"/>
    </row>
    <row r="55" spans="1:19" ht="23.4" customHeight="1">
      <c r="A55" s="345">
        <v>30</v>
      </c>
      <c r="B55" s="362" t="s">
        <v>235</v>
      </c>
      <c r="C55" s="203">
        <v>11</v>
      </c>
      <c r="D55" s="203" t="s">
        <v>313</v>
      </c>
      <c r="E55" s="11"/>
      <c r="F55" s="11" t="s">
        <v>64</v>
      </c>
      <c r="G55" s="75"/>
      <c r="H55" s="214">
        <v>96000</v>
      </c>
      <c r="I55" s="228">
        <v>835.2</v>
      </c>
      <c r="J55" s="89"/>
      <c r="K55" s="114"/>
      <c r="L55" s="13"/>
      <c r="M55" s="343">
        <v>1150000</v>
      </c>
      <c r="N55" s="13"/>
      <c r="O55" s="13"/>
      <c r="P55" s="13"/>
      <c r="Q55" s="359">
        <f>SUM(L55:P57)</f>
        <v>1650000</v>
      </c>
      <c r="R55" s="130" t="s">
        <v>51</v>
      </c>
    </row>
    <row r="56" spans="1:19" ht="23.4" customHeight="1">
      <c r="A56" s="351"/>
      <c r="B56" s="364"/>
      <c r="C56" s="203">
        <v>17</v>
      </c>
      <c r="D56" s="203" t="s">
        <v>116</v>
      </c>
      <c r="E56" s="11"/>
      <c r="F56" s="11" t="s">
        <v>64</v>
      </c>
      <c r="G56" s="75"/>
      <c r="H56" s="214">
        <v>72000</v>
      </c>
      <c r="I56" s="228">
        <v>430.92</v>
      </c>
      <c r="J56" s="89"/>
      <c r="K56" s="114"/>
      <c r="L56" s="13"/>
      <c r="M56" s="344"/>
      <c r="N56" s="13"/>
      <c r="O56" s="13"/>
      <c r="P56" s="13"/>
      <c r="Q56" s="360"/>
      <c r="R56" s="130"/>
    </row>
    <row r="57" spans="1:19" ht="23.4" customHeight="1">
      <c r="A57" s="346"/>
      <c r="B57" s="363"/>
      <c r="C57" s="203">
        <v>8</v>
      </c>
      <c r="D57" s="203" t="s">
        <v>74</v>
      </c>
      <c r="E57" s="11"/>
      <c r="F57" s="11" t="s">
        <v>75</v>
      </c>
      <c r="G57" s="75">
        <v>2040</v>
      </c>
      <c r="H57" s="214"/>
      <c r="I57" s="216"/>
      <c r="J57" s="89"/>
      <c r="K57" s="114"/>
      <c r="L57" s="13">
        <v>500000</v>
      </c>
      <c r="M57" s="13"/>
      <c r="N57" s="13"/>
      <c r="O57" s="13"/>
      <c r="P57" s="13"/>
      <c r="Q57" s="361"/>
      <c r="R57" s="130"/>
    </row>
    <row r="58" spans="1:19" ht="22.8" customHeight="1">
      <c r="A58" s="205">
        <v>31</v>
      </c>
      <c r="B58" s="193" t="s">
        <v>236</v>
      </c>
      <c r="C58" s="203">
        <v>29</v>
      </c>
      <c r="D58" s="203" t="s">
        <v>174</v>
      </c>
      <c r="E58" s="11"/>
      <c r="F58" s="11" t="s">
        <v>137</v>
      </c>
      <c r="G58" s="75">
        <v>3986</v>
      </c>
      <c r="H58" s="132"/>
      <c r="I58" s="132"/>
      <c r="J58" s="89"/>
      <c r="K58" s="114"/>
      <c r="L58" s="13">
        <v>1050000</v>
      </c>
      <c r="M58" s="13"/>
      <c r="N58" s="13"/>
      <c r="O58" s="13"/>
      <c r="P58" s="13"/>
      <c r="Q58" s="148">
        <f t="shared" si="0"/>
        <v>1050000</v>
      </c>
      <c r="R58" s="130"/>
    </row>
    <row r="59" spans="1:19" ht="23.4" customHeight="1">
      <c r="A59" s="205">
        <v>32</v>
      </c>
      <c r="B59" s="193" t="s">
        <v>236</v>
      </c>
      <c r="C59" s="203">
        <v>41</v>
      </c>
      <c r="D59" s="203" t="s">
        <v>68</v>
      </c>
      <c r="E59" s="11"/>
      <c r="F59" s="11" t="s">
        <v>61</v>
      </c>
      <c r="G59" s="75">
        <v>3500</v>
      </c>
      <c r="H59" s="75"/>
      <c r="I59" s="132"/>
      <c r="J59" s="89">
        <v>800</v>
      </c>
      <c r="K59" s="114"/>
      <c r="L59" s="13">
        <v>1250000</v>
      </c>
      <c r="M59" s="13"/>
      <c r="N59" s="13"/>
      <c r="O59" s="13"/>
      <c r="P59" s="13">
        <f>J59*400</f>
        <v>320000</v>
      </c>
      <c r="Q59" s="148">
        <f t="shared" si="0"/>
        <v>1570000</v>
      </c>
      <c r="R59" s="130" t="s">
        <v>154</v>
      </c>
    </row>
    <row r="60" spans="1:19" ht="23.4" customHeight="1">
      <c r="A60" s="345">
        <v>33</v>
      </c>
      <c r="B60" s="362" t="s">
        <v>239</v>
      </c>
      <c r="C60" s="203">
        <v>23</v>
      </c>
      <c r="D60" s="203" t="s">
        <v>330</v>
      </c>
      <c r="E60" s="11"/>
      <c r="F60" s="11" t="s">
        <v>75</v>
      </c>
      <c r="G60" s="214">
        <v>1000</v>
      </c>
      <c r="H60" s="75"/>
      <c r="I60" s="75"/>
      <c r="J60" s="89"/>
      <c r="K60" s="114"/>
      <c r="L60" s="343">
        <v>1800000</v>
      </c>
      <c r="M60" s="13"/>
      <c r="N60" s="13"/>
      <c r="O60" s="13"/>
      <c r="P60" s="13"/>
      <c r="Q60" s="359">
        <f>SUM(L60:P61)</f>
        <v>1800000</v>
      </c>
      <c r="R60" s="197"/>
    </row>
    <row r="61" spans="1:19" ht="23.4" customHeight="1">
      <c r="A61" s="346"/>
      <c r="B61" s="363"/>
      <c r="C61" s="203">
        <v>43</v>
      </c>
      <c r="D61" s="203" t="s">
        <v>74</v>
      </c>
      <c r="E61" s="11"/>
      <c r="F61" s="11" t="s">
        <v>75</v>
      </c>
      <c r="G61" s="75">
        <f>6120-500</f>
        <v>5620</v>
      </c>
      <c r="H61" s="75"/>
      <c r="I61" s="75"/>
      <c r="J61" s="89"/>
      <c r="K61" s="114"/>
      <c r="L61" s="344"/>
      <c r="M61" s="13"/>
      <c r="N61" s="13"/>
      <c r="O61" s="13"/>
      <c r="P61" s="13"/>
      <c r="Q61" s="361"/>
      <c r="R61" s="197"/>
    </row>
    <row r="62" spans="1:19" ht="23.4" customHeight="1">
      <c r="A62" s="205">
        <v>34</v>
      </c>
      <c r="B62" s="193" t="s">
        <v>240</v>
      </c>
      <c r="C62" s="203" t="s">
        <v>331</v>
      </c>
      <c r="D62" s="203" t="s">
        <v>82</v>
      </c>
      <c r="E62" s="11"/>
      <c r="F62" s="11" t="s">
        <v>66</v>
      </c>
      <c r="G62" s="214"/>
      <c r="H62" s="214">
        <v>127500</v>
      </c>
      <c r="I62" s="228">
        <v>2312.4857000000002</v>
      </c>
      <c r="J62" s="89"/>
      <c r="K62" s="114"/>
      <c r="L62" s="13"/>
      <c r="M62" s="13">
        <v>1600000</v>
      </c>
      <c r="N62" s="13"/>
      <c r="O62" s="13"/>
      <c r="P62" s="13"/>
      <c r="Q62" s="148">
        <f t="shared" si="0"/>
        <v>1600000</v>
      </c>
      <c r="R62" s="197"/>
    </row>
    <row r="63" spans="1:19" ht="23.4" customHeight="1">
      <c r="A63" s="205">
        <v>35</v>
      </c>
      <c r="B63" s="193" t="s">
        <v>240</v>
      </c>
      <c r="C63" s="203">
        <v>36</v>
      </c>
      <c r="D63" s="203" t="s">
        <v>332</v>
      </c>
      <c r="E63" s="11"/>
      <c r="F63" s="11" t="s">
        <v>137</v>
      </c>
      <c r="G63" s="75">
        <v>4000</v>
      </c>
      <c r="H63" s="75"/>
      <c r="I63" s="75"/>
      <c r="J63" s="89"/>
      <c r="K63" s="114"/>
      <c r="L63" s="13">
        <v>1000000</v>
      </c>
      <c r="M63" s="13"/>
      <c r="N63" s="13"/>
      <c r="O63" s="13"/>
      <c r="P63" s="13"/>
      <c r="Q63" s="148">
        <f t="shared" si="0"/>
        <v>1000000</v>
      </c>
      <c r="R63" s="197" t="s">
        <v>53</v>
      </c>
    </row>
    <row r="64" spans="1:19" s="21" customFormat="1" ht="27" customHeight="1">
      <c r="A64" s="335" t="s">
        <v>20</v>
      </c>
      <c r="B64" s="336"/>
      <c r="C64" s="336"/>
      <c r="D64" s="336"/>
      <c r="E64" s="336"/>
      <c r="F64" s="337"/>
      <c r="G64" s="20">
        <f t="shared" ref="G64:Q64" si="1">SUM(G8:G63)</f>
        <v>117425</v>
      </c>
      <c r="H64" s="20">
        <f t="shared" si="1"/>
        <v>3123594</v>
      </c>
      <c r="I64" s="20">
        <f t="shared" si="1"/>
        <v>26139.919700000002</v>
      </c>
      <c r="J64" s="20">
        <f t="shared" si="1"/>
        <v>2841</v>
      </c>
      <c r="K64" s="20">
        <f t="shared" si="1"/>
        <v>0</v>
      </c>
      <c r="L64" s="20">
        <f t="shared" si="1"/>
        <v>31150000</v>
      </c>
      <c r="M64" s="20">
        <f t="shared" si="1"/>
        <v>20500000</v>
      </c>
      <c r="N64" s="20">
        <f t="shared" si="1"/>
        <v>1900000</v>
      </c>
      <c r="O64" s="20">
        <f t="shared" si="1"/>
        <v>975000</v>
      </c>
      <c r="P64" s="20">
        <f t="shared" si="1"/>
        <v>1201400</v>
      </c>
      <c r="Q64" s="143">
        <f t="shared" si="1"/>
        <v>55726400</v>
      </c>
      <c r="R64" s="100"/>
      <c r="S64" s="243"/>
    </row>
    <row r="65" spans="1:26" s="21" customFormat="1" ht="26.4" customHeight="1">
      <c r="A65" s="332" t="s">
        <v>21</v>
      </c>
      <c r="B65" s="333"/>
      <c r="C65" s="333"/>
      <c r="D65" s="333"/>
      <c r="E65" s="333"/>
      <c r="F65" s="33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>
        <f>8%*Q64</f>
        <v>4458112</v>
      </c>
      <c r="R65" s="64"/>
      <c r="S65" s="30"/>
    </row>
    <row r="66" spans="1:26" s="21" customFormat="1" ht="21" customHeight="1">
      <c r="A66" s="332" t="s">
        <v>22</v>
      </c>
      <c r="B66" s="333"/>
      <c r="C66" s="333"/>
      <c r="D66" s="333"/>
      <c r="E66" s="333"/>
      <c r="F66" s="334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f>Q65+Q64</f>
        <v>60184512</v>
      </c>
      <c r="R66" s="65"/>
      <c r="S66" s="30"/>
    </row>
    <row r="67" spans="1:26" s="21" customFormat="1" ht="28.95" customHeight="1">
      <c r="A67" s="52"/>
      <c r="B67" s="101"/>
      <c r="C67" s="23"/>
      <c r="D67" s="23"/>
      <c r="E67" s="23"/>
      <c r="F67" s="23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48"/>
      <c r="S67" s="30"/>
    </row>
    <row r="68" spans="1:26" s="21" customFormat="1" ht="24.6" customHeight="1">
      <c r="A68" s="261" t="s">
        <v>23</v>
      </c>
      <c r="B68" s="262"/>
      <c r="C68" s="262"/>
      <c r="D68" s="262"/>
      <c r="E68" s="262"/>
      <c r="F68" s="263"/>
      <c r="G68" s="27">
        <f>G64</f>
        <v>117425</v>
      </c>
      <c r="H68" s="27"/>
      <c r="I68" s="27"/>
      <c r="J68" s="27"/>
      <c r="K68" s="28">
        <f>G64+J64</f>
        <v>120266</v>
      </c>
      <c r="L68" s="27"/>
      <c r="M68" s="27"/>
      <c r="N68" s="27"/>
      <c r="O68" s="27"/>
      <c r="P68" s="27"/>
      <c r="Q68" s="27">
        <f>L64+N64</f>
        <v>33050000</v>
      </c>
      <c r="R68" s="68">
        <f>Q68/G68</f>
        <v>281.45624866936345</v>
      </c>
      <c r="S68" s="1"/>
      <c r="T68" s="1"/>
      <c r="U68" s="1"/>
      <c r="V68" s="1"/>
      <c r="W68" s="1"/>
      <c r="X68" s="1"/>
      <c r="Y68" s="1"/>
      <c r="Z68" s="1"/>
    </row>
    <row r="69" spans="1:26" s="21" customFormat="1" ht="24.6" customHeight="1">
      <c r="A69" s="261" t="s">
        <v>24</v>
      </c>
      <c r="B69" s="262"/>
      <c r="C69" s="262"/>
      <c r="D69" s="262"/>
      <c r="E69" s="262"/>
      <c r="F69" s="263"/>
      <c r="G69" s="27"/>
      <c r="H69" s="27"/>
      <c r="I69" s="27">
        <f>I64</f>
        <v>26139.919700000002</v>
      </c>
      <c r="J69" s="27">
        <f>J64</f>
        <v>2841</v>
      </c>
      <c r="K69" s="27"/>
      <c r="L69" s="27"/>
      <c r="M69" s="27"/>
      <c r="N69" s="27"/>
      <c r="O69" s="27"/>
      <c r="P69" s="27"/>
      <c r="Q69" s="27">
        <f>M64+O64</f>
        <v>21475000</v>
      </c>
      <c r="R69" s="68">
        <f>Q69/I69</f>
        <v>821.54039669831116</v>
      </c>
      <c r="S69" s="1"/>
      <c r="T69" s="1"/>
      <c r="U69" s="1"/>
      <c r="V69" s="1"/>
      <c r="W69" s="1"/>
      <c r="X69" s="1"/>
      <c r="Y69" s="1"/>
      <c r="Z69" s="1"/>
    </row>
    <row r="70" spans="1:26" s="21" customFormat="1" ht="24.6" customHeight="1">
      <c r="A70" s="261" t="s">
        <v>25</v>
      </c>
      <c r="B70" s="262"/>
      <c r="C70" s="262"/>
      <c r="D70" s="262"/>
      <c r="E70" s="262"/>
      <c r="F70" s="263"/>
      <c r="G70" s="27"/>
      <c r="H70" s="27"/>
      <c r="I70" s="27"/>
      <c r="J70" s="27"/>
      <c r="K70" s="27"/>
      <c r="L70" s="27"/>
      <c r="M70" s="27"/>
      <c r="N70" s="27"/>
      <c r="O70" s="27"/>
      <c r="P70" s="27">
        <f>J64</f>
        <v>2841</v>
      </c>
      <c r="Q70" s="27">
        <f>P64</f>
        <v>1201400</v>
      </c>
      <c r="R70" s="68">
        <f>Q70/P70</f>
        <v>422.87926786342837</v>
      </c>
      <c r="S70" s="8"/>
      <c r="T70" s="8"/>
      <c r="U70" s="8"/>
      <c r="V70" s="8"/>
      <c r="W70" s="8"/>
      <c r="X70" s="8"/>
      <c r="Y70" s="8"/>
      <c r="Z70" s="8"/>
    </row>
    <row r="71" spans="1:26">
      <c r="B71" s="102"/>
      <c r="C71" s="3" t="s">
        <v>27</v>
      </c>
      <c r="D71" s="32"/>
      <c r="E71" s="33"/>
      <c r="F71" s="33"/>
      <c r="G71" s="34" t="s">
        <v>241</v>
      </c>
      <c r="H71" s="35"/>
      <c r="I71" s="35"/>
      <c r="J71" s="35"/>
      <c r="K71" s="36"/>
      <c r="L71" s="1"/>
      <c r="M71" s="1"/>
      <c r="N71" s="1"/>
      <c r="O71" s="1"/>
      <c r="P71" s="1"/>
      <c r="Q71" s="144" t="s">
        <v>28</v>
      </c>
    </row>
    <row r="72" spans="1:26" ht="18" customHeight="1">
      <c r="B72" s="102"/>
      <c r="D72" s="32"/>
      <c r="E72" s="37"/>
      <c r="F72" s="37"/>
      <c r="G72" s="38"/>
      <c r="H72" s="31"/>
      <c r="I72" s="32"/>
      <c r="J72" s="32"/>
      <c r="K72" s="32"/>
    </row>
    <row r="73" spans="1:26" s="8" customFormat="1" ht="18" customHeight="1">
      <c r="A73" s="1"/>
      <c r="B73" s="102"/>
      <c r="C73" s="3"/>
      <c r="D73" s="3"/>
      <c r="E73" s="3"/>
      <c r="F73" s="3"/>
      <c r="G73" s="39"/>
      <c r="Q73" s="127"/>
      <c r="R73" s="3"/>
      <c r="S73" s="1"/>
      <c r="T73" s="1"/>
      <c r="U73" s="1"/>
      <c r="V73" s="1"/>
      <c r="W73" s="1"/>
      <c r="X73" s="1"/>
      <c r="Y73" s="1"/>
      <c r="Z73" s="1"/>
    </row>
    <row r="74" spans="1:26">
      <c r="B74" s="102"/>
      <c r="E74" s="37"/>
      <c r="F74" s="37"/>
      <c r="G74" s="38"/>
      <c r="H74" s="31"/>
      <c r="I74" s="32"/>
      <c r="J74" s="32"/>
      <c r="K74" s="32"/>
    </row>
    <row r="75" spans="1:26">
      <c r="H75" s="43"/>
      <c r="Q75" s="21"/>
    </row>
    <row r="76" spans="1:26">
      <c r="C76" s="45"/>
      <c r="G76" s="34" t="str">
        <f>'[1]A VIEN'!G71</f>
        <v>Đặng Thị Mỹ Tin</v>
      </c>
      <c r="H76" s="43"/>
      <c r="Q76" s="151" t="s">
        <v>44</v>
      </c>
    </row>
    <row r="78" spans="1:26">
      <c r="Q78" s="115" t="s">
        <v>57</v>
      </c>
    </row>
    <row r="79" spans="1:26">
      <c r="L79" s="7">
        <f>L64+'[1]A DANH'!L40+'[1]CHU HOANG'!L59+[1]HUNG!K50</f>
        <v>54060000</v>
      </c>
      <c r="N79" s="7">
        <f>N64+'[1]A DANH'!N40+'[1]CHU HOANG'!N59+[1]HUNG!O50</f>
        <v>4360000</v>
      </c>
      <c r="P79" s="7">
        <f>P64+'[1]A DANH'!P40+'[1]CHU HOANG'!P59</f>
        <v>4578200</v>
      </c>
      <c r="Q79" s="115">
        <f>Q64+'[1]A DANH'!Q40+'[1]CHU HOANG'!Q59+[1]HUNG!P50</f>
        <v>189990200</v>
      </c>
      <c r="R79" s="49"/>
    </row>
    <row r="80" spans="1:26">
      <c r="L80" s="7">
        <f>L79+N80</f>
        <v>56930000</v>
      </c>
      <c r="N80" s="7">
        <v>2870000</v>
      </c>
    </row>
  </sheetData>
  <mergeCells count="82">
    <mergeCell ref="Q5:Q7"/>
    <mergeCell ref="H6:I6"/>
    <mergeCell ref="P5:P7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N5:O6"/>
    <mergeCell ref="R5:R7"/>
    <mergeCell ref="E6:E7"/>
    <mergeCell ref="F6:F7"/>
    <mergeCell ref="A41:A42"/>
    <mergeCell ref="B41:B42"/>
    <mergeCell ref="Q41:Q42"/>
    <mergeCell ref="A29:A30"/>
    <mergeCell ref="B29:B30"/>
    <mergeCell ref="M29:M30"/>
    <mergeCell ref="Q29:Q30"/>
    <mergeCell ref="A8:A9"/>
    <mergeCell ref="B8:B9"/>
    <mergeCell ref="L8:L9"/>
    <mergeCell ref="Q8:Q9"/>
    <mergeCell ref="A12:A13"/>
    <mergeCell ref="B12:B13"/>
    <mergeCell ref="Q43:Q44"/>
    <mergeCell ref="A51:A54"/>
    <mergeCell ref="B51:B54"/>
    <mergeCell ref="L51:L53"/>
    <mergeCell ref="Q51:Q54"/>
    <mergeCell ref="A45:A47"/>
    <mergeCell ref="B45:B47"/>
    <mergeCell ref="L45:L46"/>
    <mergeCell ref="Q45:Q47"/>
    <mergeCell ref="A48:A49"/>
    <mergeCell ref="B48:B49"/>
    <mergeCell ref="L48:L49"/>
    <mergeCell ref="Q48:Q49"/>
    <mergeCell ref="B20:B22"/>
    <mergeCell ref="M20:M21"/>
    <mergeCell ref="A43:A44"/>
    <mergeCell ref="B43:B44"/>
    <mergeCell ref="L43:L44"/>
    <mergeCell ref="A65:F65"/>
    <mergeCell ref="A66:F66"/>
    <mergeCell ref="M12:M13"/>
    <mergeCell ref="Q12:Q13"/>
    <mergeCell ref="A23:A24"/>
    <mergeCell ref="B23:B24"/>
    <mergeCell ref="Q23:Q24"/>
    <mergeCell ref="L14:L15"/>
    <mergeCell ref="A14:A16"/>
    <mergeCell ref="B14:B16"/>
    <mergeCell ref="Q14:Q16"/>
    <mergeCell ref="A17:A18"/>
    <mergeCell ref="B17:B18"/>
    <mergeCell ref="L17:L18"/>
    <mergeCell ref="Q17:Q18"/>
    <mergeCell ref="A20:A22"/>
    <mergeCell ref="Q20:Q22"/>
    <mergeCell ref="A27:A28"/>
    <mergeCell ref="B27:B28"/>
    <mergeCell ref="Q27:Q28"/>
    <mergeCell ref="A70:F70"/>
    <mergeCell ref="A55:A57"/>
    <mergeCell ref="B55:B57"/>
    <mergeCell ref="M55:M56"/>
    <mergeCell ref="Q55:Q57"/>
    <mergeCell ref="A60:A61"/>
    <mergeCell ref="B60:B61"/>
    <mergeCell ref="L60:L61"/>
    <mergeCell ref="Q60:Q61"/>
    <mergeCell ref="A69:F69"/>
    <mergeCell ref="A68:F68"/>
    <mergeCell ref="A64:F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6"/>
  <sheetViews>
    <sheetView topLeftCell="D1" zoomScale="70" zoomScaleNormal="70" workbookViewId="0">
      <selection activeCell="J12" sqref="J12"/>
    </sheetView>
  </sheetViews>
  <sheetFormatPr defaultColWidth="9.109375" defaultRowHeight="13.8"/>
  <cols>
    <col min="1" max="1" width="7.33203125" style="1" customWidth="1"/>
    <col min="2" max="2" width="14.109375" style="103" customWidth="1"/>
    <col min="3" max="3" width="16.5546875" style="3" customWidth="1"/>
    <col min="4" max="4" width="24.21875" style="3" customWidth="1"/>
    <col min="5" max="5" width="17" style="41" customWidth="1"/>
    <col min="6" max="6" width="17" style="42" customWidth="1"/>
    <col min="7" max="7" width="12.6640625" style="35" customWidth="1"/>
    <col min="8" max="8" width="14.33203125" style="46" customWidth="1"/>
    <col min="9" max="9" width="12.109375" style="44" customWidth="1"/>
    <col min="10" max="10" width="12.109375" style="184" customWidth="1"/>
    <col min="11" max="11" width="13.88671875" style="7" customWidth="1"/>
    <col min="12" max="12" width="16" style="7" customWidth="1"/>
    <col min="13" max="16" width="14.5546875" style="7" customWidth="1"/>
    <col min="17" max="17" width="18.33203125" style="115" customWidth="1"/>
    <col min="18" max="18" width="40.33203125" style="8" customWidth="1"/>
    <col min="19" max="19" width="18.44140625" style="1" customWidth="1"/>
    <col min="20" max="16384" width="9.109375" style="1"/>
  </cols>
  <sheetData>
    <row r="1" spans="1:19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</row>
    <row r="2" spans="1:19" ht="13.5" customHeight="1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9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</row>
    <row r="4" spans="1:19">
      <c r="A4" s="357" t="s">
        <v>111</v>
      </c>
      <c r="B4" s="357"/>
      <c r="C4" s="357"/>
      <c r="D4" s="2"/>
      <c r="E4" s="3"/>
      <c r="F4" s="3"/>
      <c r="G4" s="4"/>
      <c r="H4" s="5"/>
      <c r="I4" s="6"/>
      <c r="J4" s="181"/>
    </row>
    <row r="5" spans="1:19" ht="29.25" customHeight="1">
      <c r="A5" s="291" t="s">
        <v>1</v>
      </c>
      <c r="B5" s="326" t="s">
        <v>2</v>
      </c>
      <c r="C5" s="291" t="s">
        <v>3</v>
      </c>
      <c r="D5" s="291" t="s">
        <v>4</v>
      </c>
      <c r="E5" s="291" t="s">
        <v>5</v>
      </c>
      <c r="F5" s="291"/>
      <c r="G5" s="294" t="s">
        <v>6</v>
      </c>
      <c r="H5" s="295"/>
      <c r="I5" s="295"/>
      <c r="J5" s="296"/>
      <c r="K5" s="327" t="s">
        <v>7</v>
      </c>
      <c r="L5" s="299" t="s">
        <v>8</v>
      </c>
      <c r="M5" s="300"/>
      <c r="N5" s="322" t="s">
        <v>9</v>
      </c>
      <c r="O5" s="322"/>
      <c r="P5" s="303" t="s">
        <v>10</v>
      </c>
      <c r="Q5" s="322" t="s">
        <v>11</v>
      </c>
      <c r="R5" s="358" t="s">
        <v>12</v>
      </c>
    </row>
    <row r="6" spans="1:19" ht="23.25" customHeight="1">
      <c r="A6" s="291"/>
      <c r="B6" s="326"/>
      <c r="C6" s="291"/>
      <c r="D6" s="291"/>
      <c r="E6" s="291" t="s">
        <v>13</v>
      </c>
      <c r="F6" s="291" t="s">
        <v>14</v>
      </c>
      <c r="G6" s="231" t="s">
        <v>15</v>
      </c>
      <c r="H6" s="321" t="s">
        <v>16</v>
      </c>
      <c r="I6" s="321"/>
      <c r="J6" s="231" t="s">
        <v>17</v>
      </c>
      <c r="K6" s="327"/>
      <c r="L6" s="328"/>
      <c r="M6" s="329"/>
      <c r="N6" s="322"/>
      <c r="O6" s="322"/>
      <c r="P6" s="304"/>
      <c r="Q6" s="322"/>
      <c r="R6" s="358"/>
    </row>
    <row r="7" spans="1:19" ht="22.5" customHeight="1">
      <c r="A7" s="291"/>
      <c r="B7" s="326"/>
      <c r="C7" s="291"/>
      <c r="D7" s="291"/>
      <c r="E7" s="291"/>
      <c r="F7" s="291"/>
      <c r="G7" s="231" t="s">
        <v>18</v>
      </c>
      <c r="H7" s="226" t="s">
        <v>19</v>
      </c>
      <c r="I7" s="230" t="s">
        <v>18</v>
      </c>
      <c r="J7" s="231" t="s">
        <v>18</v>
      </c>
      <c r="K7" s="327"/>
      <c r="L7" s="231" t="s">
        <v>15</v>
      </c>
      <c r="M7" s="9" t="s">
        <v>16</v>
      </c>
      <c r="N7" s="231" t="s">
        <v>15</v>
      </c>
      <c r="O7" s="90" t="s">
        <v>16</v>
      </c>
      <c r="P7" s="304"/>
      <c r="Q7" s="322"/>
      <c r="R7" s="358"/>
    </row>
    <row r="8" spans="1:19" s="99" customFormat="1" ht="25.8" customHeight="1">
      <c r="A8" s="345">
        <v>1</v>
      </c>
      <c r="B8" s="362" t="s">
        <v>189</v>
      </c>
      <c r="C8" s="11" t="s">
        <v>134</v>
      </c>
      <c r="D8" s="203" t="s">
        <v>83</v>
      </c>
      <c r="E8" s="11"/>
      <c r="F8" s="11" t="s">
        <v>64</v>
      </c>
      <c r="G8" s="75"/>
      <c r="H8" s="228">
        <v>84000</v>
      </c>
      <c r="I8" s="228">
        <v>1701.4897000000001</v>
      </c>
      <c r="J8" s="9"/>
      <c r="K8" s="205"/>
      <c r="L8" s="18"/>
      <c r="M8" s="347">
        <v>2050000</v>
      </c>
      <c r="N8" s="13"/>
      <c r="O8" s="13"/>
      <c r="P8" s="13"/>
      <c r="Q8" s="266">
        <f>SUM(L8:P9)</f>
        <v>2050000</v>
      </c>
      <c r="R8" s="160"/>
    </row>
    <row r="9" spans="1:19" s="99" customFormat="1" ht="27" customHeight="1">
      <c r="A9" s="346"/>
      <c r="B9" s="363"/>
      <c r="C9" s="11" t="s">
        <v>170</v>
      </c>
      <c r="D9" s="203" t="s">
        <v>92</v>
      </c>
      <c r="E9" s="11"/>
      <c r="F9" s="11" t="s">
        <v>66</v>
      </c>
      <c r="G9" s="214"/>
      <c r="H9" s="214">
        <v>193400</v>
      </c>
      <c r="I9" s="228">
        <v>1745.9166</v>
      </c>
      <c r="J9" s="9"/>
      <c r="K9" s="205"/>
      <c r="L9" s="18"/>
      <c r="M9" s="348"/>
      <c r="N9" s="13"/>
      <c r="O9" s="13"/>
      <c r="P9" s="13"/>
      <c r="Q9" s="267"/>
      <c r="R9" s="196"/>
      <c r="S9" s="236"/>
    </row>
    <row r="10" spans="1:19" s="99" customFormat="1" ht="25.8" customHeight="1">
      <c r="A10" s="205">
        <v>2</v>
      </c>
      <c r="B10" s="193" t="s">
        <v>193</v>
      </c>
      <c r="C10" s="11">
        <v>20</v>
      </c>
      <c r="D10" s="203" t="s">
        <v>124</v>
      </c>
      <c r="E10" s="11"/>
      <c r="F10" s="11" t="s">
        <v>54</v>
      </c>
      <c r="G10" s="75"/>
      <c r="H10" s="228">
        <v>109650</v>
      </c>
      <c r="I10" s="228">
        <v>973.12180000000001</v>
      </c>
      <c r="J10" s="9"/>
      <c r="K10" s="205"/>
      <c r="L10" s="18"/>
      <c r="M10" s="18">
        <v>1700000</v>
      </c>
      <c r="N10" s="13"/>
      <c r="O10" s="13"/>
      <c r="P10" s="74"/>
      <c r="Q10" s="118">
        <f t="shared" ref="Q10:Q39" si="0">SUM(L10:P10)</f>
        <v>1700000</v>
      </c>
      <c r="R10" s="167"/>
    </row>
    <row r="11" spans="1:19" s="99" customFormat="1" ht="25.8" customHeight="1">
      <c r="A11" s="205">
        <v>3</v>
      </c>
      <c r="B11" s="193" t="s">
        <v>193</v>
      </c>
      <c r="C11" s="11">
        <v>12</v>
      </c>
      <c r="D11" s="203" t="s">
        <v>93</v>
      </c>
      <c r="E11" s="11"/>
      <c r="F11" s="11" t="s">
        <v>46</v>
      </c>
      <c r="G11" s="75"/>
      <c r="H11" s="228">
        <v>100020</v>
      </c>
      <c r="I11" s="228">
        <v>2006.4201</v>
      </c>
      <c r="J11" s="9"/>
      <c r="K11" s="205"/>
      <c r="L11" s="18"/>
      <c r="M11" s="18">
        <v>1700000</v>
      </c>
      <c r="N11" s="13"/>
      <c r="O11" s="13"/>
      <c r="P11" s="74"/>
      <c r="Q11" s="118">
        <f t="shared" si="0"/>
        <v>1700000</v>
      </c>
      <c r="R11" s="133" t="s">
        <v>53</v>
      </c>
    </row>
    <row r="12" spans="1:19" s="99" customFormat="1" ht="27" customHeight="1">
      <c r="A12" s="205">
        <v>4</v>
      </c>
      <c r="B12" s="193" t="s">
        <v>194</v>
      </c>
      <c r="C12" s="11">
        <v>16</v>
      </c>
      <c r="D12" s="203" t="s">
        <v>124</v>
      </c>
      <c r="E12" s="11"/>
      <c r="F12" s="11" t="s">
        <v>54</v>
      </c>
      <c r="G12" s="75"/>
      <c r="H12" s="228">
        <v>113730</v>
      </c>
      <c r="I12" s="228">
        <v>989.45100000000002</v>
      </c>
      <c r="J12" s="9"/>
      <c r="K12" s="205"/>
      <c r="L12" s="18"/>
      <c r="M12" s="13">
        <v>1700000</v>
      </c>
      <c r="N12" s="13"/>
      <c r="O12" s="13"/>
      <c r="P12" s="74"/>
      <c r="Q12" s="118">
        <f t="shared" si="0"/>
        <v>1700000</v>
      </c>
      <c r="R12" s="130"/>
    </row>
    <row r="13" spans="1:19" s="104" customFormat="1" ht="25.8" customHeight="1">
      <c r="A13" s="345">
        <v>5</v>
      </c>
      <c r="B13" s="362" t="s">
        <v>196</v>
      </c>
      <c r="C13" s="203"/>
      <c r="D13" s="203" t="s">
        <v>158</v>
      </c>
      <c r="E13" s="11"/>
      <c r="F13" s="11" t="s">
        <v>52</v>
      </c>
      <c r="G13" s="75">
        <v>2066</v>
      </c>
      <c r="H13" s="75"/>
      <c r="I13" s="75"/>
      <c r="J13" s="170"/>
      <c r="K13" s="205"/>
      <c r="L13" s="264">
        <v>2250000</v>
      </c>
      <c r="M13" s="74"/>
      <c r="N13" s="74"/>
      <c r="O13" s="74"/>
      <c r="P13" s="74"/>
      <c r="Q13" s="266">
        <f>SUM(L13:P14)</f>
        <v>2651600</v>
      </c>
      <c r="R13" s="130"/>
    </row>
    <row r="14" spans="1:19" s="105" customFormat="1" ht="25.8" customHeight="1">
      <c r="A14" s="346"/>
      <c r="B14" s="363"/>
      <c r="C14" s="11"/>
      <c r="D14" s="203" t="s">
        <v>68</v>
      </c>
      <c r="E14" s="11"/>
      <c r="F14" s="11" t="s">
        <v>61</v>
      </c>
      <c r="G14" s="214">
        <v>7500</v>
      </c>
      <c r="H14" s="75"/>
      <c r="I14" s="75"/>
      <c r="J14" s="170">
        <v>1004</v>
      </c>
      <c r="K14" s="205"/>
      <c r="L14" s="265"/>
      <c r="M14" s="74"/>
      <c r="N14" s="74"/>
      <c r="O14" s="74"/>
      <c r="P14" s="74">
        <f>J14*400</f>
        <v>401600</v>
      </c>
      <c r="Q14" s="267"/>
      <c r="R14" s="130" t="s">
        <v>138</v>
      </c>
    </row>
    <row r="15" spans="1:19" s="99" customFormat="1" ht="25.8" customHeight="1">
      <c r="A15" s="205">
        <v>6</v>
      </c>
      <c r="B15" s="193" t="s">
        <v>201</v>
      </c>
      <c r="C15" s="11">
        <v>6</v>
      </c>
      <c r="D15" s="203" t="s">
        <v>124</v>
      </c>
      <c r="E15" s="11"/>
      <c r="F15" s="11" t="s">
        <v>54</v>
      </c>
      <c r="G15" s="75"/>
      <c r="H15" s="214">
        <v>114240</v>
      </c>
      <c r="I15" s="214">
        <v>1013.8570999999999</v>
      </c>
      <c r="J15" s="9"/>
      <c r="K15" s="205"/>
      <c r="L15" s="15"/>
      <c r="M15" s="74">
        <v>1700000</v>
      </c>
      <c r="N15" s="13"/>
      <c r="O15" s="13"/>
      <c r="P15" s="74"/>
      <c r="Q15" s="118">
        <f t="shared" si="0"/>
        <v>1700000</v>
      </c>
      <c r="R15" s="130"/>
      <c r="S15" s="255"/>
    </row>
    <row r="16" spans="1:19" s="99" customFormat="1" ht="25.8" customHeight="1">
      <c r="A16" s="345">
        <v>7</v>
      </c>
      <c r="B16" s="362" t="s">
        <v>201</v>
      </c>
      <c r="C16" s="11">
        <v>39</v>
      </c>
      <c r="D16" s="203" t="s">
        <v>68</v>
      </c>
      <c r="E16" s="11"/>
      <c r="F16" s="11" t="s">
        <v>61</v>
      </c>
      <c r="G16" s="75">
        <v>3948</v>
      </c>
      <c r="H16" s="228"/>
      <c r="I16" s="228"/>
      <c r="J16" s="9">
        <v>1458</v>
      </c>
      <c r="K16" s="205"/>
      <c r="L16" s="18">
        <v>1000000</v>
      </c>
      <c r="M16" s="15"/>
      <c r="N16" s="13"/>
      <c r="O16" s="13"/>
      <c r="P16" s="74">
        <f>J16*400</f>
        <v>583200</v>
      </c>
      <c r="Q16" s="266">
        <f>SUM(L16:P17)</f>
        <v>2433200</v>
      </c>
      <c r="R16" s="79" t="s">
        <v>129</v>
      </c>
    </row>
    <row r="17" spans="1:19" s="99" customFormat="1" ht="25.2" customHeight="1">
      <c r="A17" s="346"/>
      <c r="B17" s="363"/>
      <c r="C17" s="203">
        <v>21</v>
      </c>
      <c r="D17" s="203" t="s">
        <v>84</v>
      </c>
      <c r="E17" s="11"/>
      <c r="F17" s="11" t="s">
        <v>69</v>
      </c>
      <c r="G17" s="75"/>
      <c r="H17" s="214">
        <v>620000</v>
      </c>
      <c r="I17" s="214">
        <v>1003</v>
      </c>
      <c r="J17" s="9"/>
      <c r="K17" s="205"/>
      <c r="L17" s="18"/>
      <c r="M17" s="18">
        <v>850000</v>
      </c>
      <c r="N17" s="13"/>
      <c r="O17" s="13"/>
      <c r="P17" s="74"/>
      <c r="Q17" s="267"/>
      <c r="R17" s="188"/>
      <c r="S17" s="255"/>
    </row>
    <row r="18" spans="1:19" s="99" customFormat="1" ht="25.8" customHeight="1">
      <c r="A18" s="345">
        <v>8</v>
      </c>
      <c r="B18" s="362" t="s">
        <v>203</v>
      </c>
      <c r="C18" s="11" t="s">
        <v>333</v>
      </c>
      <c r="D18" s="203" t="s">
        <v>78</v>
      </c>
      <c r="E18" s="11"/>
      <c r="F18" s="11" t="s">
        <v>48</v>
      </c>
      <c r="G18" s="75"/>
      <c r="H18" s="228">
        <v>204000</v>
      </c>
      <c r="I18" s="228">
        <v>2309.2800000000002</v>
      </c>
      <c r="J18" s="9"/>
      <c r="K18" s="205"/>
      <c r="L18" s="18"/>
      <c r="M18" s="347">
        <v>1900000</v>
      </c>
      <c r="N18" s="13"/>
      <c r="O18" s="13"/>
      <c r="P18" s="74"/>
      <c r="Q18" s="266">
        <f>SUM(L18:P19)</f>
        <v>1900000</v>
      </c>
      <c r="R18" s="79"/>
    </row>
    <row r="19" spans="1:19" s="99" customFormat="1" ht="25.8" customHeight="1">
      <c r="A19" s="346"/>
      <c r="B19" s="363"/>
      <c r="C19" s="11">
        <v>13</v>
      </c>
      <c r="D19" s="203" t="s">
        <v>108</v>
      </c>
      <c r="E19" s="11"/>
      <c r="F19" s="11" t="s">
        <v>48</v>
      </c>
      <c r="G19" s="132"/>
      <c r="H19" s="214">
        <v>85200</v>
      </c>
      <c r="I19" s="228">
        <v>1092.6559999999999</v>
      </c>
      <c r="J19" s="9"/>
      <c r="K19" s="205"/>
      <c r="L19" s="18"/>
      <c r="M19" s="348"/>
      <c r="N19" s="13"/>
      <c r="O19" s="10"/>
      <c r="P19" s="13"/>
      <c r="Q19" s="267"/>
      <c r="R19" s="130"/>
    </row>
    <row r="20" spans="1:19" s="99" customFormat="1" ht="25.8" customHeight="1">
      <c r="A20" s="205">
        <v>9</v>
      </c>
      <c r="B20" s="193" t="s">
        <v>206</v>
      </c>
      <c r="C20" s="11" t="s">
        <v>334</v>
      </c>
      <c r="D20" s="203" t="s">
        <v>82</v>
      </c>
      <c r="E20" s="11"/>
      <c r="F20" s="11" t="s">
        <v>66</v>
      </c>
      <c r="G20" s="75"/>
      <c r="H20" s="228">
        <f>182600+40000</f>
        <v>222600</v>
      </c>
      <c r="I20" s="228">
        <f>3629.981+442.0184</f>
        <v>4071.9994000000002</v>
      </c>
      <c r="J20" s="9"/>
      <c r="K20" s="205"/>
      <c r="L20" s="18"/>
      <c r="M20" s="18">
        <v>2000000</v>
      </c>
      <c r="N20" s="205"/>
      <c r="O20" s="13"/>
      <c r="P20" s="13"/>
      <c r="Q20" s="118">
        <f t="shared" si="0"/>
        <v>2000000</v>
      </c>
      <c r="R20" s="79" t="s">
        <v>51</v>
      </c>
    </row>
    <row r="21" spans="1:19" s="99" customFormat="1" ht="25.8" customHeight="1">
      <c r="A21" s="205">
        <v>10</v>
      </c>
      <c r="B21" s="193" t="s">
        <v>207</v>
      </c>
      <c r="C21" s="11">
        <v>6</v>
      </c>
      <c r="D21" s="203" t="s">
        <v>146</v>
      </c>
      <c r="E21" s="11"/>
      <c r="F21" s="11" t="s">
        <v>110</v>
      </c>
      <c r="G21" s="75"/>
      <c r="H21" s="228">
        <v>270000</v>
      </c>
      <c r="I21" s="228">
        <v>2396.1959999999999</v>
      </c>
      <c r="J21" s="9"/>
      <c r="K21" s="205"/>
      <c r="L21" s="18"/>
      <c r="M21" s="18">
        <v>2250000</v>
      </c>
      <c r="N21" s="10"/>
      <c r="O21" s="13">
        <f>384*500</f>
        <v>192000</v>
      </c>
      <c r="P21" s="13"/>
      <c r="Q21" s="118">
        <f t="shared" si="0"/>
        <v>2442000</v>
      </c>
      <c r="R21" s="215" t="s">
        <v>335</v>
      </c>
    </row>
    <row r="22" spans="1:19" s="99" customFormat="1" ht="25.8" customHeight="1">
      <c r="A22" s="205">
        <v>11</v>
      </c>
      <c r="B22" s="193" t="s">
        <v>210</v>
      </c>
      <c r="C22" s="11">
        <v>6</v>
      </c>
      <c r="D22" s="203" t="s">
        <v>146</v>
      </c>
      <c r="E22" s="11"/>
      <c r="F22" s="11" t="s">
        <v>110</v>
      </c>
      <c r="G22" s="75"/>
      <c r="H22" s="228">
        <v>272000</v>
      </c>
      <c r="I22" s="228">
        <v>2366.4</v>
      </c>
      <c r="J22" s="9">
        <v>1002</v>
      </c>
      <c r="K22" s="205"/>
      <c r="L22" s="18"/>
      <c r="M22" s="18">
        <v>2250000</v>
      </c>
      <c r="N22" s="12"/>
      <c r="O22" s="10"/>
      <c r="P22" s="10">
        <f>J22*400</f>
        <v>400800</v>
      </c>
      <c r="Q22" s="118">
        <f t="shared" si="0"/>
        <v>2650800</v>
      </c>
      <c r="R22" s="218" t="s">
        <v>138</v>
      </c>
    </row>
    <row r="23" spans="1:19" s="99" customFormat="1" ht="25.8" customHeight="1">
      <c r="A23" s="205">
        <v>12</v>
      </c>
      <c r="B23" s="193" t="s">
        <v>215</v>
      </c>
      <c r="C23" s="11">
        <v>5</v>
      </c>
      <c r="D23" s="203" t="s">
        <v>159</v>
      </c>
      <c r="E23" s="11"/>
      <c r="F23" s="11" t="s">
        <v>66</v>
      </c>
      <c r="G23" s="75">
        <v>8800</v>
      </c>
      <c r="H23" s="75"/>
      <c r="I23" s="75"/>
      <c r="J23" s="9"/>
      <c r="K23" s="205"/>
      <c r="L23" s="18">
        <v>2200000</v>
      </c>
      <c r="M23" s="18"/>
      <c r="N23" s="13">
        <v>1100000</v>
      </c>
      <c r="O23" s="13"/>
      <c r="P23" s="13"/>
      <c r="Q23" s="118">
        <f t="shared" si="0"/>
        <v>3300000</v>
      </c>
      <c r="R23" s="218" t="s">
        <v>336</v>
      </c>
    </row>
    <row r="24" spans="1:19" s="99" customFormat="1" ht="26.4" customHeight="1">
      <c r="A24" s="205">
        <v>13</v>
      </c>
      <c r="B24" s="193" t="s">
        <v>217</v>
      </c>
      <c r="C24" s="11">
        <v>2</v>
      </c>
      <c r="D24" s="203" t="s">
        <v>82</v>
      </c>
      <c r="E24" s="11"/>
      <c r="F24" s="11" t="s">
        <v>66</v>
      </c>
      <c r="G24" s="75"/>
      <c r="H24" s="228">
        <v>245800</v>
      </c>
      <c r="I24" s="228">
        <v>4282.8195999999998</v>
      </c>
      <c r="J24" s="9"/>
      <c r="K24" s="205"/>
      <c r="L24" s="18"/>
      <c r="M24" s="18">
        <v>1950000</v>
      </c>
      <c r="N24" s="13"/>
      <c r="O24" s="13"/>
      <c r="P24" s="13"/>
      <c r="Q24" s="118">
        <f t="shared" si="0"/>
        <v>1950000</v>
      </c>
      <c r="R24" s="130"/>
    </row>
    <row r="25" spans="1:19" s="99" customFormat="1" ht="25.8" customHeight="1">
      <c r="A25" s="205">
        <v>14</v>
      </c>
      <c r="B25" s="193" t="s">
        <v>218</v>
      </c>
      <c r="C25" s="11">
        <v>4</v>
      </c>
      <c r="D25" s="203" t="s">
        <v>337</v>
      </c>
      <c r="E25" s="11"/>
      <c r="F25" s="11" t="s">
        <v>140</v>
      </c>
      <c r="G25" s="75">
        <v>7467</v>
      </c>
      <c r="H25" s="75"/>
      <c r="I25" s="75"/>
      <c r="J25" s="9"/>
      <c r="K25" s="205"/>
      <c r="L25" s="13">
        <v>2300000</v>
      </c>
      <c r="M25" s="18"/>
      <c r="N25" s="13"/>
      <c r="O25" s="13"/>
      <c r="P25" s="13"/>
      <c r="Q25" s="118">
        <f t="shared" si="0"/>
        <v>2300000</v>
      </c>
      <c r="R25" s="130"/>
    </row>
    <row r="26" spans="1:19" s="99" customFormat="1" ht="25.8" customHeight="1">
      <c r="A26" s="345">
        <v>15</v>
      </c>
      <c r="B26" s="362" t="s">
        <v>259</v>
      </c>
      <c r="C26" s="11">
        <v>2</v>
      </c>
      <c r="D26" s="203" t="s">
        <v>158</v>
      </c>
      <c r="E26" s="11"/>
      <c r="F26" s="11" t="s">
        <v>52</v>
      </c>
      <c r="G26" s="75">
        <v>3000</v>
      </c>
      <c r="H26" s="75"/>
      <c r="I26" s="132"/>
      <c r="J26" s="9"/>
      <c r="K26" s="205"/>
      <c r="L26" s="343">
        <v>1950000</v>
      </c>
      <c r="M26" s="18"/>
      <c r="N26" s="12"/>
      <c r="O26" s="10"/>
      <c r="P26" s="10"/>
      <c r="Q26" s="266">
        <f>SUM(L26:P27)</f>
        <v>2384400</v>
      </c>
      <c r="R26" s="215" t="s">
        <v>51</v>
      </c>
    </row>
    <row r="27" spans="1:19" s="99" customFormat="1" ht="27.6" customHeight="1">
      <c r="A27" s="346"/>
      <c r="B27" s="363"/>
      <c r="C27" s="203">
        <v>14</v>
      </c>
      <c r="D27" s="203" t="s">
        <v>68</v>
      </c>
      <c r="E27" s="11"/>
      <c r="F27" s="11" t="s">
        <v>61</v>
      </c>
      <c r="G27" s="75">
        <v>4500</v>
      </c>
      <c r="H27" s="75"/>
      <c r="I27" s="132"/>
      <c r="J27" s="9">
        <v>1086</v>
      </c>
      <c r="K27" s="205"/>
      <c r="L27" s="344"/>
      <c r="M27" s="18"/>
      <c r="N27" s="12"/>
      <c r="O27" s="10"/>
      <c r="P27" s="10">
        <f>J27*400</f>
        <v>434400</v>
      </c>
      <c r="Q27" s="267"/>
      <c r="R27" s="188" t="s">
        <v>138</v>
      </c>
    </row>
    <row r="28" spans="1:19" s="99" customFormat="1" ht="25.8" customHeight="1">
      <c r="A28" s="205">
        <v>16</v>
      </c>
      <c r="B28" s="193" t="s">
        <v>221</v>
      </c>
      <c r="C28" s="11" t="s">
        <v>338</v>
      </c>
      <c r="D28" s="203" t="s">
        <v>339</v>
      </c>
      <c r="E28" s="11"/>
      <c r="F28" s="11" t="s">
        <v>54</v>
      </c>
      <c r="G28" s="75"/>
      <c r="H28" s="228">
        <v>119480</v>
      </c>
      <c r="I28" s="228">
        <v>3502.9942000000001</v>
      </c>
      <c r="J28" s="170"/>
      <c r="K28" s="205"/>
      <c r="L28" s="13"/>
      <c r="M28" s="13">
        <v>1700000</v>
      </c>
      <c r="N28" s="205"/>
      <c r="O28" s="10"/>
      <c r="P28" s="12"/>
      <c r="Q28" s="118">
        <f t="shared" si="0"/>
        <v>1700000</v>
      </c>
      <c r="R28" s="79"/>
    </row>
    <row r="29" spans="1:19" s="99" customFormat="1" ht="25.8" customHeight="1">
      <c r="A29" s="205">
        <v>17</v>
      </c>
      <c r="B29" s="193" t="s">
        <v>223</v>
      </c>
      <c r="C29" s="11" t="s">
        <v>340</v>
      </c>
      <c r="D29" s="203" t="s">
        <v>82</v>
      </c>
      <c r="E29" s="11"/>
      <c r="F29" s="11" t="s">
        <v>66</v>
      </c>
      <c r="G29" s="75"/>
      <c r="H29" s="228">
        <f>40000+665000</f>
        <v>705000</v>
      </c>
      <c r="I29" s="228">
        <f>328+3259.8</f>
        <v>3587.8</v>
      </c>
      <c r="J29" s="111"/>
      <c r="K29" s="234"/>
      <c r="L29" s="18"/>
      <c r="M29" s="18">
        <v>2000000</v>
      </c>
      <c r="N29" s="205"/>
      <c r="O29" s="13"/>
      <c r="P29" s="13"/>
      <c r="Q29" s="118">
        <f t="shared" si="0"/>
        <v>2000000</v>
      </c>
      <c r="R29" s="79" t="s">
        <v>51</v>
      </c>
    </row>
    <row r="30" spans="1:19" s="99" customFormat="1" ht="25.8" customHeight="1">
      <c r="A30" s="345">
        <v>18</v>
      </c>
      <c r="B30" s="362" t="s">
        <v>226</v>
      </c>
      <c r="C30" s="11" t="s">
        <v>341</v>
      </c>
      <c r="D30" s="203" t="s">
        <v>159</v>
      </c>
      <c r="E30" s="11"/>
      <c r="F30" s="11" t="s">
        <v>66</v>
      </c>
      <c r="G30" s="75">
        <f>2816+352</f>
        <v>3168</v>
      </c>
      <c r="H30" s="75"/>
      <c r="I30" s="132"/>
      <c r="J30" s="111"/>
      <c r="K30" s="234"/>
      <c r="L30" s="347">
        <v>2300000</v>
      </c>
      <c r="M30" s="18"/>
      <c r="N30" s="13"/>
      <c r="O30" s="13"/>
      <c r="P30" s="13"/>
      <c r="Q30" s="266">
        <f>SUM(L30:P31)</f>
        <v>2300000</v>
      </c>
      <c r="R30" s="112" t="s">
        <v>51</v>
      </c>
    </row>
    <row r="31" spans="1:19" s="99" customFormat="1" ht="25.8" customHeight="1">
      <c r="A31" s="346"/>
      <c r="B31" s="363"/>
      <c r="C31" s="203">
        <v>28</v>
      </c>
      <c r="D31" s="203" t="s">
        <v>79</v>
      </c>
      <c r="E31" s="11"/>
      <c r="F31" s="11" t="s">
        <v>77</v>
      </c>
      <c r="G31" s="75">
        <v>5323</v>
      </c>
      <c r="H31" s="75"/>
      <c r="I31" s="132"/>
      <c r="J31" s="9"/>
      <c r="K31" s="205"/>
      <c r="L31" s="348"/>
      <c r="M31" s="18"/>
      <c r="N31" s="13"/>
      <c r="O31" s="10"/>
      <c r="P31" s="13"/>
      <c r="Q31" s="267"/>
      <c r="R31" s="160"/>
    </row>
    <row r="32" spans="1:19" s="99" customFormat="1" ht="25.8" customHeight="1">
      <c r="A32" s="205">
        <v>19</v>
      </c>
      <c r="B32" s="193" t="s">
        <v>227</v>
      </c>
      <c r="C32" s="11" t="s">
        <v>342</v>
      </c>
      <c r="D32" s="203" t="s">
        <v>82</v>
      </c>
      <c r="E32" s="11"/>
      <c r="F32" s="11" t="s">
        <v>66</v>
      </c>
      <c r="G32" s="75"/>
      <c r="H32" s="228">
        <f>86400+73000</f>
        <v>159400</v>
      </c>
      <c r="I32" s="228">
        <v>1634.0011999999999</v>
      </c>
      <c r="J32" s="149"/>
      <c r="K32" s="205"/>
      <c r="L32" s="18"/>
      <c r="M32" s="13">
        <v>1950000</v>
      </c>
      <c r="N32" s="10"/>
      <c r="O32" s="10"/>
      <c r="P32" s="10"/>
      <c r="Q32" s="118">
        <f t="shared" si="0"/>
        <v>1950000</v>
      </c>
      <c r="R32" s="186"/>
    </row>
    <row r="33" spans="1:20" s="99" customFormat="1" ht="25.8" customHeight="1">
      <c r="A33" s="205">
        <v>20</v>
      </c>
      <c r="B33" s="193" t="s">
        <v>229</v>
      </c>
      <c r="C33" s="11">
        <v>6</v>
      </c>
      <c r="D33" s="203" t="s">
        <v>146</v>
      </c>
      <c r="E33" s="11"/>
      <c r="F33" s="11" t="s">
        <v>110</v>
      </c>
      <c r="G33" s="75"/>
      <c r="H33" s="228">
        <v>270000</v>
      </c>
      <c r="I33" s="228">
        <v>2396.1959999999999</v>
      </c>
      <c r="J33" s="9"/>
      <c r="K33" s="205"/>
      <c r="L33" s="18"/>
      <c r="M33" s="18">
        <v>2250000</v>
      </c>
      <c r="N33" s="14"/>
      <c r="O33" s="13"/>
      <c r="P33" s="13"/>
      <c r="Q33" s="118">
        <f t="shared" si="0"/>
        <v>2250000</v>
      </c>
      <c r="R33" s="186"/>
    </row>
    <row r="34" spans="1:20" s="77" customFormat="1" ht="25.8" customHeight="1">
      <c r="A34" s="345">
        <v>21</v>
      </c>
      <c r="B34" s="362" t="s">
        <v>234</v>
      </c>
      <c r="C34" s="203">
        <v>44</v>
      </c>
      <c r="D34" s="203" t="s">
        <v>127</v>
      </c>
      <c r="E34" s="11"/>
      <c r="F34" s="11" t="s">
        <v>71</v>
      </c>
      <c r="G34" s="75">
        <v>800</v>
      </c>
      <c r="H34" s="75"/>
      <c r="I34" s="132"/>
      <c r="J34" s="161"/>
      <c r="K34" s="205"/>
      <c r="L34" s="343">
        <v>1900000</v>
      </c>
      <c r="M34" s="13"/>
      <c r="N34" s="74"/>
      <c r="O34" s="74"/>
      <c r="P34" s="74"/>
      <c r="Q34" s="266">
        <f>SUM(L34:P35)</f>
        <v>2305600</v>
      </c>
      <c r="R34" s="186"/>
    </row>
    <row r="35" spans="1:20" s="77" customFormat="1" ht="25.8" customHeight="1">
      <c r="A35" s="346"/>
      <c r="B35" s="363"/>
      <c r="C35" s="11" t="s">
        <v>176</v>
      </c>
      <c r="D35" s="203" t="s">
        <v>68</v>
      </c>
      <c r="E35" s="11"/>
      <c r="F35" s="11" t="s">
        <v>61</v>
      </c>
      <c r="G35" s="75">
        <v>6500</v>
      </c>
      <c r="H35" s="75"/>
      <c r="I35" s="132"/>
      <c r="J35" s="161">
        <v>1014</v>
      </c>
      <c r="K35" s="205"/>
      <c r="L35" s="344"/>
      <c r="M35" s="13"/>
      <c r="N35" s="74"/>
      <c r="O35" s="74"/>
      <c r="P35" s="74">
        <f>J35*400</f>
        <v>405600</v>
      </c>
      <c r="Q35" s="267"/>
      <c r="R35" s="160" t="s">
        <v>138</v>
      </c>
    </row>
    <row r="36" spans="1:20" s="99" customFormat="1" ht="25.8" customHeight="1">
      <c r="A36" s="205">
        <v>22</v>
      </c>
      <c r="B36" s="193" t="s">
        <v>236</v>
      </c>
      <c r="C36" s="203">
        <v>14</v>
      </c>
      <c r="D36" s="203" t="s">
        <v>93</v>
      </c>
      <c r="E36" s="11"/>
      <c r="F36" s="11" t="s">
        <v>46</v>
      </c>
      <c r="G36" s="75"/>
      <c r="H36" s="214">
        <v>130960</v>
      </c>
      <c r="I36" s="228">
        <v>2850.192</v>
      </c>
      <c r="J36" s="9"/>
      <c r="K36" s="205"/>
      <c r="L36" s="13"/>
      <c r="M36" s="13">
        <v>1750000</v>
      </c>
      <c r="N36" s="13"/>
      <c r="O36" s="13"/>
      <c r="P36" s="13"/>
      <c r="Q36" s="118">
        <f t="shared" si="0"/>
        <v>1750000</v>
      </c>
      <c r="R36" s="186"/>
      <c r="S36" s="255"/>
    </row>
    <row r="37" spans="1:20" s="99" customFormat="1" ht="25.8" customHeight="1">
      <c r="A37" s="205">
        <v>23</v>
      </c>
      <c r="B37" s="193" t="s">
        <v>236</v>
      </c>
      <c r="C37" s="203">
        <v>34</v>
      </c>
      <c r="D37" s="203" t="s">
        <v>308</v>
      </c>
      <c r="E37" s="11"/>
      <c r="F37" s="11" t="s">
        <v>50</v>
      </c>
      <c r="G37" s="214"/>
      <c r="H37" s="228">
        <v>124200</v>
      </c>
      <c r="I37" s="228">
        <v>2484</v>
      </c>
      <c r="J37" s="75"/>
      <c r="K37" s="205"/>
      <c r="L37" s="13"/>
      <c r="M37" s="10">
        <v>1100000</v>
      </c>
      <c r="N37" s="13"/>
      <c r="O37" s="13"/>
      <c r="P37" s="13"/>
      <c r="Q37" s="118">
        <f t="shared" si="0"/>
        <v>1100000</v>
      </c>
      <c r="R37" s="186" t="s">
        <v>53</v>
      </c>
    </row>
    <row r="38" spans="1:20" s="99" customFormat="1" ht="25.8" customHeight="1">
      <c r="A38" s="205">
        <v>24</v>
      </c>
      <c r="B38" s="193" t="s">
        <v>239</v>
      </c>
      <c r="C38" s="203" t="s">
        <v>343</v>
      </c>
      <c r="D38" s="203" t="s">
        <v>82</v>
      </c>
      <c r="E38" s="11"/>
      <c r="F38" s="11" t="s">
        <v>66</v>
      </c>
      <c r="G38" s="75"/>
      <c r="H38" s="214">
        <v>148100</v>
      </c>
      <c r="I38" s="214">
        <v>2874.8281000000002</v>
      </c>
      <c r="J38" s="9"/>
      <c r="K38" s="205"/>
      <c r="L38" s="13"/>
      <c r="M38" s="10">
        <v>2000000</v>
      </c>
      <c r="N38" s="13"/>
      <c r="O38" s="13"/>
      <c r="P38" s="13"/>
      <c r="Q38" s="118">
        <f t="shared" si="0"/>
        <v>2000000</v>
      </c>
      <c r="R38" s="186" t="s">
        <v>51</v>
      </c>
    </row>
    <row r="39" spans="1:20" s="99" customFormat="1" ht="25.8" customHeight="1">
      <c r="A39" s="205">
        <v>25</v>
      </c>
      <c r="B39" s="193" t="s">
        <v>240</v>
      </c>
      <c r="C39" s="203">
        <v>7</v>
      </c>
      <c r="D39" s="203" t="s">
        <v>146</v>
      </c>
      <c r="E39" s="11"/>
      <c r="F39" s="11" t="s">
        <v>110</v>
      </c>
      <c r="G39" s="75"/>
      <c r="H39" s="214">
        <v>272000</v>
      </c>
      <c r="I39" s="214">
        <v>2413.9456</v>
      </c>
      <c r="J39" s="9"/>
      <c r="K39" s="205"/>
      <c r="L39" s="13"/>
      <c r="M39" s="10">
        <v>2250000</v>
      </c>
      <c r="N39" s="13"/>
      <c r="O39" s="13"/>
      <c r="P39" s="13"/>
      <c r="Q39" s="118">
        <f t="shared" si="0"/>
        <v>2250000</v>
      </c>
      <c r="R39" s="186"/>
    </row>
    <row r="40" spans="1:20" s="21" customFormat="1" ht="25.8" customHeight="1">
      <c r="A40" s="335" t="s">
        <v>20</v>
      </c>
      <c r="B40" s="336"/>
      <c r="C40" s="336"/>
      <c r="D40" s="336"/>
      <c r="E40" s="336"/>
      <c r="F40" s="337"/>
      <c r="G40" s="20">
        <f t="shared" ref="G40:Q40" si="1">SUM(G8:G39)</f>
        <v>53072</v>
      </c>
      <c r="H40" s="20">
        <f t="shared" si="1"/>
        <v>4563780</v>
      </c>
      <c r="I40" s="20">
        <f t="shared" si="1"/>
        <v>47696.564400000003</v>
      </c>
      <c r="J40" s="20">
        <f t="shared" si="1"/>
        <v>5564</v>
      </c>
      <c r="K40" s="20">
        <f t="shared" si="1"/>
        <v>0</v>
      </c>
      <c r="L40" s="20">
        <f t="shared" si="1"/>
        <v>13900000</v>
      </c>
      <c r="M40" s="20">
        <f t="shared" si="1"/>
        <v>35050000</v>
      </c>
      <c r="N40" s="20">
        <f t="shared" si="1"/>
        <v>1100000</v>
      </c>
      <c r="O40" s="20">
        <f t="shared" si="1"/>
        <v>192000</v>
      </c>
      <c r="P40" s="20">
        <f t="shared" si="1"/>
        <v>2225600</v>
      </c>
      <c r="Q40" s="143">
        <f t="shared" si="1"/>
        <v>52467600</v>
      </c>
      <c r="R40" s="168"/>
      <c r="S40" s="30"/>
    </row>
    <row r="41" spans="1:20" s="21" customFormat="1" ht="25.8" customHeight="1">
      <c r="A41" s="310" t="s">
        <v>21</v>
      </c>
      <c r="B41" s="310"/>
      <c r="C41" s="310"/>
      <c r="D41" s="310"/>
      <c r="E41" s="310"/>
      <c r="F41" s="31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>
        <f>8%*Q40</f>
        <v>4197408</v>
      </c>
      <c r="R41" s="22"/>
      <c r="S41" s="229"/>
    </row>
    <row r="42" spans="1:20" s="21" customFormat="1" ht="25.8" customHeight="1">
      <c r="A42" s="310" t="s">
        <v>22</v>
      </c>
      <c r="B42" s="310"/>
      <c r="C42" s="310"/>
      <c r="D42" s="310"/>
      <c r="E42" s="310"/>
      <c r="F42" s="31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>
        <f>Q41+Q40</f>
        <v>56665008</v>
      </c>
      <c r="R42" s="169"/>
      <c r="S42" s="1"/>
      <c r="T42" s="1"/>
    </row>
    <row r="43" spans="1:20" s="21" customFormat="1" ht="28.95" customHeight="1">
      <c r="A43" s="23"/>
      <c r="B43" s="101"/>
      <c r="C43" s="23"/>
      <c r="D43" s="23"/>
      <c r="E43" s="23"/>
      <c r="F43" s="2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26"/>
    </row>
    <row r="44" spans="1:20" s="21" customFormat="1" ht="24.6" customHeight="1">
      <c r="A44" s="307" t="s">
        <v>23</v>
      </c>
      <c r="B44" s="307"/>
      <c r="C44" s="307"/>
      <c r="D44" s="307"/>
      <c r="E44" s="307"/>
      <c r="F44" s="307"/>
      <c r="G44" s="27">
        <f>G40</f>
        <v>53072</v>
      </c>
      <c r="H44" s="27"/>
      <c r="I44" s="27"/>
      <c r="J44" s="27"/>
      <c r="K44" s="28">
        <f>G40+I40</f>
        <v>100768.5644</v>
      </c>
      <c r="L44" s="27"/>
      <c r="M44" s="27"/>
      <c r="N44" s="27"/>
      <c r="O44" s="27"/>
      <c r="P44" s="27"/>
      <c r="Q44" s="27">
        <f>L40+N40</f>
        <v>15000000</v>
      </c>
      <c r="R44" s="29">
        <f>Q44/G44</f>
        <v>282.63491106421463</v>
      </c>
      <c r="S44" s="30"/>
    </row>
    <row r="45" spans="1:20" s="21" customFormat="1" ht="24.6" customHeight="1">
      <c r="A45" s="307" t="s">
        <v>24</v>
      </c>
      <c r="B45" s="307"/>
      <c r="C45" s="307"/>
      <c r="D45" s="307"/>
      <c r="E45" s="307"/>
      <c r="F45" s="307"/>
      <c r="G45" s="27"/>
      <c r="H45" s="27"/>
      <c r="I45" s="27">
        <f>I40</f>
        <v>47696.564400000003</v>
      </c>
      <c r="J45" s="27"/>
      <c r="K45" s="27"/>
      <c r="L45" s="27"/>
      <c r="M45" s="27"/>
      <c r="N45" s="27"/>
      <c r="O45" s="27"/>
      <c r="P45" s="27"/>
      <c r="Q45" s="27">
        <f>M40+O40</f>
        <v>35242000</v>
      </c>
      <c r="R45" s="29">
        <f>Q45/I45</f>
        <v>738.87921369867047</v>
      </c>
      <c r="S45" s="30"/>
    </row>
    <row r="46" spans="1:20" s="21" customFormat="1" ht="24.6" customHeight="1">
      <c r="A46" s="307" t="s">
        <v>25</v>
      </c>
      <c r="B46" s="307"/>
      <c r="C46" s="307"/>
      <c r="D46" s="307"/>
      <c r="E46" s="307"/>
      <c r="F46" s="307"/>
      <c r="G46" s="27"/>
      <c r="H46" s="27"/>
      <c r="I46" s="27"/>
      <c r="J46" s="27">
        <f>J40</f>
        <v>5564</v>
      </c>
      <c r="K46" s="27"/>
      <c r="L46" s="27"/>
      <c r="M46" s="27"/>
      <c r="N46" s="27"/>
      <c r="O46" s="27"/>
      <c r="P46" s="27">
        <f>J40</f>
        <v>5564</v>
      </c>
      <c r="Q46" s="27">
        <f>P40</f>
        <v>2225600</v>
      </c>
      <c r="R46" s="29">
        <f>Q46/P46</f>
        <v>400</v>
      </c>
      <c r="S46" s="30"/>
    </row>
    <row r="47" spans="1:20" s="21" customFormat="1" ht="24.6" hidden="1" customHeight="1">
      <c r="A47" s="307" t="s">
        <v>26</v>
      </c>
      <c r="B47" s="307"/>
      <c r="C47" s="307"/>
      <c r="D47" s="307"/>
      <c r="E47" s="307"/>
      <c r="F47" s="307"/>
      <c r="G47" s="27"/>
      <c r="H47" s="27"/>
      <c r="I47" s="27"/>
      <c r="J47" s="27"/>
      <c r="K47" s="27" t="e">
        <f>#REF!+#REF!+#REF!</f>
        <v>#REF!</v>
      </c>
      <c r="L47" s="27"/>
      <c r="M47" s="27"/>
      <c r="N47" s="27"/>
      <c r="O47" s="27"/>
      <c r="P47" s="27"/>
      <c r="Q47" s="27" t="e">
        <f>#REF!+#REF!+#REF!</f>
        <v>#REF!</v>
      </c>
      <c r="R47" s="29" t="e">
        <f>Q47/P47</f>
        <v>#REF!</v>
      </c>
      <c r="S47" s="30"/>
    </row>
    <row r="48" spans="1:20">
      <c r="A48" s="31"/>
      <c r="B48" s="102"/>
      <c r="C48" s="3" t="s">
        <v>27</v>
      </c>
      <c r="D48" s="32"/>
      <c r="E48" s="33"/>
      <c r="F48" s="33"/>
      <c r="G48" s="34" t="s">
        <v>241</v>
      </c>
      <c r="H48" s="35"/>
      <c r="I48" s="35"/>
      <c r="J48" s="182"/>
      <c r="K48" s="36"/>
      <c r="L48" s="1"/>
      <c r="M48" s="1"/>
      <c r="N48" s="1"/>
      <c r="O48" s="1"/>
      <c r="P48" s="1"/>
      <c r="Q48" s="144" t="s">
        <v>28</v>
      </c>
    </row>
    <row r="49" spans="1:20" ht="18" customHeight="1">
      <c r="B49" s="102"/>
      <c r="D49" s="32"/>
      <c r="E49" s="37"/>
      <c r="F49" s="37"/>
      <c r="G49" s="38"/>
      <c r="H49" s="31"/>
      <c r="I49" s="32"/>
      <c r="J49" s="183"/>
      <c r="K49" s="32"/>
      <c r="S49" s="8"/>
      <c r="T49" s="8"/>
    </row>
    <row r="50" spans="1:20" s="8" customFormat="1" ht="18" customHeight="1">
      <c r="A50" s="1"/>
      <c r="B50" s="102"/>
      <c r="C50" s="3"/>
      <c r="D50" s="3"/>
      <c r="E50" s="3"/>
      <c r="F50" s="3"/>
      <c r="G50" s="39"/>
      <c r="J50" s="181"/>
      <c r="Q50" s="127"/>
      <c r="S50" s="1"/>
      <c r="T50" s="1"/>
    </row>
    <row r="51" spans="1:20">
      <c r="B51" s="102"/>
      <c r="E51" s="37"/>
      <c r="F51" s="37"/>
      <c r="G51" s="38"/>
      <c r="H51" s="31"/>
      <c r="I51" s="32"/>
      <c r="J51" s="183"/>
      <c r="K51" s="32"/>
    </row>
    <row r="52" spans="1:20">
      <c r="H52" s="43"/>
      <c r="Q52" s="21"/>
    </row>
    <row r="53" spans="1:20">
      <c r="C53" s="45"/>
      <c r="G53" s="34" t="str">
        <f>'[1]A VIEN'!G71</f>
        <v>Đặng Thị Mỹ Tin</v>
      </c>
      <c r="H53" s="43"/>
      <c r="Q53" s="151" t="s">
        <v>59</v>
      </c>
    </row>
    <row r="56" spans="1:20">
      <c r="R56" s="39"/>
    </row>
  </sheetData>
  <mergeCells count="53"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E6:E7"/>
    <mergeCell ref="F6:F7"/>
    <mergeCell ref="R5:R7"/>
    <mergeCell ref="N5:O6"/>
    <mergeCell ref="P5:P7"/>
    <mergeCell ref="Q5:Q7"/>
    <mergeCell ref="A8:A9"/>
    <mergeCell ref="B8:B9"/>
    <mergeCell ref="Q8:Q9"/>
    <mergeCell ref="H6:I6"/>
    <mergeCell ref="K5:K7"/>
    <mergeCell ref="L5:M6"/>
    <mergeCell ref="M8:M9"/>
    <mergeCell ref="A47:F47"/>
    <mergeCell ref="Q26:Q27"/>
    <mergeCell ref="A30:A31"/>
    <mergeCell ref="B30:B31"/>
    <mergeCell ref="Q30:Q31"/>
    <mergeCell ref="A26:A27"/>
    <mergeCell ref="B26:B27"/>
    <mergeCell ref="L26:L27"/>
    <mergeCell ref="L30:L31"/>
    <mergeCell ref="A34:A35"/>
    <mergeCell ref="B34:B35"/>
    <mergeCell ref="L34:L35"/>
    <mergeCell ref="A45:F45"/>
    <mergeCell ref="A46:F46"/>
    <mergeCell ref="Q34:Q35"/>
    <mergeCell ref="A40:F40"/>
    <mergeCell ref="M18:M19"/>
    <mergeCell ref="Q18:Q19"/>
    <mergeCell ref="A16:A17"/>
    <mergeCell ref="A13:A14"/>
    <mergeCell ref="B13:B14"/>
    <mergeCell ref="L13:L14"/>
    <mergeCell ref="Q13:Q14"/>
    <mergeCell ref="B16:B17"/>
    <mergeCell ref="Q16:Q17"/>
    <mergeCell ref="A41:F41"/>
    <mergeCell ref="A42:F42"/>
    <mergeCell ref="A44:F44"/>
    <mergeCell ref="A18:A19"/>
    <mergeCell ref="B18:B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1"/>
  <sheetViews>
    <sheetView zoomScale="70" zoomScaleNormal="70" workbookViewId="0">
      <selection activeCell="K12" sqref="K12"/>
    </sheetView>
  </sheetViews>
  <sheetFormatPr defaultColWidth="9.109375" defaultRowHeight="13.8"/>
  <cols>
    <col min="1" max="1" width="8.44140625" style="1" customWidth="1"/>
    <col min="2" max="2" width="13.33203125" style="103" customWidth="1"/>
    <col min="3" max="3" width="12.21875" style="3" customWidth="1"/>
    <col min="4" max="4" width="22.77734375" style="3" customWidth="1"/>
    <col min="5" max="5" width="12.88671875" style="41" customWidth="1"/>
    <col min="6" max="6" width="17.33203125" style="42" customWidth="1"/>
    <col min="7" max="7" width="13.109375" style="35" customWidth="1"/>
    <col min="8" max="8" width="14.109375" style="46" customWidth="1"/>
    <col min="9" max="9" width="11.33203125" style="44" customWidth="1"/>
    <col min="10" max="10" width="13.5546875" style="44" customWidth="1"/>
    <col min="11" max="11" width="11.88671875" style="7" customWidth="1"/>
    <col min="12" max="12" width="15" style="7" customWidth="1"/>
    <col min="13" max="13" width="17.33203125" style="7" customWidth="1"/>
    <col min="14" max="14" width="11.6640625" style="7" customWidth="1"/>
    <col min="15" max="15" width="13.77734375" style="7" customWidth="1"/>
    <col min="16" max="16" width="12.5546875" style="7" customWidth="1"/>
    <col min="17" max="17" width="15.33203125" style="115" customWidth="1"/>
    <col min="18" max="18" width="30.77734375" style="3" customWidth="1"/>
    <col min="19" max="19" width="16" style="1" customWidth="1"/>
    <col min="20" max="16384" width="9.109375" style="1"/>
  </cols>
  <sheetData>
    <row r="1" spans="1:19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</row>
    <row r="2" spans="1:19" ht="17.399999999999999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</row>
    <row r="3" spans="1:19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</row>
    <row r="4" spans="1:19">
      <c r="A4" s="357" t="s">
        <v>112</v>
      </c>
      <c r="B4" s="357"/>
      <c r="C4" s="357"/>
      <c r="D4" s="2"/>
      <c r="E4" s="3"/>
      <c r="F4" s="3"/>
      <c r="G4" s="4"/>
      <c r="H4" s="5"/>
      <c r="I4" s="6"/>
      <c r="J4" s="163"/>
    </row>
    <row r="5" spans="1:19" ht="29.25" customHeight="1">
      <c r="A5" s="291" t="s">
        <v>1</v>
      </c>
      <c r="B5" s="326" t="s">
        <v>2</v>
      </c>
      <c r="C5" s="291" t="s">
        <v>3</v>
      </c>
      <c r="D5" s="291" t="s">
        <v>4</v>
      </c>
      <c r="E5" s="291" t="s">
        <v>5</v>
      </c>
      <c r="F5" s="291"/>
      <c r="G5" s="321" t="s">
        <v>6</v>
      </c>
      <c r="H5" s="321"/>
      <c r="I5" s="321"/>
      <c r="J5" s="321"/>
      <c r="K5" s="327" t="s">
        <v>7</v>
      </c>
      <c r="L5" s="299" t="s">
        <v>8</v>
      </c>
      <c r="M5" s="300"/>
      <c r="N5" s="322" t="s">
        <v>9</v>
      </c>
      <c r="O5" s="322"/>
      <c r="P5" s="303" t="s">
        <v>10</v>
      </c>
      <c r="Q5" s="322" t="s">
        <v>11</v>
      </c>
      <c r="R5" s="313" t="s">
        <v>12</v>
      </c>
    </row>
    <row r="6" spans="1:19" ht="23.25" customHeight="1">
      <c r="A6" s="291"/>
      <c r="B6" s="326"/>
      <c r="C6" s="291"/>
      <c r="D6" s="291"/>
      <c r="E6" s="291" t="s">
        <v>13</v>
      </c>
      <c r="F6" s="291" t="s">
        <v>14</v>
      </c>
      <c r="G6" s="231" t="s">
        <v>15</v>
      </c>
      <c r="H6" s="321" t="s">
        <v>16</v>
      </c>
      <c r="I6" s="321"/>
      <c r="J6" s="230" t="s">
        <v>17</v>
      </c>
      <c r="K6" s="327"/>
      <c r="L6" s="328"/>
      <c r="M6" s="329"/>
      <c r="N6" s="322"/>
      <c r="O6" s="322"/>
      <c r="P6" s="304"/>
      <c r="Q6" s="322"/>
      <c r="R6" s="313"/>
    </row>
    <row r="7" spans="1:19" ht="22.5" customHeight="1">
      <c r="A7" s="291"/>
      <c r="B7" s="326"/>
      <c r="C7" s="291"/>
      <c r="D7" s="291"/>
      <c r="E7" s="291"/>
      <c r="F7" s="291"/>
      <c r="G7" s="231" t="s">
        <v>18</v>
      </c>
      <c r="H7" s="226" t="s">
        <v>19</v>
      </c>
      <c r="I7" s="230" t="s">
        <v>18</v>
      </c>
      <c r="J7" s="230" t="s">
        <v>18</v>
      </c>
      <c r="K7" s="327"/>
      <c r="L7" s="231" t="s">
        <v>15</v>
      </c>
      <c r="M7" s="9" t="s">
        <v>16</v>
      </c>
      <c r="N7" s="231" t="s">
        <v>15</v>
      </c>
      <c r="O7" s="90" t="s">
        <v>16</v>
      </c>
      <c r="P7" s="323"/>
      <c r="Q7" s="322"/>
      <c r="R7" s="313"/>
    </row>
    <row r="8" spans="1:19" ht="25.8" customHeight="1">
      <c r="A8" s="205">
        <v>1</v>
      </c>
      <c r="B8" s="193" t="s">
        <v>189</v>
      </c>
      <c r="C8" s="232">
        <v>5</v>
      </c>
      <c r="D8" s="232" t="s">
        <v>56</v>
      </c>
      <c r="E8" s="131"/>
      <c r="F8" s="131" t="s">
        <v>33</v>
      </c>
      <c r="G8" s="228"/>
      <c r="H8" s="228">
        <v>719000</v>
      </c>
      <c r="I8" s="228">
        <v>2958.57</v>
      </c>
      <c r="J8" s="9"/>
      <c r="K8" s="114"/>
      <c r="L8" s="107"/>
      <c r="M8" s="13">
        <v>950000</v>
      </c>
      <c r="N8" s="10"/>
      <c r="O8" s="10"/>
      <c r="P8" s="10"/>
      <c r="Q8" s="148">
        <f>SUM(L8:P8)</f>
        <v>950000</v>
      </c>
      <c r="R8" s="130"/>
      <c r="S8" s="3"/>
    </row>
    <row r="9" spans="1:19" ht="25.8" customHeight="1">
      <c r="A9" s="233">
        <v>2</v>
      </c>
      <c r="B9" s="193" t="s">
        <v>189</v>
      </c>
      <c r="C9" s="11">
        <v>30</v>
      </c>
      <c r="D9" s="203" t="s">
        <v>68</v>
      </c>
      <c r="E9" s="11"/>
      <c r="F9" s="11" t="s">
        <v>61</v>
      </c>
      <c r="G9" s="75">
        <v>4500</v>
      </c>
      <c r="H9" s="228"/>
      <c r="I9" s="228"/>
      <c r="J9" s="9">
        <v>1138</v>
      </c>
      <c r="K9" s="114"/>
      <c r="L9" s="107">
        <v>1350000</v>
      </c>
      <c r="M9" s="256"/>
      <c r="N9" s="10"/>
      <c r="O9" s="10"/>
      <c r="P9" s="10">
        <f>J9*400</f>
        <v>455200</v>
      </c>
      <c r="Q9" s="148">
        <f>SUM(L9:P9)</f>
        <v>1805200</v>
      </c>
      <c r="R9" s="112" t="s">
        <v>154</v>
      </c>
      <c r="S9" s="3"/>
    </row>
    <row r="10" spans="1:19" ht="24" customHeight="1">
      <c r="A10" s="345">
        <v>3</v>
      </c>
      <c r="B10" s="362" t="s">
        <v>193</v>
      </c>
      <c r="C10" s="232">
        <v>6</v>
      </c>
      <c r="D10" s="232" t="s">
        <v>105</v>
      </c>
      <c r="E10" s="131"/>
      <c r="F10" s="131" t="s">
        <v>76</v>
      </c>
      <c r="G10" s="228"/>
      <c r="H10" s="228">
        <v>28000</v>
      </c>
      <c r="I10" s="228">
        <v>453.6</v>
      </c>
      <c r="J10" s="111"/>
      <c r="K10" s="234"/>
      <c r="L10" s="107"/>
      <c r="M10" s="347">
        <v>1030000</v>
      </c>
      <c r="N10" s="10"/>
      <c r="O10" s="10"/>
      <c r="P10" s="10"/>
      <c r="Q10" s="359">
        <f>SUM(L10:P11)</f>
        <v>1030000</v>
      </c>
      <c r="R10" s="130"/>
    </row>
    <row r="11" spans="1:19" ht="23.4" customHeight="1">
      <c r="A11" s="346"/>
      <c r="B11" s="363"/>
      <c r="C11" s="11">
        <v>42</v>
      </c>
      <c r="D11" s="203" t="s">
        <v>116</v>
      </c>
      <c r="E11" s="11"/>
      <c r="F11" s="11" t="s">
        <v>50</v>
      </c>
      <c r="G11" s="132"/>
      <c r="H11" s="214">
        <v>530000</v>
      </c>
      <c r="I11" s="228">
        <v>940.4</v>
      </c>
      <c r="J11" s="114"/>
      <c r="K11" s="114"/>
      <c r="L11" s="107"/>
      <c r="M11" s="348"/>
      <c r="N11" s="13"/>
      <c r="O11" s="13"/>
      <c r="P11" s="13"/>
      <c r="Q11" s="361"/>
      <c r="R11" s="112"/>
    </row>
    <row r="12" spans="1:19" ht="24.6" customHeight="1">
      <c r="A12" s="205">
        <v>4</v>
      </c>
      <c r="B12" s="193" t="s">
        <v>193</v>
      </c>
      <c r="C12" s="11">
        <v>42</v>
      </c>
      <c r="D12" s="203" t="s">
        <v>82</v>
      </c>
      <c r="E12" s="11"/>
      <c r="F12" s="11" t="s">
        <v>66</v>
      </c>
      <c r="G12" s="75"/>
      <c r="H12" s="228">
        <v>138000</v>
      </c>
      <c r="I12" s="228">
        <v>2650.4222</v>
      </c>
      <c r="J12" s="214"/>
      <c r="K12" s="234"/>
      <c r="L12" s="74"/>
      <c r="M12" s="13">
        <v>1450000</v>
      </c>
      <c r="N12" s="10"/>
      <c r="O12" s="10"/>
      <c r="P12" s="10"/>
      <c r="Q12" s="148">
        <f t="shared" ref="Q12:Q54" si="0">SUM(L12:P12)</f>
        <v>1450000</v>
      </c>
      <c r="R12" s="208" t="s">
        <v>53</v>
      </c>
    </row>
    <row r="13" spans="1:19" ht="23.4" customHeight="1">
      <c r="A13" s="205">
        <v>5</v>
      </c>
      <c r="B13" s="193" t="s">
        <v>194</v>
      </c>
      <c r="C13" s="11">
        <v>12</v>
      </c>
      <c r="D13" s="203" t="s">
        <v>93</v>
      </c>
      <c r="E13" s="11"/>
      <c r="F13" s="11" t="s">
        <v>46</v>
      </c>
      <c r="G13" s="75"/>
      <c r="H13" s="228">
        <v>136600</v>
      </c>
      <c r="I13" s="228">
        <v>1903.3327999999999</v>
      </c>
      <c r="J13" s="89"/>
      <c r="K13" s="234"/>
      <c r="L13" s="74"/>
      <c r="M13" s="13">
        <v>1300000</v>
      </c>
      <c r="N13" s="10"/>
      <c r="O13" s="10"/>
      <c r="P13" s="10"/>
      <c r="Q13" s="148">
        <f t="shared" si="0"/>
        <v>1300000</v>
      </c>
      <c r="R13" s="186"/>
    </row>
    <row r="14" spans="1:19" ht="23.4" customHeight="1">
      <c r="A14" s="205">
        <v>6</v>
      </c>
      <c r="B14" s="193" t="s">
        <v>194</v>
      </c>
      <c r="C14" s="11">
        <v>17</v>
      </c>
      <c r="D14" s="203" t="s">
        <v>74</v>
      </c>
      <c r="E14" s="11"/>
      <c r="F14" s="11" t="s">
        <v>75</v>
      </c>
      <c r="G14" s="75">
        <v>3780</v>
      </c>
      <c r="H14" s="228"/>
      <c r="I14" s="228"/>
      <c r="J14" s="89"/>
      <c r="K14" s="234"/>
      <c r="L14" s="74">
        <v>1200000</v>
      </c>
      <c r="M14" s="13"/>
      <c r="N14" s="10"/>
      <c r="O14" s="10"/>
      <c r="P14" s="10"/>
      <c r="Q14" s="148">
        <f t="shared" si="0"/>
        <v>1200000</v>
      </c>
      <c r="R14" s="130" t="s">
        <v>53</v>
      </c>
    </row>
    <row r="15" spans="1:19" ht="25.2" customHeight="1">
      <c r="A15" s="205">
        <v>7</v>
      </c>
      <c r="B15" s="193" t="s">
        <v>196</v>
      </c>
      <c r="C15" s="203">
        <v>39</v>
      </c>
      <c r="D15" s="203" t="s">
        <v>175</v>
      </c>
      <c r="E15" s="11"/>
      <c r="F15" s="11" t="s">
        <v>77</v>
      </c>
      <c r="G15" s="75"/>
      <c r="H15" s="214">
        <v>114500</v>
      </c>
      <c r="I15" s="214">
        <v>1547.75</v>
      </c>
      <c r="J15" s="9"/>
      <c r="K15" s="234"/>
      <c r="L15" s="74"/>
      <c r="M15" s="13">
        <v>1600000</v>
      </c>
      <c r="N15" s="10"/>
      <c r="O15" s="10"/>
      <c r="P15" s="10"/>
      <c r="Q15" s="148">
        <f t="shared" si="0"/>
        <v>1600000</v>
      </c>
      <c r="R15" s="188"/>
    </row>
    <row r="16" spans="1:19" ht="23.4" customHeight="1">
      <c r="A16" s="205">
        <v>8</v>
      </c>
      <c r="B16" s="193" t="s">
        <v>344</v>
      </c>
      <c r="C16" s="11">
        <v>51</v>
      </c>
      <c r="D16" s="203" t="s">
        <v>116</v>
      </c>
      <c r="E16" s="11"/>
      <c r="F16" s="11" t="s">
        <v>66</v>
      </c>
      <c r="G16" s="75"/>
      <c r="H16" s="228">
        <v>1030000</v>
      </c>
      <c r="I16" s="228">
        <v>1442</v>
      </c>
      <c r="J16" s="9"/>
      <c r="K16" s="234"/>
      <c r="L16" s="74"/>
      <c r="M16" s="13">
        <v>1500000</v>
      </c>
      <c r="N16" s="10"/>
      <c r="O16" s="10"/>
      <c r="P16" s="10"/>
      <c r="Q16" s="148">
        <f t="shared" si="0"/>
        <v>1500000</v>
      </c>
      <c r="R16" s="112"/>
    </row>
    <row r="17" spans="1:19" ht="23.4" customHeight="1">
      <c r="A17" s="205">
        <v>9</v>
      </c>
      <c r="B17" s="205" t="s">
        <v>199</v>
      </c>
      <c r="C17" s="11">
        <v>20</v>
      </c>
      <c r="D17" s="203" t="s">
        <v>68</v>
      </c>
      <c r="E17" s="11"/>
      <c r="F17" s="11" t="s">
        <v>61</v>
      </c>
      <c r="G17" s="75">
        <v>4000</v>
      </c>
      <c r="H17" s="228"/>
      <c r="I17" s="228"/>
      <c r="J17" s="9">
        <v>1186</v>
      </c>
      <c r="K17" s="234"/>
      <c r="L17" s="74">
        <v>1400000</v>
      </c>
      <c r="M17" s="13"/>
      <c r="N17" s="10"/>
      <c r="O17" s="10"/>
      <c r="P17" s="10">
        <f>J17*400</f>
        <v>474400</v>
      </c>
      <c r="Q17" s="148">
        <f t="shared" si="0"/>
        <v>1874400</v>
      </c>
      <c r="R17" s="257" t="s">
        <v>138</v>
      </c>
    </row>
    <row r="18" spans="1:19" ht="23.4" customHeight="1">
      <c r="A18" s="205">
        <v>10</v>
      </c>
      <c r="B18" s="205" t="s">
        <v>201</v>
      </c>
      <c r="C18" s="203">
        <v>10</v>
      </c>
      <c r="D18" s="203" t="s">
        <v>345</v>
      </c>
      <c r="E18" s="11"/>
      <c r="F18" s="11" t="s">
        <v>299</v>
      </c>
      <c r="G18" s="75"/>
      <c r="H18" s="214">
        <v>138000</v>
      </c>
      <c r="I18" s="214">
        <v>828</v>
      </c>
      <c r="J18" s="9"/>
      <c r="K18" s="234"/>
      <c r="L18" s="74"/>
      <c r="M18" s="13">
        <v>650000</v>
      </c>
      <c r="N18" s="10"/>
      <c r="O18" s="10"/>
      <c r="P18" s="10"/>
      <c r="Q18" s="148">
        <f t="shared" si="0"/>
        <v>650000</v>
      </c>
      <c r="R18" s="257"/>
    </row>
    <row r="19" spans="1:19" ht="23.4" customHeight="1">
      <c r="A19" s="205">
        <v>11</v>
      </c>
      <c r="B19" s="205" t="s">
        <v>201</v>
      </c>
      <c r="C19" s="11">
        <v>18</v>
      </c>
      <c r="D19" s="203" t="s">
        <v>346</v>
      </c>
      <c r="E19" s="11"/>
      <c r="F19" s="11" t="s">
        <v>54</v>
      </c>
      <c r="G19" s="132"/>
      <c r="H19" s="214">
        <v>424400</v>
      </c>
      <c r="I19" s="228">
        <v>1570.28</v>
      </c>
      <c r="J19" s="9"/>
      <c r="K19" s="234"/>
      <c r="L19" s="74"/>
      <c r="M19" s="13">
        <v>1200000</v>
      </c>
      <c r="N19" s="10"/>
      <c r="O19" s="10"/>
      <c r="P19" s="10"/>
      <c r="Q19" s="148">
        <f t="shared" si="0"/>
        <v>1200000</v>
      </c>
      <c r="R19" s="257" t="s">
        <v>53</v>
      </c>
    </row>
    <row r="20" spans="1:19" ht="23.4" customHeight="1">
      <c r="A20" s="205">
        <v>12</v>
      </c>
      <c r="B20" s="205" t="s">
        <v>203</v>
      </c>
      <c r="C20" s="11" t="s">
        <v>347</v>
      </c>
      <c r="D20" s="203" t="s">
        <v>83</v>
      </c>
      <c r="E20" s="11"/>
      <c r="F20" s="11" t="s">
        <v>64</v>
      </c>
      <c r="G20" s="132"/>
      <c r="H20" s="214">
        <v>168000</v>
      </c>
      <c r="I20" s="228">
        <v>2474.1149999999998</v>
      </c>
      <c r="J20" s="9"/>
      <c r="K20" s="234"/>
      <c r="L20" s="74"/>
      <c r="M20" s="13">
        <v>1300000</v>
      </c>
      <c r="N20" s="10"/>
      <c r="O20" s="10"/>
      <c r="P20" s="10"/>
      <c r="Q20" s="148">
        <f t="shared" si="0"/>
        <v>1300000</v>
      </c>
      <c r="R20" s="257"/>
    </row>
    <row r="21" spans="1:19" ht="23.4" customHeight="1">
      <c r="A21" s="205">
        <v>13</v>
      </c>
      <c r="B21" s="193" t="s">
        <v>206</v>
      </c>
      <c r="C21" s="203">
        <v>1</v>
      </c>
      <c r="D21" s="203" t="s">
        <v>55</v>
      </c>
      <c r="E21" s="11"/>
      <c r="F21" s="11" t="s">
        <v>71</v>
      </c>
      <c r="G21" s="75"/>
      <c r="H21" s="214">
        <v>20000</v>
      </c>
      <c r="I21" s="214">
        <v>1261.9000000000001</v>
      </c>
      <c r="J21" s="9"/>
      <c r="K21" s="13"/>
      <c r="L21" s="13"/>
      <c r="M21" s="13">
        <v>1450000</v>
      </c>
      <c r="N21" s="13"/>
      <c r="O21" s="13"/>
      <c r="P21" s="13"/>
      <c r="Q21" s="148">
        <f t="shared" si="0"/>
        <v>1450000</v>
      </c>
      <c r="R21" s="130"/>
    </row>
    <row r="22" spans="1:19" ht="22.8" customHeight="1">
      <c r="A22" s="205">
        <v>14</v>
      </c>
      <c r="B22" s="193" t="s">
        <v>206</v>
      </c>
      <c r="C22" s="203">
        <v>33</v>
      </c>
      <c r="D22" s="203" t="s">
        <v>68</v>
      </c>
      <c r="E22" s="11"/>
      <c r="F22" s="11" t="s">
        <v>61</v>
      </c>
      <c r="G22" s="75">
        <v>4500</v>
      </c>
      <c r="H22" s="75"/>
      <c r="I22" s="132"/>
      <c r="J22" s="111">
        <v>1038</v>
      </c>
      <c r="K22" s="13"/>
      <c r="L22" s="13">
        <v>1350000</v>
      </c>
      <c r="M22" s="13"/>
      <c r="N22" s="13"/>
      <c r="O22" s="13"/>
      <c r="P22" s="13">
        <f>J22*400</f>
        <v>415200</v>
      </c>
      <c r="Q22" s="148">
        <f t="shared" si="0"/>
        <v>1765200</v>
      </c>
      <c r="R22" s="188" t="s">
        <v>129</v>
      </c>
    </row>
    <row r="23" spans="1:19" ht="22.8" customHeight="1">
      <c r="A23" s="345">
        <v>15</v>
      </c>
      <c r="B23" s="362" t="s">
        <v>207</v>
      </c>
      <c r="C23" s="203">
        <v>5</v>
      </c>
      <c r="D23" s="203" t="s">
        <v>72</v>
      </c>
      <c r="E23" s="11"/>
      <c r="F23" s="11" t="s">
        <v>77</v>
      </c>
      <c r="G23" s="75">
        <v>2400</v>
      </c>
      <c r="H23" s="214"/>
      <c r="I23" s="214"/>
      <c r="J23" s="111"/>
      <c r="K23" s="13"/>
      <c r="L23" s="13">
        <v>850000</v>
      </c>
      <c r="M23" s="13"/>
      <c r="N23" s="13"/>
      <c r="O23" s="13"/>
      <c r="P23" s="13"/>
      <c r="Q23" s="359">
        <f>SUM(L23:P24)</f>
        <v>1730000</v>
      </c>
      <c r="R23" s="188" t="s">
        <v>51</v>
      </c>
    </row>
    <row r="24" spans="1:19" ht="23.4" customHeight="1">
      <c r="A24" s="346"/>
      <c r="B24" s="363"/>
      <c r="C24" s="11">
        <v>37</v>
      </c>
      <c r="D24" s="203" t="s">
        <v>348</v>
      </c>
      <c r="E24" s="11"/>
      <c r="F24" s="11" t="s">
        <v>66</v>
      </c>
      <c r="G24" s="75"/>
      <c r="H24" s="228">
        <v>36000</v>
      </c>
      <c r="I24" s="228">
        <v>368.4</v>
      </c>
      <c r="J24" s="9"/>
      <c r="K24" s="13"/>
      <c r="L24" s="13"/>
      <c r="M24" s="13">
        <v>880000</v>
      </c>
      <c r="N24" s="13"/>
      <c r="O24" s="13"/>
      <c r="P24" s="13"/>
      <c r="Q24" s="361"/>
      <c r="R24" s="112"/>
    </row>
    <row r="25" spans="1:19" ht="23.4" customHeight="1">
      <c r="A25" s="205">
        <v>16</v>
      </c>
      <c r="B25" s="193" t="s">
        <v>210</v>
      </c>
      <c r="C25" s="203">
        <v>3</v>
      </c>
      <c r="D25" s="203" t="s">
        <v>311</v>
      </c>
      <c r="E25" s="11"/>
      <c r="F25" s="11" t="s">
        <v>50</v>
      </c>
      <c r="G25" s="75">
        <v>3000</v>
      </c>
      <c r="H25" s="75"/>
      <c r="I25" s="221"/>
      <c r="J25" s="9"/>
      <c r="K25" s="13"/>
      <c r="L25" s="13">
        <v>850000</v>
      </c>
      <c r="M25" s="13"/>
      <c r="N25" s="13"/>
      <c r="O25" s="13"/>
      <c r="P25" s="13"/>
      <c r="Q25" s="148">
        <f t="shared" si="0"/>
        <v>850000</v>
      </c>
      <c r="R25" s="112"/>
    </row>
    <row r="26" spans="1:19" ht="23.4" customHeight="1">
      <c r="A26" s="205">
        <v>17</v>
      </c>
      <c r="B26" s="193" t="s">
        <v>210</v>
      </c>
      <c r="C26" s="203">
        <v>20</v>
      </c>
      <c r="D26" s="203" t="s">
        <v>147</v>
      </c>
      <c r="E26" s="11"/>
      <c r="F26" s="11" t="s">
        <v>109</v>
      </c>
      <c r="G26" s="75"/>
      <c r="H26" s="214">
        <v>282400</v>
      </c>
      <c r="I26" s="214">
        <v>2305.7175000000002</v>
      </c>
      <c r="J26" s="9"/>
      <c r="K26" s="13"/>
      <c r="L26" s="13"/>
      <c r="M26" s="13">
        <v>1900000</v>
      </c>
      <c r="N26" s="13"/>
      <c r="O26" s="13">
        <v>200000</v>
      </c>
      <c r="P26" s="13"/>
      <c r="Q26" s="148">
        <f t="shared" si="0"/>
        <v>2100000</v>
      </c>
      <c r="R26" s="112" t="s">
        <v>188</v>
      </c>
    </row>
    <row r="27" spans="1:19" ht="23.4" customHeight="1">
      <c r="A27" s="345">
        <v>18</v>
      </c>
      <c r="B27" s="362" t="s">
        <v>215</v>
      </c>
      <c r="C27" s="11">
        <v>10</v>
      </c>
      <c r="D27" s="11" t="s">
        <v>180</v>
      </c>
      <c r="E27" s="11"/>
      <c r="F27" s="11" t="s">
        <v>54</v>
      </c>
      <c r="G27" s="75"/>
      <c r="H27" s="214">
        <v>6440</v>
      </c>
      <c r="I27" s="214">
        <v>282.71600000000001</v>
      </c>
      <c r="J27" s="9"/>
      <c r="K27" s="13"/>
      <c r="L27" s="13"/>
      <c r="M27" s="13">
        <v>480000</v>
      </c>
      <c r="N27" s="13"/>
      <c r="O27" s="13">
        <v>20000</v>
      </c>
      <c r="P27" s="13"/>
      <c r="Q27" s="359">
        <f>SUM(L27:P28)</f>
        <v>1932400</v>
      </c>
      <c r="R27" s="130" t="s">
        <v>349</v>
      </c>
      <c r="S27" s="211"/>
    </row>
    <row r="28" spans="1:19" ht="23.4" customHeight="1">
      <c r="A28" s="346"/>
      <c r="B28" s="363"/>
      <c r="C28" s="11">
        <v>17</v>
      </c>
      <c r="D28" s="203" t="s">
        <v>68</v>
      </c>
      <c r="E28" s="11"/>
      <c r="F28" s="11" t="s">
        <v>61</v>
      </c>
      <c r="G28" s="75">
        <v>3500</v>
      </c>
      <c r="H28" s="228"/>
      <c r="I28" s="228"/>
      <c r="J28" s="9">
        <v>1081</v>
      </c>
      <c r="K28" s="13"/>
      <c r="L28" s="13">
        <v>1000000</v>
      </c>
      <c r="M28" s="13"/>
      <c r="N28" s="13"/>
      <c r="O28" s="13"/>
      <c r="P28" s="13">
        <f>J28*400</f>
        <v>432400</v>
      </c>
      <c r="Q28" s="361"/>
      <c r="R28" s="130" t="s">
        <v>173</v>
      </c>
    </row>
    <row r="29" spans="1:19" ht="23.4" customHeight="1">
      <c r="A29" s="205">
        <v>19</v>
      </c>
      <c r="B29" s="193" t="s">
        <v>217</v>
      </c>
      <c r="C29" s="203">
        <v>25</v>
      </c>
      <c r="D29" s="203" t="s">
        <v>68</v>
      </c>
      <c r="E29" s="11"/>
      <c r="F29" s="11" t="s">
        <v>61</v>
      </c>
      <c r="G29" s="75">
        <v>4100</v>
      </c>
      <c r="H29" s="75"/>
      <c r="I29" s="132"/>
      <c r="J29" s="111">
        <v>1178</v>
      </c>
      <c r="K29" s="13"/>
      <c r="L29" s="13">
        <v>1450000</v>
      </c>
      <c r="M29" s="13"/>
      <c r="N29" s="13"/>
      <c r="O29" s="13"/>
      <c r="P29" s="13">
        <f>J29*400</f>
        <v>471200</v>
      </c>
      <c r="Q29" s="148">
        <f t="shared" si="0"/>
        <v>1921200</v>
      </c>
      <c r="R29" s="188" t="s">
        <v>177</v>
      </c>
      <c r="S29" s="189"/>
    </row>
    <row r="30" spans="1:19" ht="22.8" customHeight="1">
      <c r="A30" s="205">
        <v>20</v>
      </c>
      <c r="B30" s="193" t="s">
        <v>218</v>
      </c>
      <c r="C30" s="11">
        <v>19</v>
      </c>
      <c r="D30" s="203" t="s">
        <v>116</v>
      </c>
      <c r="E30" s="11"/>
      <c r="F30" s="11" t="s">
        <v>109</v>
      </c>
      <c r="G30" s="75"/>
      <c r="H30" s="228">
        <v>214200</v>
      </c>
      <c r="I30" s="228">
        <v>2238.6172000000001</v>
      </c>
      <c r="J30" s="9"/>
      <c r="K30" s="13"/>
      <c r="L30" s="13"/>
      <c r="M30" s="13">
        <v>1950000</v>
      </c>
      <c r="N30" s="13"/>
      <c r="O30" s="13"/>
      <c r="P30" s="13"/>
      <c r="Q30" s="148">
        <f t="shared" si="0"/>
        <v>1950000</v>
      </c>
      <c r="R30" s="112"/>
    </row>
    <row r="31" spans="1:19" ht="30" customHeight="1">
      <c r="A31" s="345">
        <v>21</v>
      </c>
      <c r="B31" s="362" t="s">
        <v>259</v>
      </c>
      <c r="C31" s="203">
        <v>11</v>
      </c>
      <c r="D31" s="203" t="s">
        <v>65</v>
      </c>
      <c r="E31" s="11"/>
      <c r="F31" s="11" t="s">
        <v>66</v>
      </c>
      <c r="G31" s="75">
        <v>3189</v>
      </c>
      <c r="H31" s="214"/>
      <c r="I31" s="216"/>
      <c r="J31" s="9"/>
      <c r="K31" s="13"/>
      <c r="L31" s="13">
        <v>1000000</v>
      </c>
      <c r="M31" s="13"/>
      <c r="N31" s="13">
        <v>80000</v>
      </c>
      <c r="O31" s="13"/>
      <c r="P31" s="13"/>
      <c r="Q31" s="359">
        <f>SUM(L31:P32)</f>
        <v>1660000</v>
      </c>
      <c r="R31" s="224" t="s">
        <v>350</v>
      </c>
    </row>
    <row r="32" spans="1:19" ht="23.4" customHeight="1">
      <c r="A32" s="346"/>
      <c r="B32" s="363"/>
      <c r="C32" s="11">
        <v>7</v>
      </c>
      <c r="D32" s="203" t="s">
        <v>106</v>
      </c>
      <c r="E32" s="11"/>
      <c r="F32" s="11" t="s">
        <v>48</v>
      </c>
      <c r="G32" s="75"/>
      <c r="H32" s="228">
        <v>80400</v>
      </c>
      <c r="I32" s="228">
        <v>589.31219999999996</v>
      </c>
      <c r="J32" s="9"/>
      <c r="K32" s="13"/>
      <c r="L32" s="13"/>
      <c r="M32" s="13">
        <v>580000</v>
      </c>
      <c r="N32" s="13"/>
      <c r="O32" s="13"/>
      <c r="P32" s="13"/>
      <c r="Q32" s="361"/>
      <c r="R32" s="112"/>
    </row>
    <row r="33" spans="1:19" ht="23.4" customHeight="1">
      <c r="A33" s="205">
        <v>22</v>
      </c>
      <c r="B33" s="193" t="s">
        <v>221</v>
      </c>
      <c r="C33" s="203">
        <v>19</v>
      </c>
      <c r="D33" s="203" t="s">
        <v>79</v>
      </c>
      <c r="E33" s="11"/>
      <c r="F33" s="11" t="s">
        <v>77</v>
      </c>
      <c r="G33" s="75">
        <v>4162</v>
      </c>
      <c r="H33" s="75"/>
      <c r="I33" s="132"/>
      <c r="J33" s="75"/>
      <c r="K33" s="13"/>
      <c r="L33" s="13">
        <v>1600000</v>
      </c>
      <c r="M33" s="13"/>
      <c r="N33" s="13">
        <v>300000</v>
      </c>
      <c r="O33" s="13"/>
      <c r="P33" s="13"/>
      <c r="Q33" s="148">
        <f t="shared" si="0"/>
        <v>1900000</v>
      </c>
      <c r="R33" s="112" t="s">
        <v>351</v>
      </c>
      <c r="S33" s="3"/>
    </row>
    <row r="34" spans="1:19" ht="45" customHeight="1">
      <c r="A34" s="205">
        <v>23</v>
      </c>
      <c r="B34" s="193" t="s">
        <v>223</v>
      </c>
      <c r="C34" s="203">
        <v>13</v>
      </c>
      <c r="D34" s="203" t="s">
        <v>124</v>
      </c>
      <c r="E34" s="11"/>
      <c r="F34" s="11" t="s">
        <v>54</v>
      </c>
      <c r="G34" s="214"/>
      <c r="H34" s="214">
        <v>52050</v>
      </c>
      <c r="I34" s="214">
        <v>616.95000000000005</v>
      </c>
      <c r="J34" s="132"/>
      <c r="K34" s="13"/>
      <c r="L34" s="13"/>
      <c r="M34" s="13">
        <v>1250000</v>
      </c>
      <c r="N34" s="13">
        <v>300000</v>
      </c>
      <c r="O34" s="13">
        <v>200000</v>
      </c>
      <c r="P34" s="13"/>
      <c r="Q34" s="148">
        <f t="shared" si="0"/>
        <v>1750000</v>
      </c>
      <c r="R34" s="224" t="s">
        <v>352</v>
      </c>
    </row>
    <row r="35" spans="1:19" ht="24" customHeight="1">
      <c r="A35" s="345">
        <v>24</v>
      </c>
      <c r="B35" s="362" t="s">
        <v>226</v>
      </c>
      <c r="C35" s="203">
        <v>17</v>
      </c>
      <c r="D35" s="203" t="s">
        <v>74</v>
      </c>
      <c r="E35" s="11"/>
      <c r="F35" s="11" t="s">
        <v>75</v>
      </c>
      <c r="G35" s="214">
        <v>2040</v>
      </c>
      <c r="H35" s="214"/>
      <c r="I35" s="214"/>
      <c r="J35" s="9"/>
      <c r="K35" s="13"/>
      <c r="L35" s="13">
        <v>600000</v>
      </c>
      <c r="M35" s="13"/>
      <c r="N35" s="13"/>
      <c r="O35" s="13"/>
      <c r="P35" s="13"/>
      <c r="Q35" s="359">
        <f>SUM(L35:P36)</f>
        <v>1380000</v>
      </c>
      <c r="R35" s="112"/>
    </row>
    <row r="36" spans="1:19" ht="23.4" customHeight="1">
      <c r="A36" s="346"/>
      <c r="B36" s="363"/>
      <c r="C36" s="11">
        <v>4</v>
      </c>
      <c r="D36" s="203" t="s">
        <v>183</v>
      </c>
      <c r="E36" s="11"/>
      <c r="F36" s="11" t="s">
        <v>46</v>
      </c>
      <c r="G36" s="75"/>
      <c r="H36" s="228">
        <v>100000</v>
      </c>
      <c r="I36" s="228">
        <v>850</v>
      </c>
      <c r="J36" s="9"/>
      <c r="K36" s="13"/>
      <c r="L36" s="13"/>
      <c r="M36" s="13">
        <v>780000</v>
      </c>
      <c r="N36" s="13"/>
      <c r="O36" s="13"/>
      <c r="P36" s="13"/>
      <c r="Q36" s="361"/>
      <c r="R36" s="112"/>
    </row>
    <row r="37" spans="1:19" ht="23.4" customHeight="1">
      <c r="A37" s="345">
        <v>25</v>
      </c>
      <c r="B37" s="362" t="s">
        <v>227</v>
      </c>
      <c r="C37" s="203" t="s">
        <v>130</v>
      </c>
      <c r="D37" s="203" t="s">
        <v>164</v>
      </c>
      <c r="E37" s="11"/>
      <c r="F37" s="11" t="s">
        <v>63</v>
      </c>
      <c r="G37" s="75"/>
      <c r="H37" s="214">
        <v>24982</v>
      </c>
      <c r="I37" s="228">
        <v>588.98379999999997</v>
      </c>
      <c r="J37" s="9"/>
      <c r="K37" s="13"/>
      <c r="L37" s="13"/>
      <c r="M37" s="343">
        <v>1510000</v>
      </c>
      <c r="N37" s="13"/>
      <c r="O37" s="13"/>
      <c r="P37" s="13"/>
      <c r="Q37" s="359">
        <f>SUM(L37:P39)</f>
        <v>1510000</v>
      </c>
      <c r="R37" s="112" t="s">
        <v>51</v>
      </c>
    </row>
    <row r="38" spans="1:19" ht="23.4" customHeight="1">
      <c r="A38" s="351"/>
      <c r="B38" s="364"/>
      <c r="C38" s="11" t="s">
        <v>353</v>
      </c>
      <c r="D38" s="11" t="s">
        <v>157</v>
      </c>
      <c r="E38" s="11"/>
      <c r="F38" s="11" t="s">
        <v>64</v>
      </c>
      <c r="G38" s="75"/>
      <c r="H38" s="214">
        <v>50000</v>
      </c>
      <c r="I38" s="228">
        <v>300</v>
      </c>
      <c r="J38" s="9"/>
      <c r="K38" s="13"/>
      <c r="L38" s="13"/>
      <c r="M38" s="356"/>
      <c r="N38" s="13"/>
      <c r="O38" s="13"/>
      <c r="P38" s="13"/>
      <c r="Q38" s="360"/>
      <c r="R38" s="112"/>
    </row>
    <row r="39" spans="1:19" ht="23.4" customHeight="1">
      <c r="A39" s="346"/>
      <c r="B39" s="363"/>
      <c r="C39" s="203">
        <v>42</v>
      </c>
      <c r="D39" s="203" t="s">
        <v>354</v>
      </c>
      <c r="E39" s="11"/>
      <c r="F39" s="11" t="s">
        <v>52</v>
      </c>
      <c r="G39" s="75"/>
      <c r="H39" s="214">
        <v>36800</v>
      </c>
      <c r="I39" s="228">
        <v>496.8</v>
      </c>
      <c r="J39" s="9"/>
      <c r="K39" s="13"/>
      <c r="L39" s="13"/>
      <c r="M39" s="344"/>
      <c r="N39" s="13"/>
      <c r="O39" s="13"/>
      <c r="P39" s="13"/>
      <c r="Q39" s="361"/>
      <c r="R39" s="112"/>
    </row>
    <row r="40" spans="1:19" ht="22.8" customHeight="1">
      <c r="A40" s="205">
        <v>26</v>
      </c>
      <c r="B40" s="193" t="s">
        <v>227</v>
      </c>
      <c r="C40" s="203" t="s">
        <v>355</v>
      </c>
      <c r="D40" s="203" t="s">
        <v>68</v>
      </c>
      <c r="E40" s="11"/>
      <c r="F40" s="11" t="s">
        <v>61</v>
      </c>
      <c r="G40" s="214">
        <v>3080</v>
      </c>
      <c r="H40" s="75"/>
      <c r="I40" s="75"/>
      <c r="J40" s="9"/>
      <c r="K40" s="13"/>
      <c r="L40" s="13">
        <v>1150000</v>
      </c>
      <c r="M40" s="13"/>
      <c r="N40" s="13"/>
      <c r="O40" s="13"/>
      <c r="P40" s="13"/>
      <c r="Q40" s="148">
        <f t="shared" si="0"/>
        <v>1150000</v>
      </c>
      <c r="R40" s="223" t="s">
        <v>53</v>
      </c>
      <c r="S40" s="3"/>
    </row>
    <row r="41" spans="1:19" ht="23.4" customHeight="1">
      <c r="A41" s="205">
        <v>27</v>
      </c>
      <c r="B41" s="193" t="s">
        <v>229</v>
      </c>
      <c r="C41" s="11">
        <v>16</v>
      </c>
      <c r="D41" s="203" t="s">
        <v>116</v>
      </c>
      <c r="E41" s="11"/>
      <c r="F41" s="11" t="s">
        <v>109</v>
      </c>
      <c r="G41" s="75"/>
      <c r="H41" s="228">
        <v>295200</v>
      </c>
      <c r="I41" s="228">
        <v>2047.8240000000001</v>
      </c>
      <c r="J41" s="9"/>
      <c r="K41" s="13"/>
      <c r="L41" s="13"/>
      <c r="M41" s="13">
        <v>1950000</v>
      </c>
      <c r="N41" s="13"/>
      <c r="O41" s="13"/>
      <c r="P41" s="13"/>
      <c r="Q41" s="148">
        <f t="shared" si="0"/>
        <v>1950000</v>
      </c>
      <c r="R41" s="188"/>
    </row>
    <row r="42" spans="1:19" ht="23.4" customHeight="1">
      <c r="A42" s="345">
        <v>28</v>
      </c>
      <c r="B42" s="362" t="s">
        <v>231</v>
      </c>
      <c r="C42" s="203">
        <v>24</v>
      </c>
      <c r="D42" s="203" t="s">
        <v>84</v>
      </c>
      <c r="E42" s="11"/>
      <c r="F42" s="11" t="s">
        <v>69</v>
      </c>
      <c r="G42" s="75"/>
      <c r="H42" s="214">
        <v>18600</v>
      </c>
      <c r="I42" s="228">
        <v>392.08800000000002</v>
      </c>
      <c r="J42" s="9"/>
      <c r="K42" s="13"/>
      <c r="L42" s="13"/>
      <c r="M42" s="343">
        <v>780000</v>
      </c>
      <c r="N42" s="13"/>
      <c r="O42" s="13"/>
      <c r="P42" s="13"/>
      <c r="Q42" s="359">
        <f>SUM(L42:P43)</f>
        <v>780000</v>
      </c>
      <c r="R42" s="112" t="s">
        <v>51</v>
      </c>
    </row>
    <row r="43" spans="1:19" ht="23.4" customHeight="1">
      <c r="A43" s="346"/>
      <c r="B43" s="363"/>
      <c r="C43" s="203">
        <v>9</v>
      </c>
      <c r="D43" s="203" t="s">
        <v>356</v>
      </c>
      <c r="E43" s="11"/>
      <c r="F43" s="11" t="s">
        <v>87</v>
      </c>
      <c r="G43" s="75"/>
      <c r="H43" s="214">
        <v>4500</v>
      </c>
      <c r="I43" s="214">
        <v>535.5</v>
      </c>
      <c r="J43" s="9"/>
      <c r="K43" s="13"/>
      <c r="L43" s="13"/>
      <c r="M43" s="344"/>
      <c r="N43" s="13"/>
      <c r="O43" s="13"/>
      <c r="P43" s="13"/>
      <c r="Q43" s="361"/>
      <c r="R43" s="112"/>
    </row>
    <row r="44" spans="1:19" ht="23.4" customHeight="1">
      <c r="A44" s="205">
        <v>29</v>
      </c>
      <c r="B44" s="193" t="s">
        <v>231</v>
      </c>
      <c r="C44" s="11" t="s">
        <v>357</v>
      </c>
      <c r="D44" s="203" t="s">
        <v>68</v>
      </c>
      <c r="E44" s="11"/>
      <c r="F44" s="11" t="s">
        <v>61</v>
      </c>
      <c r="G44" s="75">
        <v>2500</v>
      </c>
      <c r="H44" s="228"/>
      <c r="I44" s="132"/>
      <c r="J44" s="9">
        <v>1293</v>
      </c>
      <c r="K44" s="13"/>
      <c r="L44" s="13">
        <v>1050000</v>
      </c>
      <c r="M44" s="13"/>
      <c r="N44" s="13"/>
      <c r="O44" s="13"/>
      <c r="P44" s="13">
        <f>J44*400</f>
        <v>517200</v>
      </c>
      <c r="Q44" s="148">
        <f t="shared" si="0"/>
        <v>1567200</v>
      </c>
      <c r="R44" s="112" t="s">
        <v>154</v>
      </c>
    </row>
    <row r="45" spans="1:19" ht="23.4" customHeight="1">
      <c r="A45" s="372">
        <v>30</v>
      </c>
      <c r="B45" s="374" t="s">
        <v>233</v>
      </c>
      <c r="C45" s="203">
        <v>20</v>
      </c>
      <c r="D45" s="203" t="s">
        <v>153</v>
      </c>
      <c r="E45" s="11"/>
      <c r="F45" s="11" t="s">
        <v>69</v>
      </c>
      <c r="G45" s="75">
        <v>369</v>
      </c>
      <c r="H45" s="214"/>
      <c r="I45" s="216"/>
      <c r="J45" s="9"/>
      <c r="K45" s="13"/>
      <c r="L45" s="13">
        <v>100000</v>
      </c>
      <c r="M45" s="13"/>
      <c r="N45" s="13"/>
      <c r="O45" s="13"/>
      <c r="P45" s="13"/>
      <c r="Q45" s="376">
        <f>SUM(L45:P46)</f>
        <v>1080000</v>
      </c>
      <c r="R45" s="112" t="s">
        <v>51</v>
      </c>
    </row>
    <row r="46" spans="1:19" ht="23.4" customHeight="1">
      <c r="A46" s="373"/>
      <c r="B46" s="375"/>
      <c r="C46" s="203">
        <v>22</v>
      </c>
      <c r="D46" s="203" t="s">
        <v>105</v>
      </c>
      <c r="E46" s="11"/>
      <c r="F46" s="11" t="s">
        <v>76</v>
      </c>
      <c r="G46" s="75"/>
      <c r="H46" s="214">
        <v>111200</v>
      </c>
      <c r="I46" s="228">
        <v>1209.44</v>
      </c>
      <c r="J46" s="9"/>
      <c r="K46" s="13"/>
      <c r="L46" s="13"/>
      <c r="M46" s="13">
        <v>980000</v>
      </c>
      <c r="N46" s="13"/>
      <c r="O46" s="13"/>
      <c r="P46" s="13"/>
      <c r="Q46" s="377"/>
      <c r="R46" s="112"/>
    </row>
    <row r="47" spans="1:19" ht="33" customHeight="1">
      <c r="A47" s="213">
        <v>31</v>
      </c>
      <c r="B47" s="193" t="s">
        <v>234</v>
      </c>
      <c r="C47" s="11" t="s">
        <v>358</v>
      </c>
      <c r="D47" s="203" t="s">
        <v>116</v>
      </c>
      <c r="E47" s="11"/>
      <c r="F47" s="11" t="s">
        <v>359</v>
      </c>
      <c r="G47" s="75"/>
      <c r="H47" s="228">
        <v>164780</v>
      </c>
      <c r="I47" s="228">
        <v>2994.84</v>
      </c>
      <c r="J47" s="9"/>
      <c r="K47" s="13"/>
      <c r="L47" s="13"/>
      <c r="M47" s="13">
        <v>1800000</v>
      </c>
      <c r="N47" s="13"/>
      <c r="O47" s="13">
        <v>500000</v>
      </c>
      <c r="P47" s="13"/>
      <c r="Q47" s="148">
        <f t="shared" si="0"/>
        <v>2300000</v>
      </c>
      <c r="R47" s="187" t="s">
        <v>360</v>
      </c>
    </row>
    <row r="48" spans="1:19" ht="25.8" customHeight="1">
      <c r="A48" s="205">
        <v>32</v>
      </c>
      <c r="B48" s="193" t="s">
        <v>235</v>
      </c>
      <c r="C48" s="203">
        <v>12</v>
      </c>
      <c r="D48" s="203" t="s">
        <v>361</v>
      </c>
      <c r="E48" s="11"/>
      <c r="F48" s="11" t="s">
        <v>135</v>
      </c>
      <c r="G48" s="75"/>
      <c r="H48" s="214">
        <v>228960</v>
      </c>
      <c r="I48" s="228">
        <v>1270.5552</v>
      </c>
      <c r="J48" s="9"/>
      <c r="K48" s="13"/>
      <c r="L48" s="13"/>
      <c r="M48" s="13">
        <v>1600000</v>
      </c>
      <c r="N48" s="13"/>
      <c r="O48" s="13"/>
      <c r="P48" s="13"/>
      <c r="Q48" s="148">
        <f t="shared" si="0"/>
        <v>1600000</v>
      </c>
      <c r="R48" s="188"/>
    </row>
    <row r="49" spans="1:19" ht="25.2" customHeight="1">
      <c r="A49" s="205">
        <v>33</v>
      </c>
      <c r="B49" s="193" t="s">
        <v>236</v>
      </c>
      <c r="C49" s="203" t="s">
        <v>165</v>
      </c>
      <c r="D49" s="203" t="s">
        <v>83</v>
      </c>
      <c r="E49" s="11"/>
      <c r="F49" s="11" t="s">
        <v>64</v>
      </c>
      <c r="G49" s="75"/>
      <c r="H49" s="214">
        <v>166230</v>
      </c>
      <c r="I49" s="228">
        <v>2153.9009999999998</v>
      </c>
      <c r="J49" s="9"/>
      <c r="K49" s="13"/>
      <c r="L49" s="13"/>
      <c r="M49" s="13">
        <v>1300000</v>
      </c>
      <c r="N49" s="13"/>
      <c r="O49" s="13"/>
      <c r="P49" s="13"/>
      <c r="Q49" s="148">
        <f t="shared" si="0"/>
        <v>1300000</v>
      </c>
      <c r="R49" s="224"/>
    </row>
    <row r="50" spans="1:19" ht="23.4" customHeight="1">
      <c r="A50" s="205">
        <v>34</v>
      </c>
      <c r="B50" s="193" t="s">
        <v>236</v>
      </c>
      <c r="C50" s="203">
        <v>45</v>
      </c>
      <c r="D50" s="203" t="s">
        <v>116</v>
      </c>
      <c r="E50" s="11"/>
      <c r="F50" s="11" t="s">
        <v>109</v>
      </c>
      <c r="G50" s="75"/>
      <c r="H50" s="214">
        <v>176340</v>
      </c>
      <c r="I50" s="228">
        <v>2397.9771999999998</v>
      </c>
      <c r="J50" s="9"/>
      <c r="K50" s="13"/>
      <c r="L50" s="13"/>
      <c r="M50" s="13">
        <v>1900000</v>
      </c>
      <c r="N50" s="13"/>
      <c r="O50" s="13">
        <v>200000</v>
      </c>
      <c r="P50" s="13"/>
      <c r="Q50" s="148">
        <f t="shared" si="0"/>
        <v>2100000</v>
      </c>
      <c r="R50" s="218" t="s">
        <v>100</v>
      </c>
    </row>
    <row r="51" spans="1:19" ht="23.4" customHeight="1">
      <c r="A51" s="205">
        <v>35</v>
      </c>
      <c r="B51" s="193" t="s">
        <v>239</v>
      </c>
      <c r="C51" s="203">
        <v>5</v>
      </c>
      <c r="D51" s="203" t="s">
        <v>70</v>
      </c>
      <c r="E51" s="11"/>
      <c r="F51" s="11" t="s">
        <v>76</v>
      </c>
      <c r="G51" s="132">
        <v>2880</v>
      </c>
      <c r="H51" s="214"/>
      <c r="I51" s="216"/>
      <c r="J51" s="9"/>
      <c r="K51" s="13"/>
      <c r="L51" s="13">
        <v>750000</v>
      </c>
      <c r="M51" s="13"/>
      <c r="N51" s="13"/>
      <c r="O51" s="13"/>
      <c r="P51" s="13"/>
      <c r="Q51" s="148">
        <f t="shared" si="0"/>
        <v>750000</v>
      </c>
      <c r="R51" s="112"/>
    </row>
    <row r="52" spans="1:19" ht="23.4" customHeight="1">
      <c r="A52" s="345">
        <v>36</v>
      </c>
      <c r="B52" s="362" t="s">
        <v>239</v>
      </c>
      <c r="C52" s="203">
        <v>26</v>
      </c>
      <c r="D52" s="203" t="s">
        <v>142</v>
      </c>
      <c r="E52" s="11"/>
      <c r="F52" s="11" t="s">
        <v>54</v>
      </c>
      <c r="G52" s="75"/>
      <c r="H52" s="214">
        <v>30600</v>
      </c>
      <c r="I52" s="228">
        <v>603.0915</v>
      </c>
      <c r="J52" s="9"/>
      <c r="K52" s="13"/>
      <c r="L52" s="13"/>
      <c r="M52" s="13">
        <v>550000</v>
      </c>
      <c r="N52" s="13"/>
      <c r="O52" s="13"/>
      <c r="P52" s="13"/>
      <c r="Q52" s="359">
        <f>SUM(L52:P53)</f>
        <v>1725600</v>
      </c>
      <c r="R52" s="112" t="s">
        <v>179</v>
      </c>
    </row>
    <row r="53" spans="1:19" ht="23.4" customHeight="1">
      <c r="A53" s="346"/>
      <c r="B53" s="363"/>
      <c r="C53" s="203">
        <v>40</v>
      </c>
      <c r="D53" s="203" t="s">
        <v>68</v>
      </c>
      <c r="E53" s="11"/>
      <c r="F53" s="11" t="s">
        <v>61</v>
      </c>
      <c r="G53" s="75">
        <v>2500</v>
      </c>
      <c r="H53" s="214"/>
      <c r="I53" s="216"/>
      <c r="J53" s="9">
        <v>989</v>
      </c>
      <c r="K53" s="13"/>
      <c r="L53" s="13">
        <v>780000</v>
      </c>
      <c r="M53" s="13"/>
      <c r="N53" s="13"/>
      <c r="O53" s="13"/>
      <c r="P53" s="13">
        <f>J53*400</f>
        <v>395600</v>
      </c>
      <c r="Q53" s="361"/>
      <c r="R53" s="112" t="s">
        <v>154</v>
      </c>
    </row>
    <row r="54" spans="1:19" ht="23.4" customHeight="1">
      <c r="A54" s="205">
        <v>37</v>
      </c>
      <c r="B54" s="193" t="s">
        <v>240</v>
      </c>
      <c r="C54" s="203">
        <v>12</v>
      </c>
      <c r="D54" s="203" t="s">
        <v>139</v>
      </c>
      <c r="E54" s="11"/>
      <c r="F54" s="11" t="s">
        <v>140</v>
      </c>
      <c r="G54" s="75">
        <v>4200</v>
      </c>
      <c r="H54" s="75"/>
      <c r="I54" s="75"/>
      <c r="J54" s="9"/>
      <c r="K54" s="13"/>
      <c r="L54" s="13">
        <v>2000000</v>
      </c>
      <c r="M54" s="13"/>
      <c r="N54" s="13"/>
      <c r="O54" s="13"/>
      <c r="P54" s="13"/>
      <c r="Q54" s="148">
        <f t="shared" si="0"/>
        <v>2000000</v>
      </c>
      <c r="R54" s="112"/>
    </row>
    <row r="55" spans="1:19" s="21" customFormat="1" ht="27" customHeight="1">
      <c r="A55" s="308" t="s">
        <v>20</v>
      </c>
      <c r="B55" s="308"/>
      <c r="C55" s="308"/>
      <c r="D55" s="308"/>
      <c r="E55" s="308"/>
      <c r="F55" s="308"/>
      <c r="G55" s="20">
        <f>SUM(G10:G54)</f>
        <v>50200</v>
      </c>
      <c r="H55" s="20">
        <f>SUM(H10:H54)</f>
        <v>4807182</v>
      </c>
      <c r="I55" s="20">
        <f>SUM(I10:I54)</f>
        <v>37314.513600000006</v>
      </c>
      <c r="J55" s="164">
        <f>SUM(J10:J54)</f>
        <v>6765</v>
      </c>
      <c r="K55" s="20">
        <f>SUM(K10:K54)</f>
        <v>0</v>
      </c>
      <c r="L55" s="20">
        <f>SUM(L8:L54)</f>
        <v>18480000</v>
      </c>
      <c r="M55" s="20">
        <f>SUM(M8:M54)</f>
        <v>32620000</v>
      </c>
      <c r="N55" s="20">
        <f>SUM(N10:N54)</f>
        <v>680000</v>
      </c>
      <c r="O55" s="20">
        <f>SUM(O8:O54)</f>
        <v>1120000</v>
      </c>
      <c r="P55" s="20">
        <f>SUM(P8:P54)</f>
        <v>3161200</v>
      </c>
      <c r="Q55" s="143">
        <f>SUM(Q8:Q54)</f>
        <v>56061200</v>
      </c>
      <c r="R55" s="100"/>
      <c r="S55" s="30"/>
    </row>
    <row r="56" spans="1:19" s="21" customFormat="1" ht="26.4" customHeight="1">
      <c r="A56" s="310" t="s">
        <v>21</v>
      </c>
      <c r="B56" s="310"/>
      <c r="C56" s="310"/>
      <c r="D56" s="310"/>
      <c r="E56" s="310"/>
      <c r="F56" s="310"/>
      <c r="G56" s="20"/>
      <c r="H56" s="20"/>
      <c r="I56" s="20"/>
      <c r="J56" s="164"/>
      <c r="K56" s="20"/>
      <c r="L56" s="20"/>
      <c r="M56" s="20"/>
      <c r="N56" s="20"/>
      <c r="O56" s="20"/>
      <c r="P56" s="20"/>
      <c r="Q56" s="20">
        <f>8%*Q55</f>
        <v>4484896</v>
      </c>
      <c r="R56" s="64"/>
      <c r="S56" s="229"/>
    </row>
    <row r="57" spans="1:19" s="21" customFormat="1" ht="21" customHeight="1">
      <c r="A57" s="310" t="s">
        <v>22</v>
      </c>
      <c r="B57" s="310"/>
      <c r="C57" s="310"/>
      <c r="D57" s="310"/>
      <c r="E57" s="310"/>
      <c r="F57" s="310"/>
      <c r="G57" s="20"/>
      <c r="H57" s="20"/>
      <c r="I57" s="20"/>
      <c r="J57" s="164"/>
      <c r="K57" s="20"/>
      <c r="L57" s="20"/>
      <c r="M57" s="20"/>
      <c r="N57" s="20"/>
      <c r="O57" s="20"/>
      <c r="P57" s="20"/>
      <c r="Q57" s="20">
        <f>Q56+Q55</f>
        <v>60546096</v>
      </c>
      <c r="R57" s="65"/>
    </row>
    <row r="58" spans="1:19" s="21" customFormat="1" ht="28.95" customHeight="1">
      <c r="A58" s="52"/>
      <c r="B58" s="101"/>
      <c r="C58" s="23"/>
      <c r="D58" s="23"/>
      <c r="E58" s="23"/>
      <c r="F58" s="23"/>
      <c r="G58" s="24"/>
      <c r="H58" s="24"/>
      <c r="I58" s="24"/>
      <c r="J58" s="165"/>
      <c r="K58" s="24"/>
      <c r="L58" s="24"/>
      <c r="M58" s="24"/>
      <c r="N58" s="24"/>
      <c r="O58" s="24"/>
      <c r="P58" s="24"/>
      <c r="Q58" s="24"/>
      <c r="R58" s="48"/>
      <c r="S58" s="26"/>
    </row>
    <row r="59" spans="1:19" s="21" customFormat="1" ht="24.6" customHeight="1">
      <c r="A59" s="307" t="s">
        <v>23</v>
      </c>
      <c r="B59" s="307"/>
      <c r="C59" s="307"/>
      <c r="D59" s="307"/>
      <c r="E59" s="307"/>
      <c r="F59" s="307"/>
      <c r="G59" s="27">
        <f>G55</f>
        <v>50200</v>
      </c>
      <c r="H59" s="27"/>
      <c r="I59" s="27"/>
      <c r="J59" s="166"/>
      <c r="K59" s="28">
        <f>G55+J55</f>
        <v>56965</v>
      </c>
      <c r="L59" s="27"/>
      <c r="M59" s="27"/>
      <c r="N59" s="27"/>
      <c r="O59" s="27"/>
      <c r="P59" s="27"/>
      <c r="Q59" s="27">
        <f>L55+N55</f>
        <v>19160000</v>
      </c>
      <c r="R59" s="68">
        <f>Q59/G59</f>
        <v>381.67330677290835</v>
      </c>
      <c r="S59" s="30"/>
    </row>
    <row r="60" spans="1:19" s="21" customFormat="1" ht="24.6" customHeight="1">
      <c r="A60" s="307" t="s">
        <v>24</v>
      </c>
      <c r="B60" s="307"/>
      <c r="C60" s="307"/>
      <c r="D60" s="307"/>
      <c r="E60" s="307"/>
      <c r="F60" s="307"/>
      <c r="G60" s="27"/>
      <c r="H60" s="27"/>
      <c r="I60" s="27">
        <f>I55</f>
        <v>37314.513600000006</v>
      </c>
      <c r="J60" s="166">
        <f>J55</f>
        <v>6765</v>
      </c>
      <c r="K60" s="27"/>
      <c r="L60" s="27"/>
      <c r="M60" s="27"/>
      <c r="N60" s="27"/>
      <c r="O60" s="27"/>
      <c r="P60" s="27"/>
      <c r="Q60" s="27">
        <f>M55+O55</f>
        <v>33740000</v>
      </c>
      <c r="R60" s="68">
        <f>Q60/I60</f>
        <v>904.20581014889592</v>
      </c>
      <c r="S60" s="30"/>
    </row>
    <row r="61" spans="1:19" s="21" customFormat="1" ht="24.6" customHeight="1">
      <c r="A61" s="307" t="s">
        <v>25</v>
      </c>
      <c r="B61" s="307"/>
      <c r="C61" s="307"/>
      <c r="D61" s="307"/>
      <c r="E61" s="307"/>
      <c r="F61" s="307"/>
      <c r="G61" s="27"/>
      <c r="H61" s="27"/>
      <c r="I61" s="27"/>
      <c r="J61" s="166"/>
      <c r="K61" s="27"/>
      <c r="L61" s="27"/>
      <c r="M61" s="27"/>
      <c r="N61" s="27"/>
      <c r="O61" s="27"/>
      <c r="P61" s="27">
        <f>J55</f>
        <v>6765</v>
      </c>
      <c r="Q61" s="27">
        <f>P55</f>
        <v>3161200</v>
      </c>
      <c r="R61" s="68">
        <f>Q61/P61</f>
        <v>467.28750923872877</v>
      </c>
      <c r="S61" s="30"/>
    </row>
    <row r="62" spans="1:19">
      <c r="B62" s="102"/>
      <c r="C62" s="3" t="s">
        <v>27</v>
      </c>
      <c r="D62" s="32"/>
      <c r="E62" s="33"/>
      <c r="F62" s="33"/>
      <c r="G62" s="34" t="s">
        <v>241</v>
      </c>
      <c r="H62" s="35"/>
      <c r="I62" s="35"/>
      <c r="J62" s="34"/>
      <c r="K62" s="36"/>
      <c r="L62" s="1"/>
      <c r="M62" s="1"/>
      <c r="N62" s="1"/>
      <c r="O62" s="1"/>
      <c r="P62" s="1"/>
      <c r="Q62" s="144" t="s">
        <v>28</v>
      </c>
    </row>
    <row r="63" spans="1:19" ht="18" customHeight="1">
      <c r="B63" s="102"/>
      <c r="D63" s="32"/>
      <c r="E63" s="37"/>
      <c r="F63" s="37"/>
      <c r="G63" s="38"/>
      <c r="H63" s="31"/>
      <c r="I63" s="32"/>
      <c r="J63" s="31"/>
      <c r="K63" s="32"/>
    </row>
    <row r="64" spans="1:19" s="8" customFormat="1" ht="18" customHeight="1">
      <c r="A64" s="1"/>
      <c r="B64" s="102"/>
      <c r="C64" s="3"/>
      <c r="D64" s="3"/>
      <c r="E64" s="3"/>
      <c r="F64" s="3"/>
      <c r="G64" s="39"/>
      <c r="J64" s="1"/>
      <c r="Q64" s="127"/>
      <c r="R64" s="3"/>
    </row>
    <row r="65" spans="2:18">
      <c r="B65" s="102"/>
      <c r="E65" s="37"/>
      <c r="F65" s="37"/>
      <c r="G65" s="38"/>
      <c r="H65" s="31"/>
      <c r="I65" s="32"/>
      <c r="J65" s="31"/>
      <c r="K65" s="32"/>
    </row>
    <row r="66" spans="2:18">
      <c r="H66" s="43"/>
      <c r="Q66" s="21"/>
    </row>
    <row r="67" spans="2:18">
      <c r="C67" s="45"/>
      <c r="G67" s="34" t="str">
        <f>'[1]A VIEN'!G71</f>
        <v>Đặng Thị Mỹ Tin</v>
      </c>
      <c r="H67" s="43"/>
      <c r="Q67" s="151" t="s">
        <v>118</v>
      </c>
    </row>
    <row r="69" spans="2:18">
      <c r="Q69" s="115" t="s">
        <v>57</v>
      </c>
    </row>
    <row r="70" spans="2:18">
      <c r="L70" s="7">
        <f>L55+'[1]A DANH'!L40+'[1]CHU HOANG'!L59+[1]HUNG!K50</f>
        <v>41390000</v>
      </c>
      <c r="N70" s="7">
        <f>N55+'[1]A DANH'!N40+'[1]CHU HOANG'!N59+[1]HUNG!O50</f>
        <v>3140000</v>
      </c>
      <c r="P70" s="7">
        <f>P55+'[1]A DANH'!P40+'[1]CHU HOANG'!P59</f>
        <v>6538000</v>
      </c>
      <c r="Q70" s="115">
        <f>Q55+'[1]A DANH'!Q40+'[1]CHU HOANG'!Q59+[1]HUNG!P50</f>
        <v>190325000</v>
      </c>
      <c r="R70" s="49"/>
    </row>
    <row r="71" spans="2:18">
      <c r="L71" s="7">
        <f>L70+N71</f>
        <v>44260000</v>
      </c>
      <c r="N71" s="7">
        <v>2870000</v>
      </c>
    </row>
  </sheetData>
  <mergeCells count="55"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A61:F61"/>
    <mergeCell ref="R5:R7"/>
    <mergeCell ref="H6:I6"/>
    <mergeCell ref="P5:P7"/>
    <mergeCell ref="E6:E7"/>
    <mergeCell ref="F6:F7"/>
    <mergeCell ref="Q5:Q7"/>
    <mergeCell ref="N5:O6"/>
    <mergeCell ref="A42:A43"/>
    <mergeCell ref="B42:B43"/>
    <mergeCell ref="Q42:Q43"/>
    <mergeCell ref="M42:M43"/>
    <mergeCell ref="A37:A39"/>
    <mergeCell ref="B37:B39"/>
    <mergeCell ref="M37:M39"/>
    <mergeCell ref="Q37:Q39"/>
    <mergeCell ref="A10:A11"/>
    <mergeCell ref="B10:B11"/>
    <mergeCell ref="M10:M11"/>
    <mergeCell ref="Q10:Q11"/>
    <mergeCell ref="A23:A24"/>
    <mergeCell ref="B23:B24"/>
    <mergeCell ref="Q23:Q24"/>
    <mergeCell ref="A27:A28"/>
    <mergeCell ref="B27:B28"/>
    <mergeCell ref="Q27:Q28"/>
    <mergeCell ref="A35:A36"/>
    <mergeCell ref="B35:B36"/>
    <mergeCell ref="Q35:Q36"/>
    <mergeCell ref="A31:A32"/>
    <mergeCell ref="B31:B32"/>
    <mergeCell ref="Q31:Q32"/>
    <mergeCell ref="A45:A46"/>
    <mergeCell ref="B45:B46"/>
    <mergeCell ref="Q45:Q46"/>
    <mergeCell ref="A52:A53"/>
    <mergeCell ref="B52:B53"/>
    <mergeCell ref="Q52:Q53"/>
    <mergeCell ref="A55:F55"/>
    <mergeCell ref="A56:F56"/>
    <mergeCell ref="A57:F57"/>
    <mergeCell ref="A59:F59"/>
    <mergeCell ref="A60:F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0"/>
  <sheetViews>
    <sheetView topLeftCell="D1" zoomScale="70" zoomScaleNormal="70" workbookViewId="0">
      <selection activeCell="J19" sqref="J19"/>
    </sheetView>
  </sheetViews>
  <sheetFormatPr defaultColWidth="9.109375" defaultRowHeight="13.8"/>
  <cols>
    <col min="1" max="1" width="8.44140625" style="1" customWidth="1"/>
    <col min="2" max="2" width="13.33203125" style="103" customWidth="1"/>
    <col min="3" max="3" width="12.77734375" style="3" customWidth="1"/>
    <col min="4" max="4" width="22.21875" style="3" customWidth="1"/>
    <col min="5" max="5" width="14.5546875" style="41" customWidth="1"/>
    <col min="6" max="6" width="20" style="42" customWidth="1"/>
    <col min="7" max="7" width="14.5546875" style="35" customWidth="1"/>
    <col min="8" max="8" width="15.88671875" style="46" customWidth="1"/>
    <col min="9" max="9" width="12.44140625" style="44" customWidth="1"/>
    <col min="10" max="10" width="14.33203125" style="72" customWidth="1"/>
    <col min="11" max="11" width="13.44140625" style="7" customWidth="1"/>
    <col min="12" max="12" width="16.6640625" style="7" customWidth="1"/>
    <col min="13" max="13" width="15.88671875" style="7" customWidth="1"/>
    <col min="14" max="15" width="13.6640625" style="7" customWidth="1"/>
    <col min="16" max="16" width="15.33203125" style="7" customWidth="1"/>
    <col min="17" max="17" width="16.6640625" style="115" customWidth="1"/>
    <col min="18" max="18" width="45" style="3" customWidth="1"/>
    <col min="19" max="19" width="25.33203125" style="3" customWidth="1"/>
    <col min="20" max="16384" width="9.109375" style="1"/>
  </cols>
  <sheetData>
    <row r="1" spans="1:19">
      <c r="A1" s="288" t="str">
        <f>'[1]A VIEN'!A1:Q1</f>
        <v xml:space="preserve">2025年12销路运费 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</row>
    <row r="2" spans="1:19" ht="17.399999999999999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</row>
    <row r="3" spans="1:19">
      <c r="A3" s="288" t="str">
        <f>'[1]A VIEN'!A3:Q3</f>
        <v xml:space="preserve"> THÁNG 12 NĂM 2025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</row>
    <row r="4" spans="1:19">
      <c r="A4" s="378" t="s">
        <v>121</v>
      </c>
      <c r="B4" s="378"/>
      <c r="C4" s="378"/>
      <c r="D4" s="2"/>
      <c r="E4" s="3"/>
      <c r="F4" s="3"/>
      <c r="G4" s="4"/>
      <c r="H4" s="5"/>
      <c r="I4" s="6"/>
      <c r="J4" s="6"/>
    </row>
    <row r="5" spans="1:19" ht="29.25" customHeight="1">
      <c r="A5" s="291" t="s">
        <v>1</v>
      </c>
      <c r="B5" s="326" t="s">
        <v>2</v>
      </c>
      <c r="C5" s="291" t="s">
        <v>3</v>
      </c>
      <c r="D5" s="291" t="s">
        <v>4</v>
      </c>
      <c r="E5" s="291" t="s">
        <v>5</v>
      </c>
      <c r="F5" s="291"/>
      <c r="G5" s="294" t="s">
        <v>6</v>
      </c>
      <c r="H5" s="295"/>
      <c r="I5" s="295"/>
      <c r="J5" s="379"/>
      <c r="K5" s="327" t="s">
        <v>7</v>
      </c>
      <c r="L5" s="299" t="s">
        <v>8</v>
      </c>
      <c r="M5" s="300"/>
      <c r="N5" s="322" t="s">
        <v>9</v>
      </c>
      <c r="O5" s="322"/>
      <c r="P5" s="303" t="s">
        <v>10</v>
      </c>
      <c r="Q5" s="322" t="s">
        <v>11</v>
      </c>
      <c r="R5" s="380" t="s">
        <v>12</v>
      </c>
    </row>
    <row r="6" spans="1:19" ht="23.25" customHeight="1">
      <c r="A6" s="291"/>
      <c r="B6" s="326"/>
      <c r="C6" s="291"/>
      <c r="D6" s="291"/>
      <c r="E6" s="291" t="s">
        <v>13</v>
      </c>
      <c r="F6" s="291" t="s">
        <v>14</v>
      </c>
      <c r="G6" s="231" t="s">
        <v>15</v>
      </c>
      <c r="H6" s="321" t="s">
        <v>16</v>
      </c>
      <c r="I6" s="321"/>
      <c r="J6" s="61" t="s">
        <v>17</v>
      </c>
      <c r="K6" s="327"/>
      <c r="L6" s="328"/>
      <c r="M6" s="329"/>
      <c r="N6" s="322"/>
      <c r="O6" s="322"/>
      <c r="P6" s="304"/>
      <c r="Q6" s="322"/>
      <c r="R6" s="380"/>
    </row>
    <row r="7" spans="1:19" ht="22.5" customHeight="1">
      <c r="A7" s="291"/>
      <c r="B7" s="326"/>
      <c r="C7" s="291"/>
      <c r="D7" s="291"/>
      <c r="E7" s="291"/>
      <c r="F7" s="291"/>
      <c r="G7" s="231" t="s">
        <v>18</v>
      </c>
      <c r="H7" s="226" t="s">
        <v>19</v>
      </c>
      <c r="I7" s="230" t="s">
        <v>18</v>
      </c>
      <c r="J7" s="61" t="s">
        <v>18</v>
      </c>
      <c r="K7" s="327"/>
      <c r="L7" s="231" t="s">
        <v>15</v>
      </c>
      <c r="M7" s="9" t="s">
        <v>16</v>
      </c>
      <c r="N7" s="231" t="s">
        <v>15</v>
      </c>
      <c r="O7" s="90" t="s">
        <v>16</v>
      </c>
      <c r="P7" s="323"/>
      <c r="Q7" s="322"/>
      <c r="R7" s="380"/>
    </row>
    <row r="8" spans="1:19" ht="27.6" customHeight="1">
      <c r="A8" s="205">
        <v>1</v>
      </c>
      <c r="B8" s="193" t="s">
        <v>189</v>
      </c>
      <c r="C8" s="203" t="s">
        <v>357</v>
      </c>
      <c r="D8" s="203" t="s">
        <v>82</v>
      </c>
      <c r="E8" s="11"/>
      <c r="F8" s="11" t="s">
        <v>66</v>
      </c>
      <c r="G8" s="75"/>
      <c r="H8" s="228">
        <v>369500</v>
      </c>
      <c r="I8" s="228">
        <v>5219.0780999999997</v>
      </c>
      <c r="J8" s="114"/>
      <c r="K8" s="205"/>
      <c r="L8" s="13"/>
      <c r="M8" s="12">
        <v>2150000</v>
      </c>
      <c r="N8" s="12"/>
      <c r="O8" s="12"/>
      <c r="P8" s="12"/>
      <c r="Q8" s="148">
        <f>SUM(L8:P8)</f>
        <v>2150000</v>
      </c>
      <c r="R8" s="237" t="s">
        <v>51</v>
      </c>
    </row>
    <row r="9" spans="1:19" ht="27.6" customHeight="1">
      <c r="A9" s="205">
        <v>2</v>
      </c>
      <c r="B9" s="193" t="s">
        <v>193</v>
      </c>
      <c r="C9" s="203">
        <v>8</v>
      </c>
      <c r="D9" s="203" t="s">
        <v>146</v>
      </c>
      <c r="E9" s="11"/>
      <c r="F9" s="11" t="s">
        <v>110</v>
      </c>
      <c r="G9" s="75"/>
      <c r="H9" s="228">
        <v>256000</v>
      </c>
      <c r="I9" s="228"/>
      <c r="J9" s="114"/>
      <c r="K9" s="205"/>
      <c r="L9" s="13"/>
      <c r="M9" s="13">
        <v>2450000</v>
      </c>
      <c r="N9" s="12"/>
      <c r="O9" s="12">
        <v>1225000</v>
      </c>
      <c r="P9" s="12"/>
      <c r="Q9" s="148">
        <f t="shared" ref="Q9:Q39" si="0">SUM(L9:P9)</f>
        <v>3675000</v>
      </c>
      <c r="R9" s="218" t="s">
        <v>362</v>
      </c>
    </row>
    <row r="10" spans="1:19" ht="27.6" customHeight="1">
      <c r="A10" s="205">
        <v>2</v>
      </c>
      <c r="B10" s="193" t="s">
        <v>193</v>
      </c>
      <c r="C10" s="11" t="s">
        <v>363</v>
      </c>
      <c r="D10" s="203" t="s">
        <v>86</v>
      </c>
      <c r="E10" s="11"/>
      <c r="F10" s="11" t="s">
        <v>95</v>
      </c>
      <c r="G10" s="75"/>
      <c r="H10" s="228">
        <v>406800</v>
      </c>
      <c r="I10" s="228">
        <v>4770.7380000000003</v>
      </c>
      <c r="J10" s="114"/>
      <c r="K10" s="205"/>
      <c r="L10" s="13"/>
      <c r="M10" s="13">
        <v>2600000</v>
      </c>
      <c r="N10" s="12"/>
      <c r="O10" s="12">
        <v>200000</v>
      </c>
      <c r="P10" s="12"/>
      <c r="Q10" s="148">
        <f t="shared" si="0"/>
        <v>2800000</v>
      </c>
      <c r="R10" s="79" t="s">
        <v>188</v>
      </c>
    </row>
    <row r="11" spans="1:19" ht="27.6" customHeight="1">
      <c r="A11" s="205">
        <v>3</v>
      </c>
      <c r="B11" s="193" t="s">
        <v>194</v>
      </c>
      <c r="C11" s="203">
        <v>11</v>
      </c>
      <c r="D11" s="203" t="s">
        <v>93</v>
      </c>
      <c r="E11" s="11"/>
      <c r="F11" s="11" t="s">
        <v>46</v>
      </c>
      <c r="G11" s="75"/>
      <c r="H11" s="228">
        <v>134400</v>
      </c>
      <c r="I11" s="228">
        <v>2782.08</v>
      </c>
      <c r="J11" s="89"/>
      <c r="K11" s="205"/>
      <c r="L11" s="13"/>
      <c r="M11" s="13">
        <v>1900000</v>
      </c>
      <c r="N11" s="17"/>
      <c r="O11" s="17"/>
      <c r="P11" s="17"/>
      <c r="Q11" s="148">
        <f t="shared" si="0"/>
        <v>1900000</v>
      </c>
      <c r="R11" s="130"/>
    </row>
    <row r="12" spans="1:19" ht="27.6" customHeight="1">
      <c r="A12" s="205">
        <v>4</v>
      </c>
      <c r="B12" s="193" t="s">
        <v>196</v>
      </c>
      <c r="C12" s="203" t="s">
        <v>364</v>
      </c>
      <c r="D12" s="203" t="s">
        <v>82</v>
      </c>
      <c r="E12" s="11"/>
      <c r="F12" s="11" t="s">
        <v>66</v>
      </c>
      <c r="G12" s="75"/>
      <c r="H12" s="228">
        <v>107520</v>
      </c>
      <c r="I12" s="228">
        <v>2737.0349000000001</v>
      </c>
      <c r="J12" s="89"/>
      <c r="K12" s="205"/>
      <c r="L12" s="13"/>
      <c r="M12" s="13">
        <v>2150000</v>
      </c>
      <c r="N12" s="17"/>
      <c r="O12" s="17"/>
      <c r="P12" s="17"/>
      <c r="Q12" s="148">
        <f t="shared" si="0"/>
        <v>2150000</v>
      </c>
      <c r="R12" s="130" t="s">
        <v>51</v>
      </c>
    </row>
    <row r="13" spans="1:19" ht="27.6" customHeight="1">
      <c r="A13" s="205">
        <v>5</v>
      </c>
      <c r="B13" s="193" t="s">
        <v>344</v>
      </c>
      <c r="C13" s="203" t="s">
        <v>365</v>
      </c>
      <c r="D13" s="203" t="s">
        <v>160</v>
      </c>
      <c r="E13" s="11"/>
      <c r="F13" s="11" t="s">
        <v>161</v>
      </c>
      <c r="G13" s="75"/>
      <c r="H13" s="228">
        <v>600300</v>
      </c>
      <c r="I13" s="228">
        <v>4042.5803000000001</v>
      </c>
      <c r="J13" s="114"/>
      <c r="K13" s="205"/>
      <c r="L13" s="13"/>
      <c r="M13" s="13">
        <v>2700000</v>
      </c>
      <c r="N13" s="19"/>
      <c r="O13" s="19"/>
      <c r="P13" s="16"/>
      <c r="Q13" s="148">
        <f t="shared" si="0"/>
        <v>2700000</v>
      </c>
      <c r="R13" s="79"/>
    </row>
    <row r="14" spans="1:19" ht="27.6" customHeight="1">
      <c r="A14" s="205">
        <v>6</v>
      </c>
      <c r="B14" s="193" t="s">
        <v>199</v>
      </c>
      <c r="C14" s="203" t="s">
        <v>366</v>
      </c>
      <c r="D14" s="203" t="s">
        <v>93</v>
      </c>
      <c r="E14" s="11"/>
      <c r="F14" s="11" t="s">
        <v>46</v>
      </c>
      <c r="G14" s="75"/>
      <c r="H14" s="228">
        <v>229100</v>
      </c>
      <c r="I14" s="228">
        <v>3683.4351000000001</v>
      </c>
      <c r="J14" s="114"/>
      <c r="K14" s="205"/>
      <c r="L14" s="13"/>
      <c r="M14" s="13">
        <v>1950000</v>
      </c>
      <c r="N14" s="13"/>
      <c r="O14" s="13"/>
      <c r="P14" s="16"/>
      <c r="Q14" s="148">
        <f t="shared" si="0"/>
        <v>1950000</v>
      </c>
      <c r="R14" s="79" t="s">
        <v>51</v>
      </c>
    </row>
    <row r="15" spans="1:19" ht="27.6" customHeight="1">
      <c r="A15" s="205">
        <v>7</v>
      </c>
      <c r="B15" s="193" t="s">
        <v>201</v>
      </c>
      <c r="C15" s="203">
        <v>3</v>
      </c>
      <c r="D15" s="203" t="s">
        <v>146</v>
      </c>
      <c r="E15" s="11"/>
      <c r="F15" s="11" t="s">
        <v>110</v>
      </c>
      <c r="G15" s="75"/>
      <c r="H15" s="228">
        <v>256000</v>
      </c>
      <c r="I15" s="75"/>
      <c r="J15" s="114"/>
      <c r="K15" s="205"/>
      <c r="L15" s="13"/>
      <c r="M15" s="13">
        <v>2450000</v>
      </c>
      <c r="N15" s="13"/>
      <c r="O15" s="13">
        <v>700000</v>
      </c>
      <c r="P15" s="16"/>
      <c r="Q15" s="148">
        <f t="shared" si="0"/>
        <v>3150000</v>
      </c>
      <c r="R15" s="218" t="s">
        <v>367</v>
      </c>
    </row>
    <row r="16" spans="1:19" ht="27.6" customHeight="1">
      <c r="A16" s="205">
        <v>8</v>
      </c>
      <c r="B16" s="193" t="s">
        <v>203</v>
      </c>
      <c r="C16" s="11" t="s">
        <v>155</v>
      </c>
      <c r="D16" s="203" t="s">
        <v>82</v>
      </c>
      <c r="E16" s="11"/>
      <c r="F16" s="11" t="s">
        <v>66</v>
      </c>
      <c r="G16" s="75"/>
      <c r="H16" s="228">
        <v>240700</v>
      </c>
      <c r="I16" s="228">
        <v>4707.8680999999997</v>
      </c>
      <c r="J16" s="89"/>
      <c r="K16" s="205"/>
      <c r="L16" s="13"/>
      <c r="M16" s="13">
        <v>2100000</v>
      </c>
      <c r="N16" s="13"/>
      <c r="O16" s="13"/>
      <c r="P16" s="16"/>
      <c r="Q16" s="148">
        <f t="shared" si="0"/>
        <v>2100000</v>
      </c>
      <c r="R16" s="186"/>
    </row>
    <row r="17" spans="1:19" ht="27.6" customHeight="1">
      <c r="A17" s="205">
        <v>9</v>
      </c>
      <c r="B17" s="193" t="s">
        <v>206</v>
      </c>
      <c r="C17" s="203" t="s">
        <v>368</v>
      </c>
      <c r="D17" s="203" t="s">
        <v>86</v>
      </c>
      <c r="E17" s="11"/>
      <c r="F17" s="11" t="s">
        <v>95</v>
      </c>
      <c r="G17" s="75"/>
      <c r="H17" s="214">
        <v>350000</v>
      </c>
      <c r="I17" s="214">
        <v>5235.0522000000001</v>
      </c>
      <c r="J17" s="89"/>
      <c r="K17" s="205"/>
      <c r="L17" s="13"/>
      <c r="M17" s="13">
        <v>2650000</v>
      </c>
      <c r="N17" s="13"/>
      <c r="O17" s="13"/>
      <c r="P17" s="16"/>
      <c r="Q17" s="148">
        <f t="shared" si="0"/>
        <v>2650000</v>
      </c>
      <c r="R17" s="186"/>
    </row>
    <row r="18" spans="1:19" ht="27.6" customHeight="1">
      <c r="A18" s="205">
        <v>10</v>
      </c>
      <c r="B18" s="193" t="s">
        <v>207</v>
      </c>
      <c r="C18" s="203" t="s">
        <v>269</v>
      </c>
      <c r="D18" s="203" t="s">
        <v>93</v>
      </c>
      <c r="E18" s="11"/>
      <c r="F18" s="11" t="s">
        <v>46</v>
      </c>
      <c r="G18" s="75"/>
      <c r="H18" s="214">
        <v>140480</v>
      </c>
      <c r="I18" s="214">
        <v>2143.136</v>
      </c>
      <c r="J18" s="89"/>
      <c r="K18" s="205"/>
      <c r="L18" s="13"/>
      <c r="M18" s="13">
        <v>1900000</v>
      </c>
      <c r="N18" s="13"/>
      <c r="O18" s="13"/>
      <c r="P18" s="16"/>
      <c r="Q18" s="148">
        <f t="shared" si="0"/>
        <v>1900000</v>
      </c>
      <c r="R18" s="186"/>
    </row>
    <row r="19" spans="1:19" ht="27.6" customHeight="1">
      <c r="A19" s="205">
        <v>11</v>
      </c>
      <c r="B19" s="193" t="s">
        <v>210</v>
      </c>
      <c r="C19" s="203">
        <v>52</v>
      </c>
      <c r="D19" s="203" t="s">
        <v>178</v>
      </c>
      <c r="E19" s="11"/>
      <c r="F19" s="11" t="s">
        <v>33</v>
      </c>
      <c r="G19" s="75"/>
      <c r="H19" s="214">
        <v>116666</v>
      </c>
      <c r="I19" s="214">
        <v>2823</v>
      </c>
      <c r="J19" s="89"/>
      <c r="K19" s="205"/>
      <c r="L19" s="13"/>
      <c r="M19" s="13">
        <v>1450000</v>
      </c>
      <c r="N19" s="13"/>
      <c r="O19" s="13"/>
      <c r="P19" s="16"/>
      <c r="Q19" s="148">
        <f t="shared" si="0"/>
        <v>1450000</v>
      </c>
      <c r="R19" s="186"/>
    </row>
    <row r="20" spans="1:19" ht="27.6" customHeight="1">
      <c r="A20" s="205">
        <v>12</v>
      </c>
      <c r="B20" s="193" t="s">
        <v>210</v>
      </c>
      <c r="C20" s="232" t="s">
        <v>369</v>
      </c>
      <c r="D20" s="131" t="s">
        <v>68</v>
      </c>
      <c r="E20" s="11"/>
      <c r="F20" s="11" t="s">
        <v>61</v>
      </c>
      <c r="G20" s="75">
        <v>9000</v>
      </c>
      <c r="H20" s="228"/>
      <c r="I20" s="228"/>
      <c r="J20" s="114"/>
      <c r="K20" s="205"/>
      <c r="L20" s="13">
        <v>2100000</v>
      </c>
      <c r="M20" s="13"/>
      <c r="N20" s="19"/>
      <c r="O20" s="19"/>
      <c r="P20" s="19"/>
      <c r="Q20" s="148">
        <f t="shared" si="0"/>
        <v>2100000</v>
      </c>
      <c r="R20" s="130" t="s">
        <v>53</v>
      </c>
    </row>
    <row r="21" spans="1:19" ht="27.6" customHeight="1">
      <c r="A21" s="205">
        <v>13</v>
      </c>
      <c r="B21" s="193" t="s">
        <v>210</v>
      </c>
      <c r="C21" s="203" t="s">
        <v>370</v>
      </c>
      <c r="D21" s="203" t="s">
        <v>86</v>
      </c>
      <c r="E21" s="11"/>
      <c r="F21" s="11" t="s">
        <v>95</v>
      </c>
      <c r="G21" s="75"/>
      <c r="H21" s="214">
        <v>1323000</v>
      </c>
      <c r="I21" s="214">
        <v>3938.5171999999998</v>
      </c>
      <c r="J21" s="75"/>
      <c r="K21" s="205"/>
      <c r="L21" s="13"/>
      <c r="M21" s="13">
        <v>2600000</v>
      </c>
      <c r="N21" s="19"/>
      <c r="O21" s="12">
        <v>200000</v>
      </c>
      <c r="P21" s="19"/>
      <c r="Q21" s="148">
        <f t="shared" si="0"/>
        <v>2800000</v>
      </c>
      <c r="R21" s="234" t="s">
        <v>186</v>
      </c>
    </row>
    <row r="22" spans="1:19" ht="27.6" customHeight="1">
      <c r="A22" s="205">
        <v>14</v>
      </c>
      <c r="B22" s="193" t="s">
        <v>215</v>
      </c>
      <c r="C22" s="203">
        <v>13</v>
      </c>
      <c r="D22" s="203" t="s">
        <v>146</v>
      </c>
      <c r="E22" s="11"/>
      <c r="F22" s="11" t="s">
        <v>110</v>
      </c>
      <c r="G22" s="75"/>
      <c r="H22" s="214">
        <v>227000</v>
      </c>
      <c r="I22" s="214">
        <v>2014.5796</v>
      </c>
      <c r="J22" s="75"/>
      <c r="K22" s="205"/>
      <c r="L22" s="13"/>
      <c r="M22" s="13">
        <v>2450000</v>
      </c>
      <c r="N22" s="19"/>
      <c r="O22" s="12"/>
      <c r="P22" s="19"/>
      <c r="Q22" s="148">
        <f t="shared" si="0"/>
        <v>2450000</v>
      </c>
      <c r="R22" s="234"/>
    </row>
    <row r="23" spans="1:19" ht="27.6" customHeight="1">
      <c r="A23" s="205">
        <v>15</v>
      </c>
      <c r="B23" s="193" t="s">
        <v>217</v>
      </c>
      <c r="C23" s="203">
        <v>18</v>
      </c>
      <c r="D23" s="203" t="s">
        <v>86</v>
      </c>
      <c r="E23" s="11"/>
      <c r="F23" s="11" t="s">
        <v>95</v>
      </c>
      <c r="G23" s="75"/>
      <c r="H23" s="214">
        <v>1315800</v>
      </c>
      <c r="I23" s="214">
        <v>2256.61</v>
      </c>
      <c r="J23" s="75"/>
      <c r="K23" s="205"/>
      <c r="L23" s="13"/>
      <c r="M23" s="13">
        <v>2650000</v>
      </c>
      <c r="N23" s="13"/>
      <c r="O23" s="13"/>
      <c r="P23" s="19"/>
      <c r="Q23" s="148">
        <f t="shared" si="0"/>
        <v>2650000</v>
      </c>
      <c r="R23" s="234"/>
    </row>
    <row r="24" spans="1:19" ht="27.6" customHeight="1">
      <c r="A24" s="205">
        <v>16</v>
      </c>
      <c r="B24" s="193" t="s">
        <v>218</v>
      </c>
      <c r="C24" s="11">
        <v>17</v>
      </c>
      <c r="D24" s="203" t="s">
        <v>70</v>
      </c>
      <c r="E24" s="11"/>
      <c r="F24" s="11" t="s">
        <v>76</v>
      </c>
      <c r="G24" s="75">
        <v>7930</v>
      </c>
      <c r="H24" s="75"/>
      <c r="I24" s="221"/>
      <c r="J24" s="75"/>
      <c r="K24" s="205"/>
      <c r="L24" s="13">
        <v>950000</v>
      </c>
      <c r="M24" s="13"/>
      <c r="N24" s="13"/>
      <c r="O24" s="13"/>
      <c r="P24" s="19"/>
      <c r="Q24" s="148">
        <f t="shared" si="0"/>
        <v>950000</v>
      </c>
      <c r="R24" s="234"/>
    </row>
    <row r="25" spans="1:19" ht="27.6" customHeight="1">
      <c r="A25" s="205">
        <v>17</v>
      </c>
      <c r="B25" s="193" t="s">
        <v>218</v>
      </c>
      <c r="C25" s="203">
        <v>23</v>
      </c>
      <c r="D25" s="203" t="s">
        <v>86</v>
      </c>
      <c r="E25" s="11"/>
      <c r="F25" s="11" t="s">
        <v>95</v>
      </c>
      <c r="G25" s="75"/>
      <c r="H25" s="214">
        <v>237000</v>
      </c>
      <c r="I25" s="214">
        <v>1422</v>
      </c>
      <c r="J25" s="75"/>
      <c r="K25" s="205"/>
      <c r="L25" s="13"/>
      <c r="M25" s="13">
        <v>2600000</v>
      </c>
      <c r="N25" s="13"/>
      <c r="O25" s="13"/>
      <c r="P25" s="19"/>
      <c r="Q25" s="148">
        <f t="shared" si="0"/>
        <v>2600000</v>
      </c>
      <c r="R25" s="234" t="s">
        <v>53</v>
      </c>
      <c r="S25" s="218"/>
    </row>
    <row r="26" spans="1:19" ht="27.6" customHeight="1">
      <c r="A26" s="205">
        <v>18</v>
      </c>
      <c r="B26" s="193" t="s">
        <v>259</v>
      </c>
      <c r="C26" s="203" t="s">
        <v>171</v>
      </c>
      <c r="D26" s="203" t="s">
        <v>93</v>
      </c>
      <c r="E26" s="11"/>
      <c r="F26" s="11" t="s">
        <v>46</v>
      </c>
      <c r="G26" s="75"/>
      <c r="H26" s="214">
        <v>173200</v>
      </c>
      <c r="I26" s="214">
        <v>3406.7419</v>
      </c>
      <c r="J26" s="114"/>
      <c r="K26" s="234"/>
      <c r="L26" s="13"/>
      <c r="M26" s="13">
        <v>1950000</v>
      </c>
      <c r="N26" s="10"/>
      <c r="O26" s="17"/>
      <c r="P26" s="19"/>
      <c r="Q26" s="148">
        <f t="shared" si="0"/>
        <v>1950000</v>
      </c>
      <c r="R26" s="186" t="s">
        <v>51</v>
      </c>
    </row>
    <row r="27" spans="1:19" ht="27.6" customHeight="1">
      <c r="A27" s="205">
        <v>19</v>
      </c>
      <c r="B27" s="193" t="s">
        <v>221</v>
      </c>
      <c r="C27" s="203">
        <v>4</v>
      </c>
      <c r="D27" s="203" t="s">
        <v>93</v>
      </c>
      <c r="E27" s="11"/>
      <c r="F27" s="11" t="s">
        <v>46</v>
      </c>
      <c r="G27" s="75"/>
      <c r="H27" s="214">
        <v>134400</v>
      </c>
      <c r="I27" s="214">
        <v>2782.08</v>
      </c>
      <c r="J27" s="114"/>
      <c r="K27" s="234"/>
      <c r="L27" s="13"/>
      <c r="M27" s="13">
        <v>1900000</v>
      </c>
      <c r="N27" s="19"/>
      <c r="O27" s="19"/>
      <c r="P27" s="19"/>
      <c r="Q27" s="148">
        <f t="shared" si="0"/>
        <v>1900000</v>
      </c>
      <c r="R27" s="186"/>
    </row>
    <row r="28" spans="1:19" ht="27.6" customHeight="1">
      <c r="A28" s="205">
        <v>20</v>
      </c>
      <c r="B28" s="193" t="s">
        <v>221</v>
      </c>
      <c r="C28" s="11" t="s">
        <v>371</v>
      </c>
      <c r="D28" s="203" t="s">
        <v>86</v>
      </c>
      <c r="E28" s="11"/>
      <c r="F28" s="11" t="s">
        <v>95</v>
      </c>
      <c r="G28" s="75"/>
      <c r="H28" s="228">
        <v>297200</v>
      </c>
      <c r="I28" s="228">
        <v>3243.4695000000002</v>
      </c>
      <c r="J28" s="114"/>
      <c r="K28" s="205"/>
      <c r="L28" s="13"/>
      <c r="M28" s="13">
        <v>2650000</v>
      </c>
      <c r="N28" s="17"/>
      <c r="O28" s="17"/>
      <c r="P28" s="17"/>
      <c r="Q28" s="148">
        <f t="shared" si="0"/>
        <v>2650000</v>
      </c>
      <c r="R28" s="186" t="s">
        <v>104</v>
      </c>
    </row>
    <row r="29" spans="1:19" ht="27.6" customHeight="1">
      <c r="A29" s="205">
        <v>21</v>
      </c>
      <c r="B29" s="193" t="s">
        <v>223</v>
      </c>
      <c r="C29" s="203" t="s">
        <v>168</v>
      </c>
      <c r="D29" s="203" t="s">
        <v>68</v>
      </c>
      <c r="E29" s="11"/>
      <c r="F29" s="11" t="s">
        <v>61</v>
      </c>
      <c r="G29" s="75">
        <v>6500</v>
      </c>
      <c r="H29" s="75"/>
      <c r="I29" s="75"/>
      <c r="J29" s="149">
        <v>2207</v>
      </c>
      <c r="K29" s="205"/>
      <c r="L29" s="13">
        <v>1650000</v>
      </c>
      <c r="M29" s="13"/>
      <c r="N29" s="17"/>
      <c r="O29" s="17"/>
      <c r="P29" s="17">
        <f>J29*400</f>
        <v>882800</v>
      </c>
      <c r="Q29" s="148">
        <f t="shared" si="0"/>
        <v>2532800</v>
      </c>
      <c r="R29" s="51" t="s">
        <v>138</v>
      </c>
    </row>
    <row r="30" spans="1:19" ht="27.6" customHeight="1">
      <c r="A30" s="345">
        <v>22</v>
      </c>
      <c r="B30" s="362" t="s">
        <v>226</v>
      </c>
      <c r="C30" s="11" t="s">
        <v>130</v>
      </c>
      <c r="D30" s="203" t="s">
        <v>354</v>
      </c>
      <c r="E30" s="11"/>
      <c r="F30" s="11" t="s">
        <v>52</v>
      </c>
      <c r="G30" s="75"/>
      <c r="H30" s="228">
        <v>56200</v>
      </c>
      <c r="I30" s="228">
        <v>886.8</v>
      </c>
      <c r="J30" s="75"/>
      <c r="K30" s="10"/>
      <c r="L30" s="13"/>
      <c r="M30" s="343">
        <v>2000000</v>
      </c>
      <c r="N30" s="17"/>
      <c r="O30" s="17"/>
      <c r="P30" s="17"/>
      <c r="Q30" s="359">
        <f>SUM(L30:P31)</f>
        <v>2000000</v>
      </c>
      <c r="R30" s="202"/>
      <c r="S30" s="258"/>
    </row>
    <row r="31" spans="1:19" ht="27.6" customHeight="1">
      <c r="A31" s="346"/>
      <c r="B31" s="363"/>
      <c r="C31" s="11" t="s">
        <v>353</v>
      </c>
      <c r="D31" s="203" t="s">
        <v>83</v>
      </c>
      <c r="E31" s="11"/>
      <c r="F31" s="11" t="s">
        <v>64</v>
      </c>
      <c r="G31" s="132"/>
      <c r="H31" s="214">
        <v>265200</v>
      </c>
      <c r="I31" s="228">
        <v>3460.3092000000001</v>
      </c>
      <c r="J31" s="75"/>
      <c r="K31" s="10"/>
      <c r="L31" s="13"/>
      <c r="M31" s="344"/>
      <c r="N31" s="13"/>
      <c r="O31" s="13"/>
      <c r="P31" s="16"/>
      <c r="Q31" s="361"/>
      <c r="R31" s="234"/>
    </row>
    <row r="32" spans="1:19" ht="28.2" customHeight="1">
      <c r="A32" s="205">
        <v>23</v>
      </c>
      <c r="B32" s="193" t="s">
        <v>226</v>
      </c>
      <c r="C32" s="11" t="s">
        <v>372</v>
      </c>
      <c r="D32" s="203" t="s">
        <v>86</v>
      </c>
      <c r="E32" s="11"/>
      <c r="F32" s="11" t="s">
        <v>95</v>
      </c>
      <c r="G32" s="132"/>
      <c r="H32" s="214">
        <v>300600</v>
      </c>
      <c r="I32" s="228">
        <v>4826.5923000000003</v>
      </c>
      <c r="J32" s="75"/>
      <c r="K32" s="10"/>
      <c r="L32" s="13"/>
      <c r="M32" s="13">
        <v>2600000</v>
      </c>
      <c r="N32" s="17"/>
      <c r="O32" s="17">
        <v>200000</v>
      </c>
      <c r="P32" s="17"/>
      <c r="Q32" s="148">
        <f t="shared" si="0"/>
        <v>2800000</v>
      </c>
      <c r="R32" s="234" t="s">
        <v>188</v>
      </c>
    </row>
    <row r="33" spans="1:19" ht="27.6" customHeight="1">
      <c r="A33" s="205">
        <v>24</v>
      </c>
      <c r="B33" s="193" t="s">
        <v>227</v>
      </c>
      <c r="C33" s="203">
        <v>30</v>
      </c>
      <c r="D33" s="203" t="s">
        <v>145</v>
      </c>
      <c r="E33" s="11"/>
      <c r="F33" s="11" t="s">
        <v>77</v>
      </c>
      <c r="G33" s="75"/>
      <c r="H33" s="214">
        <v>240000</v>
      </c>
      <c r="I33" s="214">
        <v>4080.6648</v>
      </c>
      <c r="J33" s="10"/>
      <c r="K33" s="10"/>
      <c r="L33" s="13"/>
      <c r="M33" s="13">
        <v>2150000</v>
      </c>
      <c r="N33" s="17"/>
      <c r="O33" s="17"/>
      <c r="P33" s="17"/>
      <c r="Q33" s="148">
        <f t="shared" si="0"/>
        <v>2150000</v>
      </c>
      <c r="R33" s="79"/>
    </row>
    <row r="34" spans="1:19" ht="27.6" customHeight="1">
      <c r="A34" s="205">
        <v>25</v>
      </c>
      <c r="B34" s="193" t="s">
        <v>229</v>
      </c>
      <c r="C34" s="203" t="s">
        <v>151</v>
      </c>
      <c r="D34" s="203" t="s">
        <v>93</v>
      </c>
      <c r="E34" s="11"/>
      <c r="F34" s="11" t="s">
        <v>46</v>
      </c>
      <c r="G34" s="75"/>
      <c r="H34" s="214">
        <v>207060</v>
      </c>
      <c r="I34" s="214">
        <v>4266.6782000000003</v>
      </c>
      <c r="J34" s="53"/>
      <c r="K34" s="10"/>
      <c r="L34" s="13"/>
      <c r="M34" s="13">
        <v>1950000</v>
      </c>
      <c r="N34" s="205"/>
      <c r="O34" s="10"/>
      <c r="P34" s="16"/>
      <c r="Q34" s="148">
        <f t="shared" si="0"/>
        <v>1950000</v>
      </c>
      <c r="R34" s="130" t="s">
        <v>51</v>
      </c>
    </row>
    <row r="35" spans="1:19" ht="27.6" customHeight="1">
      <c r="A35" s="205">
        <v>26</v>
      </c>
      <c r="B35" s="235" t="s">
        <v>231</v>
      </c>
      <c r="C35" s="203">
        <v>10</v>
      </c>
      <c r="D35" s="203" t="s">
        <v>146</v>
      </c>
      <c r="E35" s="11"/>
      <c r="F35" s="11" t="s">
        <v>110</v>
      </c>
      <c r="G35" s="75"/>
      <c r="H35" s="214">
        <v>320000</v>
      </c>
      <c r="I35" s="214">
        <v>2839.9360000000001</v>
      </c>
      <c r="J35" s="53"/>
      <c r="K35" s="10"/>
      <c r="L35" s="13"/>
      <c r="M35" s="13">
        <v>2450000</v>
      </c>
      <c r="N35" s="205"/>
      <c r="O35" s="10">
        <f>259*500</f>
        <v>129500</v>
      </c>
      <c r="P35" s="16"/>
      <c r="Q35" s="148">
        <f t="shared" si="0"/>
        <v>2579500</v>
      </c>
      <c r="R35" s="130" t="s">
        <v>373</v>
      </c>
    </row>
    <row r="36" spans="1:19" ht="27.6" customHeight="1">
      <c r="A36" s="205">
        <v>27</v>
      </c>
      <c r="B36" s="235" t="s">
        <v>233</v>
      </c>
      <c r="C36" s="203">
        <v>14</v>
      </c>
      <c r="D36" s="203" t="s">
        <v>146</v>
      </c>
      <c r="E36" s="11"/>
      <c r="F36" s="11" t="s">
        <v>110</v>
      </c>
      <c r="G36" s="75"/>
      <c r="H36" s="214">
        <v>320000</v>
      </c>
      <c r="I36" s="214">
        <v>2839.9360000000001</v>
      </c>
      <c r="J36" s="53"/>
      <c r="K36" s="10"/>
      <c r="L36" s="10"/>
      <c r="M36" s="13">
        <v>2450000</v>
      </c>
      <c r="N36" s="205"/>
      <c r="O36" s="10"/>
      <c r="P36" s="16"/>
      <c r="Q36" s="148">
        <f t="shared" si="0"/>
        <v>2450000</v>
      </c>
      <c r="R36" s="130"/>
    </row>
    <row r="37" spans="1:19" ht="27.6" customHeight="1">
      <c r="A37" s="205">
        <v>28</v>
      </c>
      <c r="B37" s="235" t="s">
        <v>234</v>
      </c>
      <c r="C37" s="203" t="s">
        <v>353</v>
      </c>
      <c r="D37" s="203" t="s">
        <v>93</v>
      </c>
      <c r="E37" s="11"/>
      <c r="F37" s="11" t="s">
        <v>46</v>
      </c>
      <c r="G37" s="75"/>
      <c r="H37" s="214">
        <v>137440</v>
      </c>
      <c r="I37" s="214">
        <v>3325.0079999999998</v>
      </c>
      <c r="J37" s="53"/>
      <c r="K37" s="10"/>
      <c r="L37" s="10"/>
      <c r="M37" s="13">
        <v>1950000</v>
      </c>
      <c r="N37" s="205"/>
      <c r="O37" s="10"/>
      <c r="P37" s="16"/>
      <c r="Q37" s="148">
        <f t="shared" si="0"/>
        <v>1950000</v>
      </c>
      <c r="R37" s="130" t="s">
        <v>51</v>
      </c>
    </row>
    <row r="38" spans="1:19" ht="25.2" customHeight="1">
      <c r="A38" s="205">
        <v>29</v>
      </c>
      <c r="B38" s="235" t="s">
        <v>235</v>
      </c>
      <c r="C38" s="203" t="s">
        <v>374</v>
      </c>
      <c r="D38" s="203" t="s">
        <v>86</v>
      </c>
      <c r="E38" s="11"/>
      <c r="F38" s="11" t="s">
        <v>95</v>
      </c>
      <c r="G38" s="75"/>
      <c r="H38" s="214">
        <v>324250</v>
      </c>
      <c r="I38" s="214">
        <v>4709.415</v>
      </c>
      <c r="J38" s="53"/>
      <c r="K38" s="10"/>
      <c r="L38" s="10"/>
      <c r="M38" s="13">
        <v>2600000</v>
      </c>
      <c r="N38" s="205"/>
      <c r="O38" s="10"/>
      <c r="P38" s="16"/>
      <c r="Q38" s="148">
        <f t="shared" si="0"/>
        <v>2600000</v>
      </c>
      <c r="R38" s="188" t="s">
        <v>53</v>
      </c>
    </row>
    <row r="39" spans="1:19" ht="30" customHeight="1">
      <c r="A39" s="205">
        <v>30</v>
      </c>
      <c r="B39" s="235" t="s">
        <v>236</v>
      </c>
      <c r="C39" s="203" t="s">
        <v>370</v>
      </c>
      <c r="D39" s="203" t="s">
        <v>86</v>
      </c>
      <c r="E39" s="11"/>
      <c r="F39" s="11" t="s">
        <v>95</v>
      </c>
      <c r="G39" s="75"/>
      <c r="H39" s="214">
        <v>428800</v>
      </c>
      <c r="I39" s="214">
        <v>4834.116</v>
      </c>
      <c r="J39" s="9"/>
      <c r="K39" s="234"/>
      <c r="L39" s="84"/>
      <c r="M39" s="13">
        <v>2650000</v>
      </c>
      <c r="N39" s="84"/>
      <c r="O39" s="84"/>
      <c r="P39" s="95"/>
      <c r="Q39" s="148">
        <f t="shared" si="0"/>
        <v>2650000</v>
      </c>
      <c r="R39" s="188"/>
    </row>
    <row r="40" spans="1:19" ht="27.6" customHeight="1">
      <c r="A40" s="345">
        <v>31</v>
      </c>
      <c r="B40" s="362" t="s">
        <v>239</v>
      </c>
      <c r="C40" s="203" t="s">
        <v>375</v>
      </c>
      <c r="D40" s="203" t="s">
        <v>99</v>
      </c>
      <c r="E40" s="11"/>
      <c r="F40" s="11" t="s">
        <v>73</v>
      </c>
      <c r="G40" s="214">
        <v>5000</v>
      </c>
      <c r="H40" s="214">
        <v>24600</v>
      </c>
      <c r="I40" s="228">
        <v>516.6</v>
      </c>
      <c r="J40" s="9"/>
      <c r="K40" s="234"/>
      <c r="L40" s="84">
        <v>1000000</v>
      </c>
      <c r="M40" s="343">
        <v>1750000</v>
      </c>
      <c r="N40" s="84"/>
      <c r="O40" s="84"/>
      <c r="P40" s="95"/>
      <c r="Q40" s="359">
        <f>SUM(L40:P41)</f>
        <v>2750000</v>
      </c>
      <c r="R40" s="130"/>
    </row>
    <row r="41" spans="1:19" ht="27.6" customHeight="1">
      <c r="A41" s="346"/>
      <c r="B41" s="363"/>
      <c r="C41" s="203">
        <v>18</v>
      </c>
      <c r="D41" s="203" t="s">
        <v>80</v>
      </c>
      <c r="E41" s="11"/>
      <c r="F41" s="11" t="s">
        <v>73</v>
      </c>
      <c r="G41" s="214"/>
      <c r="H41" s="214">
        <v>43210</v>
      </c>
      <c r="I41" s="228">
        <v>1056.518</v>
      </c>
      <c r="J41" s="9"/>
      <c r="K41" s="234"/>
      <c r="L41" s="84"/>
      <c r="M41" s="344"/>
      <c r="N41" s="84"/>
      <c r="O41" s="84"/>
      <c r="P41" s="95"/>
      <c r="Q41" s="361"/>
      <c r="R41" s="79"/>
    </row>
    <row r="42" spans="1:19" ht="27.6" customHeight="1">
      <c r="A42" s="345">
        <v>32</v>
      </c>
      <c r="B42" s="362" t="s">
        <v>240</v>
      </c>
      <c r="C42" s="203">
        <v>21</v>
      </c>
      <c r="D42" s="203" t="s">
        <v>376</v>
      </c>
      <c r="E42" s="11"/>
      <c r="F42" s="11" t="s">
        <v>54</v>
      </c>
      <c r="G42" s="75">
        <v>2040</v>
      </c>
      <c r="H42" s="132"/>
      <c r="I42" s="132"/>
      <c r="J42" s="9"/>
      <c r="K42" s="234"/>
      <c r="L42" s="349">
        <v>1550000</v>
      </c>
      <c r="M42" s="84"/>
      <c r="N42" s="84"/>
      <c r="O42" s="84"/>
      <c r="P42" s="95"/>
      <c r="Q42" s="359">
        <f>SUM(L42:P43)</f>
        <v>1550000</v>
      </c>
      <c r="R42" s="79" t="s">
        <v>51</v>
      </c>
    </row>
    <row r="43" spans="1:19" ht="27.6" customHeight="1">
      <c r="A43" s="346"/>
      <c r="B43" s="363"/>
      <c r="C43" s="203">
        <v>31</v>
      </c>
      <c r="D43" s="203" t="s">
        <v>68</v>
      </c>
      <c r="E43" s="11"/>
      <c r="F43" s="11" t="s">
        <v>61</v>
      </c>
      <c r="G43" s="214">
        <v>2000</v>
      </c>
      <c r="H43" s="75"/>
      <c r="I43" s="132"/>
      <c r="J43" s="9"/>
      <c r="K43" s="234"/>
      <c r="L43" s="350"/>
      <c r="M43" s="84"/>
      <c r="N43" s="84"/>
      <c r="O43" s="84"/>
      <c r="P43" s="95"/>
      <c r="Q43" s="361"/>
      <c r="R43" s="130"/>
    </row>
    <row r="44" spans="1:19" s="21" customFormat="1" ht="27" customHeight="1">
      <c r="A44" s="335" t="s">
        <v>20</v>
      </c>
      <c r="B44" s="336"/>
      <c r="C44" s="336"/>
      <c r="D44" s="336"/>
      <c r="E44" s="336"/>
      <c r="F44" s="337"/>
      <c r="G44" s="20">
        <f t="shared" ref="G44:Q44" si="1">SUM(G8:G43)</f>
        <v>32470</v>
      </c>
      <c r="H44" s="20">
        <f t="shared" si="1"/>
        <v>9582426</v>
      </c>
      <c r="I44" s="20">
        <f t="shared" si="1"/>
        <v>94850.574399999998</v>
      </c>
      <c r="J44" s="62">
        <f t="shared" si="1"/>
        <v>2207</v>
      </c>
      <c r="K44" s="20">
        <f t="shared" si="1"/>
        <v>0</v>
      </c>
      <c r="L44" s="20">
        <f t="shared" si="1"/>
        <v>7250000</v>
      </c>
      <c r="M44" s="20">
        <f t="shared" si="1"/>
        <v>65800000</v>
      </c>
      <c r="N44" s="20">
        <f t="shared" si="1"/>
        <v>0</v>
      </c>
      <c r="O44" s="20">
        <f t="shared" si="1"/>
        <v>2654500</v>
      </c>
      <c r="P44" s="20">
        <f t="shared" si="1"/>
        <v>882800</v>
      </c>
      <c r="Q44" s="143">
        <f t="shared" si="1"/>
        <v>76587300</v>
      </c>
      <c r="R44" s="63"/>
      <c r="S44" s="243" t="e">
        <f>Q44/#REF!</f>
        <v>#REF!</v>
      </c>
    </row>
    <row r="45" spans="1:19" s="21" customFormat="1" ht="26.4" customHeight="1">
      <c r="A45" s="310" t="s">
        <v>21</v>
      </c>
      <c r="B45" s="310"/>
      <c r="C45" s="310"/>
      <c r="D45" s="310"/>
      <c r="E45" s="310"/>
      <c r="F45" s="31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f>8%*Q44</f>
        <v>6126984</v>
      </c>
      <c r="R45" s="64"/>
      <c r="S45" s="229"/>
    </row>
    <row r="46" spans="1:19" s="21" customFormat="1" ht="27" customHeight="1">
      <c r="A46" s="310" t="s">
        <v>22</v>
      </c>
      <c r="B46" s="310"/>
      <c r="C46" s="310"/>
      <c r="D46" s="310"/>
      <c r="E46" s="310"/>
      <c r="F46" s="310"/>
      <c r="G46" s="20"/>
      <c r="H46" s="20"/>
      <c r="I46" s="20"/>
      <c r="J46" s="62"/>
      <c r="K46" s="20"/>
      <c r="L46" s="20"/>
      <c r="M46" s="20"/>
      <c r="N46" s="20"/>
      <c r="O46" s="20"/>
      <c r="P46" s="20"/>
      <c r="Q46" s="20">
        <f>Q45+Q44</f>
        <v>82714284</v>
      </c>
      <c r="R46" s="65"/>
      <c r="S46" s="26"/>
    </row>
    <row r="47" spans="1:19" s="21" customFormat="1" ht="28.95" customHeight="1">
      <c r="A47" s="23"/>
      <c r="B47" s="147"/>
      <c r="C47" s="23"/>
      <c r="D47" s="23"/>
      <c r="E47" s="23"/>
      <c r="F47" s="23"/>
      <c r="G47" s="24"/>
      <c r="H47" s="24"/>
      <c r="I47" s="24"/>
      <c r="J47" s="66"/>
      <c r="K47" s="24"/>
      <c r="L47" s="24"/>
      <c r="M47" s="24"/>
      <c r="N47" s="24"/>
      <c r="O47" s="24"/>
      <c r="P47" s="24"/>
      <c r="Q47" s="24"/>
      <c r="R47" s="48"/>
      <c r="S47" s="26"/>
    </row>
    <row r="48" spans="1:19" s="21" customFormat="1" ht="24.6" customHeight="1">
      <c r="A48" s="307" t="s">
        <v>23</v>
      </c>
      <c r="B48" s="307"/>
      <c r="C48" s="307"/>
      <c r="D48" s="307"/>
      <c r="E48" s="307"/>
      <c r="F48" s="307"/>
      <c r="G48" s="27">
        <f>G44</f>
        <v>32470</v>
      </c>
      <c r="H48" s="27"/>
      <c r="I48" s="27"/>
      <c r="J48" s="67"/>
      <c r="K48" s="28">
        <f>G44+I44</f>
        <v>127320.5744</v>
      </c>
      <c r="L48" s="27"/>
      <c r="M48" s="27"/>
      <c r="N48" s="27"/>
      <c r="O48" s="27"/>
      <c r="P48" s="27"/>
      <c r="Q48" s="27">
        <f>L44+N44</f>
        <v>7250000</v>
      </c>
      <c r="R48" s="68">
        <f>Q48/G48</f>
        <v>223.28303048968277</v>
      </c>
      <c r="S48" s="243"/>
    </row>
    <row r="49" spans="1:19" s="21" customFormat="1" ht="24.6" customHeight="1">
      <c r="A49" s="307" t="s">
        <v>24</v>
      </c>
      <c r="B49" s="307"/>
      <c r="C49" s="307"/>
      <c r="D49" s="307"/>
      <c r="E49" s="307"/>
      <c r="F49" s="307"/>
      <c r="G49" s="27"/>
      <c r="H49" s="27"/>
      <c r="I49" s="27">
        <f>I44</f>
        <v>94850.574399999998</v>
      </c>
      <c r="J49" s="67"/>
      <c r="K49" s="27"/>
      <c r="L49" s="27"/>
      <c r="M49" s="27"/>
      <c r="N49" s="27"/>
      <c r="O49" s="27"/>
      <c r="P49" s="27"/>
      <c r="Q49" s="27">
        <f>M44+O44</f>
        <v>68454500</v>
      </c>
      <c r="R49" s="68">
        <f>Q49/I49</f>
        <v>721.70886083743108</v>
      </c>
      <c r="S49" s="243"/>
    </row>
    <row r="50" spans="1:19" s="21" customFormat="1" ht="24.6" customHeight="1">
      <c r="A50" s="307" t="s">
        <v>25</v>
      </c>
      <c r="B50" s="307"/>
      <c r="C50" s="307"/>
      <c r="D50" s="307"/>
      <c r="E50" s="307"/>
      <c r="F50" s="307"/>
      <c r="G50" s="27"/>
      <c r="H50" s="27"/>
      <c r="I50" s="27"/>
      <c r="J50" s="67"/>
      <c r="K50" s="27"/>
      <c r="L50" s="27"/>
      <c r="M50" s="27"/>
      <c r="N50" s="27"/>
      <c r="O50" s="27"/>
      <c r="P50" s="27">
        <f>J44</f>
        <v>2207</v>
      </c>
      <c r="Q50" s="27">
        <f>P44</f>
        <v>882800</v>
      </c>
      <c r="R50" s="68">
        <f>Q50/P50</f>
        <v>400</v>
      </c>
      <c r="S50" s="243">
        <f>Q48+Q49+Q50</f>
        <v>76587300</v>
      </c>
    </row>
    <row r="51" spans="1:19" s="21" customFormat="1" ht="24.6" hidden="1" customHeight="1">
      <c r="A51" s="307" t="s">
        <v>26</v>
      </c>
      <c r="B51" s="307"/>
      <c r="C51" s="307"/>
      <c r="D51" s="307"/>
      <c r="E51" s="307"/>
      <c r="F51" s="307"/>
      <c r="G51" s="27"/>
      <c r="H51" s="27"/>
      <c r="I51" s="27"/>
      <c r="J51" s="67"/>
      <c r="K51" s="27" t="e">
        <f>SUM(#REF!)</f>
        <v>#REF!</v>
      </c>
      <c r="L51" s="27"/>
      <c r="M51" s="27"/>
      <c r="N51" s="27"/>
      <c r="O51" s="27"/>
      <c r="P51" s="27"/>
      <c r="Q51" s="27" t="e">
        <f>SUM(#REF!)</f>
        <v>#REF!</v>
      </c>
      <c r="R51" s="68" t="e">
        <f>Q51/P51</f>
        <v>#REF!</v>
      </c>
      <c r="S51" s="243" t="e">
        <f>Q49+Q50+Q51</f>
        <v>#REF!</v>
      </c>
    </row>
    <row r="52" spans="1:19" ht="21" customHeight="1">
      <c r="A52" s="31"/>
      <c r="B52" s="150"/>
      <c r="C52" s="3" t="s">
        <v>27</v>
      </c>
      <c r="D52" s="32"/>
      <c r="E52" s="33"/>
      <c r="F52" s="33"/>
      <c r="G52" s="34" t="s">
        <v>241</v>
      </c>
      <c r="H52" s="35"/>
      <c r="I52" s="35"/>
      <c r="J52" s="69"/>
      <c r="K52" s="36"/>
      <c r="M52" s="7">
        <f>+Q44-Q48-Q49-Q50</f>
        <v>0</v>
      </c>
      <c r="N52" s="1"/>
      <c r="O52" s="1"/>
      <c r="P52" s="1"/>
      <c r="Q52" s="144" t="s">
        <v>28</v>
      </c>
    </row>
    <row r="53" spans="1:19" ht="21" customHeight="1">
      <c r="B53" s="102"/>
      <c r="D53" s="32"/>
      <c r="E53" s="37"/>
      <c r="F53" s="37"/>
      <c r="G53" s="38"/>
      <c r="H53" s="31"/>
      <c r="I53" s="32"/>
      <c r="J53" s="70"/>
      <c r="K53" s="32"/>
    </row>
    <row r="54" spans="1:19" s="8" customFormat="1" ht="21" customHeight="1">
      <c r="A54" s="1"/>
      <c r="B54" s="102"/>
      <c r="C54" s="3"/>
      <c r="D54" s="3"/>
      <c r="E54" s="3"/>
      <c r="F54" s="3"/>
      <c r="G54" s="39"/>
      <c r="J54" s="71"/>
      <c r="L54" s="4"/>
      <c r="M54" s="4"/>
      <c r="Q54" s="127"/>
      <c r="R54" s="3"/>
      <c r="S54" s="3"/>
    </row>
    <row r="55" spans="1:19">
      <c r="B55" s="102"/>
      <c r="E55" s="37"/>
      <c r="F55" s="37"/>
      <c r="G55" s="38"/>
      <c r="H55" s="31"/>
      <c r="I55" s="32"/>
      <c r="J55" s="70"/>
      <c r="K55" s="32"/>
    </row>
    <row r="56" spans="1:19">
      <c r="H56" s="43"/>
      <c r="Q56" s="21"/>
    </row>
    <row r="57" spans="1:19">
      <c r="C57" s="45"/>
      <c r="G57" s="34" t="str">
        <f>'[1]A VIEN'!G71</f>
        <v>Đặng Thị Mỹ Tin</v>
      </c>
      <c r="H57" s="43"/>
      <c r="Q57" s="115" t="s">
        <v>29</v>
      </c>
    </row>
    <row r="60" spans="1:19">
      <c r="R60" s="49"/>
    </row>
  </sheetData>
  <autoFilter ref="A5:R50" xr:uid="{00000000-0009-0000-0000-000007000000}">
    <filterColumn colId="4" showButton="0"/>
    <filterColumn colId="6" showButton="0"/>
    <filterColumn colId="7" showButton="0"/>
    <filterColumn colId="8" showButton="0"/>
    <filterColumn colId="11" showButton="0"/>
    <filterColumn colId="13" showButton="0"/>
  </autoFilter>
  <mergeCells count="38">
    <mergeCell ref="N5:O6"/>
    <mergeCell ref="E6:E7"/>
    <mergeCell ref="R5:R7"/>
    <mergeCell ref="F6:F7"/>
    <mergeCell ref="H6:I6"/>
    <mergeCell ref="P5:P7"/>
    <mergeCell ref="Q5:Q7"/>
    <mergeCell ref="Q40:Q41"/>
    <mergeCell ref="A42:A43"/>
    <mergeCell ref="B42:B43"/>
    <mergeCell ref="L42:L43"/>
    <mergeCell ref="Q42:Q43"/>
    <mergeCell ref="A51:F51"/>
    <mergeCell ref="A50:F50"/>
    <mergeCell ref="A40:A41"/>
    <mergeCell ref="B40:B41"/>
    <mergeCell ref="M40:M41"/>
    <mergeCell ref="A44:F44"/>
    <mergeCell ref="A45:F45"/>
    <mergeCell ref="A46:F46"/>
    <mergeCell ref="A48:F48"/>
    <mergeCell ref="A49:F49"/>
    <mergeCell ref="A1:S1"/>
    <mergeCell ref="A2:S2"/>
    <mergeCell ref="A3:S3"/>
    <mergeCell ref="A30:A31"/>
    <mergeCell ref="B30:B31"/>
    <mergeCell ref="M30:M31"/>
    <mergeCell ref="Q30:Q31"/>
    <mergeCell ref="A4:C4"/>
    <mergeCell ref="A5:A7"/>
    <mergeCell ref="B5:B7"/>
    <mergeCell ref="C5:C7"/>
    <mergeCell ref="D5:D7"/>
    <mergeCell ref="E5:F5"/>
    <mergeCell ref="G5:J5"/>
    <mergeCell ref="K5:K7"/>
    <mergeCell ref="L5:M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>
      <selection activeCell="F12" sqref="F12"/>
    </sheetView>
  </sheetViews>
  <sheetFormatPr defaultRowHeight="14.4"/>
  <cols>
    <col min="1" max="1" width="5.6640625" customWidth="1"/>
    <col min="2" max="2" width="11.33203125" customWidth="1"/>
    <col min="3" max="3" width="19.77734375" customWidth="1"/>
    <col min="4" max="4" width="13.21875" customWidth="1"/>
    <col min="5" max="5" width="16.21875" customWidth="1"/>
    <col min="7" max="7" width="12" bestFit="1" customWidth="1"/>
  </cols>
  <sheetData>
    <row r="1" spans="1:7" ht="30.6" customHeight="1">
      <c r="A1" s="88" t="s">
        <v>37</v>
      </c>
      <c r="B1" s="88" t="s">
        <v>38</v>
      </c>
      <c r="C1" s="88" t="s">
        <v>39</v>
      </c>
      <c r="D1" s="88" t="s">
        <v>40</v>
      </c>
      <c r="E1" s="88" t="s">
        <v>41</v>
      </c>
    </row>
    <row r="2" spans="1:7" ht="22.8" customHeight="1">
      <c r="A2" s="85">
        <v>1</v>
      </c>
      <c r="B2" s="85" t="s">
        <v>43</v>
      </c>
      <c r="C2" s="86">
        <f>HIEU!Q57</f>
        <v>41424000</v>
      </c>
      <c r="D2" s="86">
        <f>C2*8%</f>
        <v>3313920</v>
      </c>
      <c r="E2" s="86">
        <f>C2+D2</f>
        <v>44737920</v>
      </c>
      <c r="G2" s="190"/>
    </row>
    <row r="3" spans="1:7" ht="22.8" customHeight="1">
      <c r="A3" s="85">
        <v>2</v>
      </c>
      <c r="B3" s="85" t="s">
        <v>34</v>
      </c>
      <c r="C3" s="86">
        <f>NAM!Q52</f>
        <v>39185000</v>
      </c>
      <c r="D3" s="86">
        <f t="shared" ref="D3:D8" si="0">C3*8%</f>
        <v>3134800</v>
      </c>
      <c r="E3" s="86">
        <f t="shared" ref="E3:E8" si="1">C3+D3</f>
        <v>42319800</v>
      </c>
      <c r="G3" s="190"/>
    </row>
    <row r="4" spans="1:7" ht="22.8" customHeight="1">
      <c r="A4" s="85">
        <v>3</v>
      </c>
      <c r="B4" s="85" t="s">
        <v>292</v>
      </c>
      <c r="C4" s="106">
        <f>HUNG!Q50</f>
        <v>40430000</v>
      </c>
      <c r="D4" s="86">
        <f t="shared" si="0"/>
        <v>3234400</v>
      </c>
      <c r="E4" s="86">
        <f t="shared" si="1"/>
        <v>43664400</v>
      </c>
      <c r="G4" s="190"/>
    </row>
    <row r="5" spans="1:7" ht="22.8" customHeight="1">
      <c r="A5" s="85">
        <v>4</v>
      </c>
      <c r="B5" s="85" t="s">
        <v>35</v>
      </c>
      <c r="C5" s="106">
        <f>HOANG!Q59</f>
        <v>41366200</v>
      </c>
      <c r="D5" s="86">
        <f t="shared" si="0"/>
        <v>3309296</v>
      </c>
      <c r="E5" s="86">
        <f t="shared" si="1"/>
        <v>44675496</v>
      </c>
      <c r="G5" s="190"/>
    </row>
    <row r="6" spans="1:7" ht="22.8" customHeight="1">
      <c r="A6" s="85">
        <v>5</v>
      </c>
      <c r="B6" s="85" t="s">
        <v>44</v>
      </c>
      <c r="C6" s="86">
        <f>TUAN!Q64</f>
        <v>55726400</v>
      </c>
      <c r="D6" s="86">
        <f t="shared" si="0"/>
        <v>4458112</v>
      </c>
      <c r="E6" s="86">
        <f t="shared" si="1"/>
        <v>60184512</v>
      </c>
      <c r="G6" s="190"/>
    </row>
    <row r="7" spans="1:7" ht="22.8" customHeight="1">
      <c r="A7" s="85">
        <v>6</v>
      </c>
      <c r="B7" s="85" t="s">
        <v>113</v>
      </c>
      <c r="C7" s="152">
        <f>'TU 4T'!Q55</f>
        <v>56061200</v>
      </c>
      <c r="D7" s="86">
        <f t="shared" si="0"/>
        <v>4484896</v>
      </c>
      <c r="E7" s="86">
        <f t="shared" si="1"/>
        <v>60546096</v>
      </c>
    </row>
    <row r="8" spans="1:7" ht="22.8" customHeight="1">
      <c r="A8" s="85">
        <v>7</v>
      </c>
      <c r="B8" s="85" t="s">
        <v>36</v>
      </c>
      <c r="C8" s="86">
        <f>HUU!Q44</f>
        <v>76587300</v>
      </c>
      <c r="D8" s="86">
        <f t="shared" si="0"/>
        <v>6126984</v>
      </c>
      <c r="E8" s="86">
        <f t="shared" si="1"/>
        <v>82714284</v>
      </c>
    </row>
    <row r="9" spans="1:7" ht="22.8" customHeight="1">
      <c r="A9" s="85">
        <v>8</v>
      </c>
      <c r="B9" s="85" t="s">
        <v>59</v>
      </c>
      <c r="C9" s="86">
        <f>DANH!Q40</f>
        <v>52467600</v>
      </c>
      <c r="D9" s="86">
        <f t="shared" ref="D9" si="2">C9*8%</f>
        <v>4197408</v>
      </c>
      <c r="E9" s="86">
        <f t="shared" ref="E9" si="3">C9+D9</f>
        <v>56665008</v>
      </c>
    </row>
    <row r="10" spans="1:7" ht="22.8" customHeight="1">
      <c r="A10" s="87" t="s">
        <v>42</v>
      </c>
      <c r="B10" s="87"/>
      <c r="C10" s="91">
        <f>SUM(C2:C9)</f>
        <v>403247700</v>
      </c>
      <c r="D10" s="91">
        <f>SUM(D2:D9)</f>
        <v>32259816</v>
      </c>
      <c r="E10" s="153">
        <f>SUM(E2:E9)</f>
        <v>435507516</v>
      </c>
      <c r="G10" s="19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HIEU</vt:lpstr>
      <vt:lpstr>NAM</vt:lpstr>
      <vt:lpstr>HUNG</vt:lpstr>
      <vt:lpstr>HOANG</vt:lpstr>
      <vt:lpstr>TUAN</vt:lpstr>
      <vt:lpstr>DANH</vt:lpstr>
      <vt:lpstr>TU 4T</vt:lpstr>
      <vt:lpstr>HUU</vt:lpstr>
      <vt:lpstr>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Đức Trọng</cp:lastModifiedBy>
  <dcterms:created xsi:type="dcterms:W3CDTF">2023-12-29T07:26:22Z</dcterms:created>
  <dcterms:modified xsi:type="dcterms:W3CDTF">2025-12-30T02:41:15Z</dcterms:modified>
</cp:coreProperties>
</file>
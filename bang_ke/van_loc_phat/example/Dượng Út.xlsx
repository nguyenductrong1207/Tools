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Tools\bang_ke\van_loc_phat\example\"/>
    </mc:Choice>
  </mc:AlternateContent>
  <xr:revisionPtr revIDLastSave="0" documentId="13_ncr:1_{7448DB2E-B1CF-47F6-848A-E154FB2AA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ượng Út" sheetId="6" r:id="rId1"/>
  </sheets>
  <externalReferences>
    <externalReference r:id="rId2"/>
  </externalReferences>
  <definedNames>
    <definedName name="_xlnm._FilterDatabase" localSheetId="0" hidden="1">'Dượng Út'!$A$5:$R$50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7" i="6" l="1"/>
  <c r="Q51" i="6"/>
  <c r="R51" i="6" s="1"/>
  <c r="K51" i="6"/>
  <c r="K48" i="6"/>
  <c r="N44" i="6"/>
  <c r="M44" i="6"/>
  <c r="L44" i="6"/>
  <c r="Q48" i="6" s="1"/>
  <c r="K44" i="6"/>
  <c r="J44" i="6"/>
  <c r="P50" i="6" s="1"/>
  <c r="I44" i="6"/>
  <c r="I49" i="6" s="1"/>
  <c r="H44" i="6"/>
  <c r="G44" i="6"/>
  <c r="G48" i="6" s="1"/>
  <c r="Q42" i="6"/>
  <c r="Q40" i="6"/>
  <c r="Q39" i="6"/>
  <c r="Q38" i="6"/>
  <c r="Q37" i="6"/>
  <c r="Q36" i="6"/>
  <c r="O35" i="6"/>
  <c r="Q35" i="6" s="1"/>
  <c r="Q34" i="6"/>
  <c r="Q33" i="6"/>
  <c r="Q32" i="6"/>
  <c r="Q30" i="6"/>
  <c r="P29" i="6"/>
  <c r="Q29" i="6" s="1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A3" i="6"/>
  <c r="A1" i="6"/>
  <c r="Q44" i="6" l="1"/>
  <c r="Q45" i="6"/>
  <c r="Q46" i="6" s="1"/>
  <c r="S44" i="6"/>
  <c r="O44" i="6"/>
  <c r="Q49" i="6" s="1"/>
  <c r="P44" i="6"/>
  <c r="Q50" i="6" s="1"/>
  <c r="R50" i="6" s="1"/>
  <c r="R48" i="6"/>
  <c r="R49" i="6" l="1"/>
  <c r="S51" i="6"/>
  <c r="S50" i="6"/>
  <c r="M52" i="6"/>
</calcChain>
</file>

<file path=xl/sharedStrings.xml><?xml version="1.0" encoding="utf-8"?>
<sst xmlns="http://schemas.openxmlformats.org/spreadsheetml/2006/main" count="182" uniqueCount="114">
  <si>
    <t>CHI PHÍ VẬN CHUYỂN HÀNG NỘI ĐỊA</t>
  </si>
  <si>
    <t xml:space="preserve">STT
次序 </t>
  </si>
  <si>
    <t>Ngày xuất 
hàng 日期</t>
  </si>
  <si>
    <t>Đơn xuất 
hàng 销货单</t>
  </si>
  <si>
    <t xml:space="preserve">Khách hàng
客户 </t>
  </si>
  <si>
    <t>Địa chỉ 
KH 送货地址</t>
  </si>
  <si>
    <t>SỐ LƯỢNG
重量 NET WEIGHT</t>
  </si>
  <si>
    <t>SỐ LƯỢNG
重量 (kg)
GROSS WEIGHT</t>
  </si>
  <si>
    <t>PHÍ VẬN CHUYỂN
路运费</t>
  </si>
  <si>
    <t>CHI PHÍ KHÁC
(LẤY HÀNG VỀ/GIAO MẪU…)</t>
  </si>
  <si>
    <t>CHỞ PHẾ</t>
  </si>
  <si>
    <t>THÀNH TIỀN
合计</t>
  </si>
  <si>
    <t>GHI CHÚ</t>
  </si>
  <si>
    <t>NỘI THÀNH</t>
  </si>
  <si>
    <t>NGOẠI THÀNH</t>
  </si>
  <si>
    <t>MÀNG NHỰA</t>
  </si>
  <si>
    <t>ĐỊNH HÌNH</t>
  </si>
  <si>
    <t>PHẾ LIỆU</t>
  </si>
  <si>
    <t>KG</t>
  </si>
  <si>
    <t>PCS</t>
  </si>
  <si>
    <t>TỔNG CỘNG</t>
  </si>
  <si>
    <t>THUẾ VAT 8%</t>
  </si>
  <si>
    <t>TỔNG TIỀN ĐÃ BAO GỒM THUẾ</t>
  </si>
  <si>
    <t>PHÍ VẬN CHUYỂN HÀNG MÀNG NHỰA:</t>
  </si>
  <si>
    <t>PHÍ VẬN CHUYỂN HÀNG ĐỊNH HÌNH:</t>
  </si>
  <si>
    <t>PHÍ VẬN CHUYỂN LIỆU + PHẾ LIỆU</t>
  </si>
  <si>
    <t>PHÍ VẬN CHUYỂN HÀNG CHUYỂN KHO</t>
  </si>
  <si>
    <t>核准  Phê duyệt</t>
  </si>
  <si>
    <t>製表 Lập phiếu</t>
  </si>
  <si>
    <t>NGUYỄN TRỌNG HỮU</t>
  </si>
  <si>
    <t>TAN UYEN</t>
  </si>
  <si>
    <t>HOC MON</t>
  </si>
  <si>
    <t>2X</t>
  </si>
  <si>
    <t>THUAN AN</t>
  </si>
  <si>
    <t>C2</t>
  </si>
  <si>
    <t>DI AN</t>
  </si>
  <si>
    <t>Q9</t>
  </si>
  <si>
    <t>Q12</t>
  </si>
  <si>
    <t>BINH CHANH</t>
  </si>
  <si>
    <t>NIDEC VN</t>
  </si>
  <si>
    <t>COLGATE</t>
  </si>
  <si>
    <t>CAN GIUOC</t>
  </si>
  <si>
    <t>MP3</t>
  </si>
  <si>
    <t>DUC HOA</t>
  </si>
  <si>
    <t>WAHL</t>
  </si>
  <si>
    <t>LONG PHAT</t>
  </si>
  <si>
    <t>MINH KHANG</t>
  </si>
  <si>
    <t>HOANG ANH</t>
  </si>
  <si>
    <t>VINATRAY</t>
  </si>
  <si>
    <t>BEN LUC</t>
  </si>
  <si>
    <t>HANH MINH KHOI</t>
  </si>
  <si>
    <t>C2, 2X</t>
  </si>
  <si>
    <t>LONG THANH</t>
  </si>
  <si>
    <t>NCC: NGUYỄN TRỌNG HỮU - 8T-61C42819</t>
  </si>
  <si>
    <t>26+27</t>
  </si>
  <si>
    <t>LẤY PHẾ NIDEC VN</t>
  </si>
  <si>
    <t>HUNUFA</t>
  </si>
  <si>
    <t>TAIXIN</t>
  </si>
  <si>
    <t>22+23</t>
  </si>
  <si>
    <t>42+43</t>
  </si>
  <si>
    <t>VAN-BT</t>
  </si>
  <si>
    <t>BINH THUAN</t>
  </si>
  <si>
    <t>37+38</t>
  </si>
  <si>
    <t>24+23</t>
  </si>
  <si>
    <t>COLORMATE</t>
  </si>
  <si>
    <t>C3, GIAO TOI</t>
  </si>
  <si>
    <t>C2, GIAO TOI</t>
  </si>
  <si>
    <t>26/11/2025</t>
  </si>
  <si>
    <t>27/11/2025</t>
  </si>
  <si>
    <t>28/11/2025</t>
  </si>
  <si>
    <t>29/11/2025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</si>
  <si>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</si>
  <si>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</si>
  <si>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</si>
  <si>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</si>
  <si>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</si>
  <si>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</si>
  <si>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</si>
  <si>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</si>
  <si>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</si>
  <si>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</si>
  <si>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</si>
  <si>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</si>
  <si>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</si>
  <si>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</si>
  <si>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</si>
  <si>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</si>
  <si>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</si>
  <si>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</si>
  <si>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</si>
  <si>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</si>
  <si>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25/12/2025</t>
  </si>
  <si>
    <t>Xác nhận</t>
    <phoneticPr fontId="7" type="noConversion"/>
  </si>
  <si>
    <t>11/12/2025</t>
  </si>
  <si>
    <t>24+25</t>
  </si>
  <si>
    <t>30/11/2025</t>
  </si>
  <si>
    <t>11+12</t>
  </si>
  <si>
    <t>PHONG THUY</t>
  </si>
  <si>
    <t>28+29</t>
  </si>
  <si>
    <t>TRẢ VỀ NGUYÊN XE HÀNG NG (THẢO)</t>
  </si>
  <si>
    <t>38+39+40</t>
  </si>
  <si>
    <t>11+13+14</t>
  </si>
  <si>
    <t>41+5+2+1</t>
  </si>
  <si>
    <t>4+5</t>
  </si>
  <si>
    <t>TRẢ 56T HÀNG NG. 1/11</t>
  </si>
  <si>
    <t>27~33</t>
  </si>
  <si>
    <t>13+14+15</t>
  </si>
  <si>
    <t>7~13</t>
  </si>
  <si>
    <t>28~35</t>
  </si>
  <si>
    <t>35~41</t>
  </si>
  <si>
    <t>LẤY 259PCS VỎ THÙNG VỀ</t>
  </si>
  <si>
    <t>31~38</t>
  </si>
  <si>
    <t>6+8</t>
  </si>
  <si>
    <t>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</si>
</sst>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_(* #,##0.0_);_(* \(#,##0.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1"/>
      <charset val="136"/>
      <scheme val="minor"/>
    </font>
    <font>
      <sz val="10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>
      <alignment vertical="center"/>
    </xf>
  </cellStyleXfs>
  <cellXfs count="12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164" fontId="3" fillId="2" borderId="0" xfId="1" applyNumberFormat="1" applyFont="1" applyFill="1" applyAlignment="1">
      <alignment vertical="center"/>
    </xf>
    <xf numFmtId="165" fontId="3" fillId="2" borderId="0" xfId="1" applyNumberFormat="1" applyFont="1" applyFill="1" applyAlignment="1">
      <alignment vertical="center"/>
    </xf>
    <xf numFmtId="43" fontId="3" fillId="2" borderId="0" xfId="1" applyFont="1" applyFill="1" applyAlignment="1">
      <alignment vertical="center"/>
    </xf>
    <xf numFmtId="164" fontId="3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64" fontId="2" fillId="2" borderId="2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right" vertical="center"/>
    </xf>
    <xf numFmtId="164" fontId="3" fillId="2" borderId="2" xfId="1" applyNumberFormat="1" applyFont="1" applyFill="1" applyBorder="1" applyAlignment="1">
      <alignment vertical="center"/>
    </xf>
    <xf numFmtId="164" fontId="3" fillId="2" borderId="2" xfId="1" applyNumberFormat="1" applyFont="1" applyFill="1" applyBorder="1" applyAlignment="1"/>
    <xf numFmtId="164" fontId="3" fillId="2" borderId="2" xfId="1" applyNumberFormat="1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right"/>
    </xf>
    <xf numFmtId="164" fontId="2" fillId="4" borderId="2" xfId="1" applyNumberFormat="1" applyFont="1" applyFill="1" applyBorder="1" applyAlignment="1"/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64" fontId="2" fillId="2" borderId="0" xfId="1" applyNumberFormat="1" applyFont="1" applyFill="1" applyBorder="1" applyAlignment="1"/>
    <xf numFmtId="0" fontId="2" fillId="2" borderId="0" xfId="0" applyFont="1" applyFill="1" applyAlignment="1">
      <alignment horizontal="left" vertical="center"/>
    </xf>
    <xf numFmtId="164" fontId="2" fillId="2" borderId="2" xfId="1" applyNumberFormat="1" applyFont="1" applyFill="1" applyBorder="1" applyAlignment="1"/>
    <xf numFmtId="164" fontId="11" fillId="2" borderId="2" xfId="1" applyNumberFormat="1" applyFont="1" applyFill="1" applyBorder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64" fontId="3" fillId="2" borderId="0" xfId="1" applyNumberFormat="1" applyFont="1" applyFill="1" applyAlignment="1">
      <alignment horizontal="left"/>
    </xf>
    <xf numFmtId="164" fontId="3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/>
    <xf numFmtId="41" fontId="3" fillId="2" borderId="0" xfId="1" applyNumberFormat="1" applyFont="1" applyFill="1" applyAlignment="1"/>
    <xf numFmtId="4" fontId="3" fillId="2" borderId="0" xfId="0" applyNumberFormat="1" applyFont="1" applyFill="1" applyAlignment="1">
      <alignment horizontal="left"/>
    </xf>
    <xf numFmtId="164" fontId="3" fillId="2" borderId="0" xfId="1" applyNumberFormat="1" applyFont="1" applyFill="1"/>
    <xf numFmtId="164" fontId="3" fillId="2" borderId="0" xfId="0" applyNumberFormat="1" applyFont="1" applyFill="1" applyAlignment="1">
      <alignment vertical="center"/>
    </xf>
    <xf numFmtId="166" fontId="3" fillId="2" borderId="0" xfId="1" applyNumberFormat="1" applyFont="1" applyFill="1" applyAlignment="1">
      <alignment horizontal="left"/>
    </xf>
    <xf numFmtId="166" fontId="3" fillId="2" borderId="0" xfId="1" applyNumberFormat="1" applyFont="1" applyFill="1" applyAlignment="1">
      <alignment horizontal="left" vertical="center"/>
    </xf>
    <xf numFmtId="165" fontId="3" fillId="2" borderId="0" xfId="1" applyNumberFormat="1" applyFont="1" applyFill="1" applyAlignment="1">
      <alignment horizontal="center"/>
    </xf>
    <xf numFmtId="43" fontId="3" fillId="2" borderId="0" xfId="1" applyFont="1" applyFill="1" applyAlignment="1">
      <alignment horizontal="center"/>
    </xf>
    <xf numFmtId="0" fontId="3" fillId="2" borderId="0" xfId="0" applyFont="1" applyFill="1" applyAlignment="1">
      <alignment horizontal="left" wrapText="1"/>
    </xf>
    <xf numFmtId="165" fontId="3" fillId="2" borderId="0" xfId="1" applyNumberFormat="1" applyFont="1" applyFill="1" applyAlignment="1"/>
    <xf numFmtId="164" fontId="3" fillId="2" borderId="0" xfId="1" applyNumberFormat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3" fontId="6" fillId="2" borderId="2" xfId="1" applyNumberFormat="1" applyFont="1" applyFill="1" applyBorder="1" applyAlignment="1">
      <alignment horizontal="center" vertical="center"/>
    </xf>
    <xf numFmtId="167" fontId="2" fillId="2" borderId="2" xfId="1" applyNumberFormat="1" applyFont="1" applyFill="1" applyBorder="1" applyAlignment="1">
      <alignment horizontal="center" vertical="center" wrapText="1"/>
    </xf>
    <xf numFmtId="167" fontId="2" fillId="4" borderId="2" xfId="1" applyNumberFormat="1" applyFont="1" applyFill="1" applyBorder="1" applyAlignment="1"/>
    <xf numFmtId="0" fontId="3" fillId="4" borderId="2" xfId="0" applyFont="1" applyFill="1" applyBorder="1" applyAlignment="1">
      <alignment horizontal="left" vertical="center"/>
    </xf>
    <xf numFmtId="164" fontId="3" fillId="4" borderId="2" xfId="1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67" fontId="2" fillId="2" borderId="0" xfId="1" applyNumberFormat="1" applyFont="1" applyFill="1" applyBorder="1" applyAlignment="1"/>
    <xf numFmtId="167" fontId="2" fillId="2" borderId="2" xfId="1" applyNumberFormat="1" applyFont="1" applyFill="1" applyBorder="1" applyAlignment="1"/>
    <xf numFmtId="43" fontId="12" fillId="2" borderId="2" xfId="0" applyNumberFormat="1" applyFont="1" applyFill="1" applyBorder="1" applyAlignment="1">
      <alignment horizontal="left" vertical="center"/>
    </xf>
    <xf numFmtId="167" fontId="3" fillId="2" borderId="0" xfId="1" applyNumberFormat="1" applyFont="1" applyFill="1" applyAlignment="1"/>
    <xf numFmtId="167" fontId="3" fillId="2" borderId="0" xfId="1" applyNumberFormat="1" applyFont="1" applyFill="1" applyAlignment="1">
      <alignment horizontal="left"/>
    </xf>
    <xf numFmtId="167" fontId="3" fillId="2" borderId="0" xfId="1" applyNumberFormat="1" applyFont="1" applyFill="1" applyAlignment="1">
      <alignment vertical="center"/>
    </xf>
    <xf numFmtId="167" fontId="3" fillId="2" borderId="0" xfId="1" applyNumberFormat="1" applyFont="1" applyFill="1" applyAlignment="1">
      <alignment horizontal="center"/>
    </xf>
    <xf numFmtId="164" fontId="6" fillId="2" borderId="2" xfId="1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164" fontId="6" fillId="2" borderId="2" xfId="1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10" xfId="1" applyNumberFormat="1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/>
    <xf numFmtId="0" fontId="9" fillId="2" borderId="0" xfId="0" applyFont="1" applyFill="1" applyAlignment="1">
      <alignment horizontal="center" vertical="center"/>
    </xf>
    <xf numFmtId="12" fontId="9" fillId="2" borderId="0" xfId="0" applyNumberFormat="1" applyFont="1" applyFill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64" fontId="2" fillId="2" borderId="0" xfId="1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164" fontId="16" fillId="2" borderId="2" xfId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/>
    <xf numFmtId="0" fontId="2" fillId="2" borderId="0" xfId="0" applyFont="1" applyFill="1" applyAlignment="1">
      <alignment horizontal="left"/>
    </xf>
    <xf numFmtId="0" fontId="15" fillId="2" borderId="0" xfId="0" applyFont="1" applyFill="1" applyAlignment="1">
      <alignment horizontal="center"/>
    </xf>
    <xf numFmtId="164" fontId="14" fillId="2" borderId="2" xfId="1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6" fillId="2" borderId="2" xfId="0" applyFont="1" applyFill="1" applyBorder="1" applyAlignment="1">
      <alignment vertical="center"/>
    </xf>
    <xf numFmtId="0" fontId="16" fillId="2" borderId="2" xfId="0" applyFont="1" applyFill="1" applyBorder="1" applyAlignment="1">
      <alignment horizontal="left" vertical="center" wrapText="1"/>
    </xf>
    <xf numFmtId="14" fontId="9" fillId="2" borderId="2" xfId="0" quotePrefix="1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6" fillId="2" borderId="10" xfId="1" applyNumberFormat="1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left" vertical="center"/>
    </xf>
    <xf numFmtId="164" fontId="17" fillId="2" borderId="2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4" fontId="16" fillId="2" borderId="10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41" fontId="2" fillId="2" borderId="2" xfId="0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14" fontId="9" fillId="2" borderId="8" xfId="0" quotePrefix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43" fontId="2" fillId="2" borderId="0" xfId="0" applyNumberFormat="1" applyFont="1" applyFill="1" applyAlignment="1">
      <alignment horizontal="left" vertical="center"/>
    </xf>
    <xf numFmtId="0" fontId="3" fillId="2" borderId="0" xfId="0" quotePrefix="1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4" fontId="9" fillId="2" borderId="8" xfId="0" quotePrefix="1" applyNumberFormat="1" applyFont="1" applyFill="1" applyBorder="1" applyAlignment="1">
      <alignment horizontal="center" vertical="center"/>
    </xf>
    <xf numFmtId="14" fontId="9" fillId="2" borderId="10" xfId="0" quotePrefix="1" applyNumberFormat="1" applyFont="1" applyFill="1" applyBorder="1" applyAlignment="1">
      <alignment horizontal="center" vertical="center"/>
    </xf>
    <xf numFmtId="164" fontId="3" fillId="2" borderId="8" xfId="1" applyNumberFormat="1" applyFont="1" applyFill="1" applyBorder="1" applyAlignment="1">
      <alignment horizontal="center" vertical="center"/>
    </xf>
    <xf numFmtId="164" fontId="3" fillId="2" borderId="10" xfId="1" applyNumberFormat="1" applyFont="1" applyFill="1" applyBorder="1" applyAlignment="1">
      <alignment horizontal="center" vertical="center"/>
    </xf>
    <xf numFmtId="164" fontId="14" fillId="2" borderId="8" xfId="1" applyNumberFormat="1" applyFont="1" applyFill="1" applyBorder="1" applyAlignment="1">
      <alignment horizontal="center" vertical="center" wrapText="1"/>
    </xf>
    <xf numFmtId="164" fontId="14" fillId="2" borderId="10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41" fontId="2" fillId="2" borderId="3" xfId="0" applyNumberFormat="1" applyFont="1" applyFill="1" applyBorder="1" applyAlignment="1">
      <alignment horizontal="center" vertical="center" wrapText="1"/>
    </xf>
    <xf numFmtId="41" fontId="2" fillId="2" borderId="4" xfId="0" applyNumberFormat="1" applyFont="1" applyFill="1" applyBorder="1" applyAlignment="1">
      <alignment horizontal="center" vertical="center" wrapText="1"/>
    </xf>
    <xf numFmtId="167" fontId="2" fillId="2" borderId="5" xfId="1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6" xfId="1" applyNumberFormat="1" applyFont="1" applyFill="1" applyBorder="1" applyAlignment="1">
      <alignment horizontal="center" vertical="center" wrapText="1"/>
    </xf>
    <xf numFmtId="164" fontId="2" fillId="2" borderId="7" xfId="1" applyNumberFormat="1" applyFont="1" applyFill="1" applyBorder="1" applyAlignment="1">
      <alignment horizontal="center" vertical="center" wrapText="1"/>
    </xf>
    <xf numFmtId="164" fontId="2" fillId="2" borderId="11" xfId="1" applyNumberFormat="1" applyFont="1" applyFill="1" applyBorder="1" applyAlignment="1">
      <alignment horizontal="center" vertical="center" wrapText="1"/>
    </xf>
    <xf numFmtId="164" fontId="2" fillId="2" borderId="12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164" fontId="6" fillId="2" borderId="8" xfId="1" applyNumberFormat="1" applyFont="1" applyFill="1" applyBorder="1" applyAlignment="1">
      <alignment horizontal="center" vertical="center"/>
    </xf>
    <xf numFmtId="164" fontId="6" fillId="2" borderId="10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41" fontId="2" fillId="2" borderId="2" xfId="0" applyNumberFormat="1" applyFont="1" applyFill="1" applyBorder="1" applyAlignment="1">
      <alignment horizontal="center" vertical="center" wrapText="1"/>
    </xf>
    <xf numFmtId="164" fontId="2" fillId="2" borderId="8" xfId="1" applyNumberFormat="1" applyFont="1" applyFill="1" applyBorder="1" applyAlignment="1">
      <alignment horizontal="center" vertical="center" wrapText="1"/>
    </xf>
    <xf numFmtId="164" fontId="2" fillId="2" borderId="9" xfId="1" applyNumberFormat="1" applyFont="1" applyFill="1" applyBorder="1" applyAlignment="1">
      <alignment horizontal="center" vertical="center" wrapText="1"/>
    </xf>
    <xf numFmtId="164" fontId="2" fillId="2" borderId="10" xfId="1" applyNumberFormat="1" applyFont="1" applyFill="1" applyBorder="1" applyAlignment="1">
      <alignment horizontal="center" vertical="center" wrapText="1"/>
    </xf>
  </cellXfs>
  <cellStyles count="6">
    <cellStyle name="Comma" xfId="1" builtinId="3"/>
    <cellStyle name="Comma 4 2" xfId="2" xr:uid="{00000000-0005-0000-0000-000001000000}"/>
    <cellStyle name="Comma 5" xfId="3" xr:uid="{00000000-0005-0000-0000-000002000000}"/>
    <cellStyle name="Comma 6" xfId="5" xr:uid="{00000000-0005-0000-0000-000003000000}"/>
    <cellStyle name="Normal" xfId="0" builtinId="0"/>
    <cellStyle name="Normal 6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TIN-TM%2012.2023/1.%20DIEU%20XE/2.%20PH&#205;%20VC/PHI%20VAN%20CHUYEN%20T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"/>
      <sheetName val="ANP"/>
      <sheetName val="A VIEN"/>
      <sheetName val="THUAN"/>
      <sheetName val="A DUNG"/>
      <sheetName val="A PHU"/>
      <sheetName val="A HIEU"/>
      <sheetName val="A NAM"/>
      <sheetName val="HUNG"/>
      <sheetName val="A DANH"/>
      <sheetName val="A TUẤN"/>
      <sheetName val="TÚ 4T"/>
      <sheetName val="CHU HOANG"/>
      <sheetName val="A HUU"/>
      <sheetName val="A THANH"/>
      <sheetName val="MANG NHUA"/>
      <sheetName val="TMC "/>
      <sheetName val="A TRỌN"/>
      <sheetName val="A HA"/>
      <sheetName val="A KHAI"/>
      <sheetName val="TH 2022"/>
      <sheetName val="Sheet1"/>
      <sheetName val="AN NGUYEN (PHE LIEU )"/>
      <sheetName val="QUY CACH THUNG XE"/>
      <sheetName val="DIA CHI "/>
    </sheetNames>
    <sheetDataSet>
      <sheetData sheetId="0"/>
      <sheetData sheetId="1"/>
      <sheetData sheetId="2">
        <row r="1">
          <cell r="A1" t="str">
            <v xml:space="preserve">2025年12销路运费 </v>
          </cell>
        </row>
        <row r="3">
          <cell r="A3" t="str">
            <v xml:space="preserve"> THÁNG 12 NĂM 2025</v>
          </cell>
        </row>
        <row r="71">
          <cell r="G71" t="str">
            <v>Đặng Thị Mỹ Tin</v>
          </cell>
        </row>
      </sheetData>
      <sheetData sheetId="3"/>
      <sheetData sheetId="4"/>
      <sheetData sheetId="5"/>
      <sheetData sheetId="6"/>
      <sheetData sheetId="7"/>
      <sheetData sheetId="8">
        <row r="50">
          <cell r="K50">
            <v>500000</v>
          </cell>
        </row>
      </sheetData>
      <sheetData sheetId="9">
        <row r="40">
          <cell r="L40">
            <v>13900000</v>
          </cell>
        </row>
      </sheetData>
      <sheetData sheetId="10"/>
      <sheetData sheetId="11"/>
      <sheetData sheetId="12">
        <row r="59">
          <cell r="L59">
            <v>8510000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60"/>
  <sheetViews>
    <sheetView tabSelected="1" topLeftCell="D37" zoomScale="70" zoomScaleNormal="70" workbookViewId="0">
      <selection activeCell="Q40" sqref="Q40:Q41"/>
    </sheetView>
  </sheetViews>
  <sheetFormatPr defaultColWidth="9.109375" defaultRowHeight="13.8"/>
  <cols>
    <col min="1" max="1" width="8.44140625" style="1" customWidth="1"/>
    <col min="2" max="2" width="13.33203125" style="62" customWidth="1"/>
    <col min="3" max="3" width="12.77734375" style="3" customWidth="1"/>
    <col min="4" max="4" width="22.21875" style="3" customWidth="1"/>
    <col min="5" max="5" width="14.5546875" style="33" customWidth="1"/>
    <col min="6" max="6" width="20" style="34" customWidth="1"/>
    <col min="7" max="7" width="14.5546875" style="28" customWidth="1"/>
    <col min="8" max="8" width="15.88671875" style="38" customWidth="1"/>
    <col min="9" max="9" width="12.44140625" style="36" customWidth="1"/>
    <col min="10" max="10" width="14.33203125" style="54" customWidth="1"/>
    <col min="11" max="11" width="13.44140625" style="7" customWidth="1"/>
    <col min="12" max="12" width="16.6640625" style="7" customWidth="1"/>
    <col min="13" max="13" width="15.88671875" style="7" customWidth="1"/>
    <col min="14" max="15" width="13.6640625" style="7" customWidth="1"/>
    <col min="16" max="16" width="15.33203125" style="7" customWidth="1"/>
    <col min="17" max="17" width="16.6640625" style="64" customWidth="1"/>
    <col min="18" max="18" width="45" style="3" customWidth="1"/>
    <col min="19" max="19" width="25.33203125" style="3" customWidth="1"/>
    <col min="20" max="16384" width="9.109375" style="1"/>
  </cols>
  <sheetData>
    <row r="1" spans="1:19">
      <c r="A1" s="95" t="str">
        <f>'[1]A VIEN'!A1:Q1</f>
        <v xml:space="preserve">2025年12销路运费 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</row>
    <row r="2" spans="1:19" ht="17.399999999999999">
      <c r="A2" s="96" t="s">
        <v>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</row>
    <row r="3" spans="1:19">
      <c r="A3" s="95" t="str">
        <f>'[1]A VIEN'!A3:Q3</f>
        <v xml:space="preserve"> THÁNG 12 NĂM 2025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</row>
    <row r="4" spans="1:19">
      <c r="A4" s="105" t="s">
        <v>53</v>
      </c>
      <c r="B4" s="105"/>
      <c r="C4" s="105"/>
      <c r="D4" s="2"/>
      <c r="E4" s="3"/>
      <c r="F4" s="3"/>
      <c r="G4" s="4"/>
      <c r="H4" s="5"/>
      <c r="I4" s="6"/>
      <c r="J4" s="6"/>
    </row>
    <row r="5" spans="1:19" ht="29.25" customHeight="1">
      <c r="A5" s="106" t="s">
        <v>1</v>
      </c>
      <c r="B5" s="107" t="s">
        <v>2</v>
      </c>
      <c r="C5" s="106" t="s">
        <v>3</v>
      </c>
      <c r="D5" s="106" t="s">
        <v>4</v>
      </c>
      <c r="E5" s="106" t="s">
        <v>5</v>
      </c>
      <c r="F5" s="106"/>
      <c r="G5" s="108" t="s">
        <v>6</v>
      </c>
      <c r="H5" s="109"/>
      <c r="I5" s="109"/>
      <c r="J5" s="110"/>
      <c r="K5" s="111" t="s">
        <v>7</v>
      </c>
      <c r="L5" s="112" t="s">
        <v>8</v>
      </c>
      <c r="M5" s="113"/>
      <c r="N5" s="123" t="s">
        <v>9</v>
      </c>
      <c r="O5" s="123"/>
      <c r="P5" s="126" t="s">
        <v>10</v>
      </c>
      <c r="Q5" s="123" t="s">
        <v>11</v>
      </c>
      <c r="R5" s="124" t="s">
        <v>12</v>
      </c>
    </row>
    <row r="6" spans="1:19" ht="23.25" customHeight="1">
      <c r="A6" s="106"/>
      <c r="B6" s="107"/>
      <c r="C6" s="106"/>
      <c r="D6" s="106"/>
      <c r="E6" s="106" t="s">
        <v>13</v>
      </c>
      <c r="F6" s="106" t="s">
        <v>14</v>
      </c>
      <c r="G6" s="88" t="s">
        <v>15</v>
      </c>
      <c r="H6" s="125" t="s">
        <v>16</v>
      </c>
      <c r="I6" s="125"/>
      <c r="J6" s="43" t="s">
        <v>17</v>
      </c>
      <c r="K6" s="111"/>
      <c r="L6" s="114"/>
      <c r="M6" s="115"/>
      <c r="N6" s="123"/>
      <c r="O6" s="123"/>
      <c r="P6" s="127"/>
      <c r="Q6" s="123"/>
      <c r="R6" s="124"/>
    </row>
    <row r="7" spans="1:19" ht="22.5" customHeight="1">
      <c r="A7" s="106"/>
      <c r="B7" s="107"/>
      <c r="C7" s="106"/>
      <c r="D7" s="106"/>
      <c r="E7" s="106"/>
      <c r="F7" s="106"/>
      <c r="G7" s="88" t="s">
        <v>18</v>
      </c>
      <c r="H7" s="84" t="s">
        <v>19</v>
      </c>
      <c r="I7" s="87" t="s">
        <v>18</v>
      </c>
      <c r="J7" s="43" t="s">
        <v>18</v>
      </c>
      <c r="K7" s="111"/>
      <c r="L7" s="88" t="s">
        <v>15</v>
      </c>
      <c r="M7" s="9" t="s">
        <v>16</v>
      </c>
      <c r="N7" s="88" t="s">
        <v>15</v>
      </c>
      <c r="O7" s="59" t="s">
        <v>16</v>
      </c>
      <c r="P7" s="128"/>
      <c r="Q7" s="123"/>
      <c r="R7" s="124"/>
    </row>
    <row r="8" spans="1:19" ht="27.6" customHeight="1">
      <c r="A8" s="80">
        <v>1</v>
      </c>
      <c r="B8" s="77" t="s">
        <v>67</v>
      </c>
      <c r="C8" s="79" t="s">
        <v>98</v>
      </c>
      <c r="D8" s="79" t="s">
        <v>45</v>
      </c>
      <c r="E8" s="11"/>
      <c r="F8" s="11" t="s">
        <v>38</v>
      </c>
      <c r="G8" s="55"/>
      <c r="H8" s="85">
        <v>369500</v>
      </c>
      <c r="I8" s="85">
        <v>5219.0780999999997</v>
      </c>
      <c r="J8" s="63"/>
      <c r="K8" s="80"/>
      <c r="L8" s="13"/>
      <c r="M8" s="12">
        <v>2150000</v>
      </c>
      <c r="N8" s="12"/>
      <c r="O8" s="12"/>
      <c r="P8" s="12"/>
      <c r="Q8" s="72">
        <f>SUM(L8:P8)</f>
        <v>2150000</v>
      </c>
      <c r="R8" s="92" t="s">
        <v>32</v>
      </c>
    </row>
    <row r="9" spans="1:19" ht="27.6" customHeight="1">
      <c r="A9" s="80">
        <v>2</v>
      </c>
      <c r="B9" s="77" t="s">
        <v>68</v>
      </c>
      <c r="C9" s="79">
        <v>8</v>
      </c>
      <c r="D9" s="79" t="s">
        <v>57</v>
      </c>
      <c r="E9" s="11"/>
      <c r="F9" s="11" t="s">
        <v>52</v>
      </c>
      <c r="G9" s="55"/>
      <c r="H9" s="85">
        <v>256000</v>
      </c>
      <c r="I9" s="85"/>
      <c r="J9" s="63"/>
      <c r="K9" s="80"/>
      <c r="L9" s="13"/>
      <c r="M9" s="13">
        <v>2450000</v>
      </c>
      <c r="N9" s="12"/>
      <c r="O9" s="12">
        <v>1225000</v>
      </c>
      <c r="P9" s="12"/>
      <c r="Q9" s="72">
        <f t="shared" ref="Q9:Q39" si="0">SUM(L9:P9)</f>
        <v>3675000</v>
      </c>
      <c r="R9" s="82" t="s">
        <v>99</v>
      </c>
    </row>
    <row r="10" spans="1:19" ht="27.6" customHeight="1">
      <c r="A10" s="80">
        <v>2</v>
      </c>
      <c r="B10" s="77" t="s">
        <v>68</v>
      </c>
      <c r="C10" s="11" t="s">
        <v>100</v>
      </c>
      <c r="D10" s="79" t="s">
        <v>47</v>
      </c>
      <c r="E10" s="11"/>
      <c r="F10" s="11" t="s">
        <v>49</v>
      </c>
      <c r="G10" s="55"/>
      <c r="H10" s="85">
        <v>406800</v>
      </c>
      <c r="I10" s="85">
        <v>4770.7380000000003</v>
      </c>
      <c r="J10" s="63"/>
      <c r="K10" s="80"/>
      <c r="L10" s="13"/>
      <c r="M10" s="13">
        <v>2600000</v>
      </c>
      <c r="N10" s="12"/>
      <c r="O10" s="12">
        <v>200000</v>
      </c>
      <c r="P10" s="12"/>
      <c r="Q10" s="72">
        <f t="shared" si="0"/>
        <v>2800000</v>
      </c>
      <c r="R10" s="56" t="s">
        <v>66</v>
      </c>
    </row>
    <row r="11" spans="1:19" ht="27.6" customHeight="1">
      <c r="A11" s="80">
        <v>3</v>
      </c>
      <c r="B11" s="77" t="s">
        <v>69</v>
      </c>
      <c r="C11" s="79">
        <v>11</v>
      </c>
      <c r="D11" s="79" t="s">
        <v>48</v>
      </c>
      <c r="E11" s="11"/>
      <c r="F11" s="11" t="s">
        <v>31</v>
      </c>
      <c r="G11" s="55"/>
      <c r="H11" s="85">
        <v>134400</v>
      </c>
      <c r="I11" s="85">
        <v>2782.08</v>
      </c>
      <c r="J11" s="58"/>
      <c r="K11" s="80"/>
      <c r="L11" s="13"/>
      <c r="M11" s="13">
        <v>1900000</v>
      </c>
      <c r="N11" s="15"/>
      <c r="O11" s="15"/>
      <c r="P11" s="15"/>
      <c r="Q11" s="72">
        <f t="shared" si="0"/>
        <v>1900000</v>
      </c>
      <c r="R11" s="66"/>
    </row>
    <row r="12" spans="1:19" ht="27.6" customHeight="1">
      <c r="A12" s="80">
        <v>4</v>
      </c>
      <c r="B12" s="77" t="s">
        <v>70</v>
      </c>
      <c r="C12" s="79" t="s">
        <v>101</v>
      </c>
      <c r="D12" s="79" t="s">
        <v>45</v>
      </c>
      <c r="E12" s="11"/>
      <c r="F12" s="11" t="s">
        <v>38</v>
      </c>
      <c r="G12" s="55"/>
      <c r="H12" s="85">
        <v>107520</v>
      </c>
      <c r="I12" s="85">
        <v>2737.0349000000001</v>
      </c>
      <c r="J12" s="58"/>
      <c r="K12" s="80"/>
      <c r="L12" s="13"/>
      <c r="M12" s="13">
        <v>2150000</v>
      </c>
      <c r="N12" s="15"/>
      <c r="O12" s="15"/>
      <c r="P12" s="15"/>
      <c r="Q12" s="72">
        <f t="shared" si="0"/>
        <v>2150000</v>
      </c>
      <c r="R12" s="66" t="s">
        <v>32</v>
      </c>
    </row>
    <row r="13" spans="1:19" ht="27.6" customHeight="1">
      <c r="A13" s="80">
        <v>5</v>
      </c>
      <c r="B13" s="77" t="s">
        <v>95</v>
      </c>
      <c r="C13" s="79" t="s">
        <v>102</v>
      </c>
      <c r="D13" s="79" t="s">
        <v>60</v>
      </c>
      <c r="E13" s="11"/>
      <c r="F13" s="11" t="s">
        <v>61</v>
      </c>
      <c r="G13" s="55"/>
      <c r="H13" s="85">
        <v>600300</v>
      </c>
      <c r="I13" s="85">
        <v>4042.5803000000001</v>
      </c>
      <c r="J13" s="63"/>
      <c r="K13" s="80"/>
      <c r="L13" s="13"/>
      <c r="M13" s="13">
        <v>2700000</v>
      </c>
      <c r="N13" s="16"/>
      <c r="O13" s="16"/>
      <c r="P13" s="14"/>
      <c r="Q13" s="72">
        <f t="shared" si="0"/>
        <v>2700000</v>
      </c>
      <c r="R13" s="56"/>
    </row>
    <row r="14" spans="1:19" ht="27.6" customHeight="1">
      <c r="A14" s="80">
        <v>6</v>
      </c>
      <c r="B14" s="77" t="s">
        <v>71</v>
      </c>
      <c r="C14" s="79" t="s">
        <v>103</v>
      </c>
      <c r="D14" s="79" t="s">
        <v>48</v>
      </c>
      <c r="E14" s="11"/>
      <c r="F14" s="11" t="s">
        <v>31</v>
      </c>
      <c r="G14" s="55"/>
      <c r="H14" s="85">
        <v>229100</v>
      </c>
      <c r="I14" s="85">
        <v>3683.4351000000001</v>
      </c>
      <c r="J14" s="63"/>
      <c r="K14" s="80"/>
      <c r="L14" s="13"/>
      <c r="M14" s="13">
        <v>1950000</v>
      </c>
      <c r="N14" s="13"/>
      <c r="O14" s="13"/>
      <c r="P14" s="14"/>
      <c r="Q14" s="72">
        <f t="shared" si="0"/>
        <v>1950000</v>
      </c>
      <c r="R14" s="56" t="s">
        <v>32</v>
      </c>
    </row>
    <row r="15" spans="1:19" ht="27.6" customHeight="1">
      <c r="A15" s="80">
        <v>7</v>
      </c>
      <c r="B15" s="77" t="s">
        <v>72</v>
      </c>
      <c r="C15" s="79">
        <v>3</v>
      </c>
      <c r="D15" s="79" t="s">
        <v>57</v>
      </c>
      <c r="E15" s="11"/>
      <c r="F15" s="11" t="s">
        <v>52</v>
      </c>
      <c r="G15" s="55"/>
      <c r="H15" s="85">
        <v>256000</v>
      </c>
      <c r="I15" s="55"/>
      <c r="J15" s="63"/>
      <c r="K15" s="80"/>
      <c r="L15" s="13"/>
      <c r="M15" s="13">
        <v>2450000</v>
      </c>
      <c r="N15" s="13"/>
      <c r="O15" s="13">
        <v>700000</v>
      </c>
      <c r="P15" s="14"/>
      <c r="Q15" s="72">
        <f t="shared" si="0"/>
        <v>3150000</v>
      </c>
      <c r="R15" s="82" t="s">
        <v>104</v>
      </c>
    </row>
    <row r="16" spans="1:19" ht="27.6" customHeight="1">
      <c r="A16" s="80">
        <v>8</v>
      </c>
      <c r="B16" s="77" t="s">
        <v>73</v>
      </c>
      <c r="C16" s="11" t="s">
        <v>59</v>
      </c>
      <c r="D16" s="79" t="s">
        <v>45</v>
      </c>
      <c r="E16" s="11"/>
      <c r="F16" s="11" t="s">
        <v>38</v>
      </c>
      <c r="G16" s="55"/>
      <c r="H16" s="85">
        <v>240700</v>
      </c>
      <c r="I16" s="85">
        <v>4707.8680999999997</v>
      </c>
      <c r="J16" s="58"/>
      <c r="K16" s="80"/>
      <c r="L16" s="13"/>
      <c r="M16" s="13">
        <v>2100000</v>
      </c>
      <c r="N16" s="13"/>
      <c r="O16" s="13"/>
      <c r="P16" s="14"/>
      <c r="Q16" s="72">
        <f t="shared" si="0"/>
        <v>2100000</v>
      </c>
      <c r="R16" s="75"/>
    </row>
    <row r="17" spans="1:19" ht="27.6" customHeight="1">
      <c r="A17" s="80">
        <v>9</v>
      </c>
      <c r="B17" s="77" t="s">
        <v>74</v>
      </c>
      <c r="C17" s="79" t="s">
        <v>105</v>
      </c>
      <c r="D17" s="79" t="s">
        <v>47</v>
      </c>
      <c r="E17" s="11"/>
      <c r="F17" s="11" t="s">
        <v>49</v>
      </c>
      <c r="G17" s="55"/>
      <c r="H17" s="81">
        <v>350000</v>
      </c>
      <c r="I17" s="81">
        <v>5235.0522000000001</v>
      </c>
      <c r="J17" s="58"/>
      <c r="K17" s="80"/>
      <c r="L17" s="13"/>
      <c r="M17" s="13">
        <v>2650000</v>
      </c>
      <c r="N17" s="13"/>
      <c r="O17" s="13"/>
      <c r="P17" s="14"/>
      <c r="Q17" s="72">
        <f t="shared" si="0"/>
        <v>2650000</v>
      </c>
      <c r="R17" s="75"/>
    </row>
    <row r="18" spans="1:19" ht="27.6" customHeight="1">
      <c r="A18" s="80">
        <v>10</v>
      </c>
      <c r="B18" s="77" t="s">
        <v>75</v>
      </c>
      <c r="C18" s="79" t="s">
        <v>94</v>
      </c>
      <c r="D18" s="79" t="s">
        <v>48</v>
      </c>
      <c r="E18" s="11"/>
      <c r="F18" s="11" t="s">
        <v>31</v>
      </c>
      <c r="G18" s="55"/>
      <c r="H18" s="81">
        <v>140480</v>
      </c>
      <c r="I18" s="81">
        <v>2143.136</v>
      </c>
      <c r="J18" s="58"/>
      <c r="K18" s="80"/>
      <c r="L18" s="13"/>
      <c r="M18" s="13">
        <v>1900000</v>
      </c>
      <c r="N18" s="13"/>
      <c r="O18" s="13"/>
      <c r="P18" s="14"/>
      <c r="Q18" s="72">
        <f t="shared" si="0"/>
        <v>1900000</v>
      </c>
      <c r="R18" s="75"/>
    </row>
    <row r="19" spans="1:19" ht="27.6" customHeight="1">
      <c r="A19" s="80">
        <v>11</v>
      </c>
      <c r="B19" s="77" t="s">
        <v>76</v>
      </c>
      <c r="C19" s="79">
        <v>52</v>
      </c>
      <c r="D19" s="79" t="s">
        <v>64</v>
      </c>
      <c r="E19" s="11"/>
      <c r="F19" s="11" t="s">
        <v>30</v>
      </c>
      <c r="G19" s="55"/>
      <c r="H19" s="81">
        <v>116666</v>
      </c>
      <c r="I19" s="81">
        <v>2823</v>
      </c>
      <c r="J19" s="58"/>
      <c r="K19" s="80"/>
      <c r="L19" s="13"/>
      <c r="M19" s="13">
        <v>1450000</v>
      </c>
      <c r="N19" s="13"/>
      <c r="O19" s="13"/>
      <c r="P19" s="14"/>
      <c r="Q19" s="72">
        <f t="shared" si="0"/>
        <v>1450000</v>
      </c>
      <c r="R19" s="75"/>
    </row>
    <row r="20" spans="1:19" ht="27.6" customHeight="1">
      <c r="A20" s="80">
        <v>12</v>
      </c>
      <c r="B20" s="77" t="s">
        <v>76</v>
      </c>
      <c r="C20" s="89" t="s">
        <v>106</v>
      </c>
      <c r="D20" s="67" t="s">
        <v>39</v>
      </c>
      <c r="E20" s="11"/>
      <c r="F20" s="11" t="s">
        <v>36</v>
      </c>
      <c r="G20" s="55">
        <v>9000</v>
      </c>
      <c r="H20" s="85"/>
      <c r="I20" s="85"/>
      <c r="J20" s="63"/>
      <c r="K20" s="80"/>
      <c r="L20" s="13">
        <v>2100000</v>
      </c>
      <c r="M20" s="13"/>
      <c r="N20" s="16"/>
      <c r="O20" s="16"/>
      <c r="P20" s="16"/>
      <c r="Q20" s="72">
        <f t="shared" si="0"/>
        <v>2100000</v>
      </c>
      <c r="R20" s="66" t="s">
        <v>34</v>
      </c>
    </row>
    <row r="21" spans="1:19" ht="27.6" customHeight="1">
      <c r="A21" s="80">
        <v>13</v>
      </c>
      <c r="B21" s="77" t="s">
        <v>76</v>
      </c>
      <c r="C21" s="79" t="s">
        <v>107</v>
      </c>
      <c r="D21" s="79" t="s">
        <v>47</v>
      </c>
      <c r="E21" s="11"/>
      <c r="F21" s="11" t="s">
        <v>49</v>
      </c>
      <c r="G21" s="55"/>
      <c r="H21" s="81">
        <v>1323000</v>
      </c>
      <c r="I21" s="81">
        <v>3938.5171999999998</v>
      </c>
      <c r="J21" s="55"/>
      <c r="K21" s="80"/>
      <c r="L21" s="13"/>
      <c r="M21" s="13">
        <v>2600000</v>
      </c>
      <c r="N21" s="16"/>
      <c r="O21" s="12">
        <v>200000</v>
      </c>
      <c r="P21" s="16"/>
      <c r="Q21" s="72">
        <f t="shared" si="0"/>
        <v>2800000</v>
      </c>
      <c r="R21" s="90" t="s">
        <v>65</v>
      </c>
    </row>
    <row r="22" spans="1:19" ht="27.6" customHeight="1">
      <c r="A22" s="80">
        <v>14</v>
      </c>
      <c r="B22" s="77" t="s">
        <v>77</v>
      </c>
      <c r="C22" s="79">
        <v>13</v>
      </c>
      <c r="D22" s="79" t="s">
        <v>57</v>
      </c>
      <c r="E22" s="11"/>
      <c r="F22" s="11" t="s">
        <v>52</v>
      </c>
      <c r="G22" s="55"/>
      <c r="H22" s="81">
        <v>227000</v>
      </c>
      <c r="I22" s="81">
        <v>2014.5796</v>
      </c>
      <c r="J22" s="55"/>
      <c r="K22" s="80"/>
      <c r="L22" s="13"/>
      <c r="M22" s="13">
        <v>2450000</v>
      </c>
      <c r="N22" s="16"/>
      <c r="O22" s="12"/>
      <c r="P22" s="16"/>
      <c r="Q22" s="72">
        <f t="shared" si="0"/>
        <v>2450000</v>
      </c>
      <c r="R22" s="90"/>
    </row>
    <row r="23" spans="1:19" ht="27.6" customHeight="1">
      <c r="A23" s="80">
        <v>15</v>
      </c>
      <c r="B23" s="77" t="s">
        <v>78</v>
      </c>
      <c r="C23" s="79">
        <v>18</v>
      </c>
      <c r="D23" s="79" t="s">
        <v>47</v>
      </c>
      <c r="E23" s="11"/>
      <c r="F23" s="11" t="s">
        <v>49</v>
      </c>
      <c r="G23" s="55"/>
      <c r="H23" s="81">
        <v>1315800</v>
      </c>
      <c r="I23" s="81">
        <v>2256.61</v>
      </c>
      <c r="J23" s="55"/>
      <c r="K23" s="80"/>
      <c r="L23" s="13"/>
      <c r="M23" s="13">
        <v>2650000</v>
      </c>
      <c r="N23" s="13"/>
      <c r="O23" s="13"/>
      <c r="P23" s="16"/>
      <c r="Q23" s="72">
        <f t="shared" si="0"/>
        <v>2650000</v>
      </c>
      <c r="R23" s="90"/>
    </row>
    <row r="24" spans="1:19" ht="27.6" customHeight="1">
      <c r="A24" s="80">
        <v>16</v>
      </c>
      <c r="B24" s="77" t="s">
        <v>79</v>
      </c>
      <c r="C24" s="11">
        <v>17</v>
      </c>
      <c r="D24" s="79" t="s">
        <v>40</v>
      </c>
      <c r="E24" s="11"/>
      <c r="F24" s="11" t="s">
        <v>42</v>
      </c>
      <c r="G24" s="55">
        <v>7930</v>
      </c>
      <c r="H24" s="55"/>
      <c r="I24" s="83"/>
      <c r="J24" s="55"/>
      <c r="K24" s="80"/>
      <c r="L24" s="13">
        <v>950000</v>
      </c>
      <c r="M24" s="13"/>
      <c r="N24" s="13"/>
      <c r="O24" s="13"/>
      <c r="P24" s="16"/>
      <c r="Q24" s="72">
        <f t="shared" si="0"/>
        <v>950000</v>
      </c>
      <c r="R24" s="90"/>
    </row>
    <row r="25" spans="1:19" ht="27.6" customHeight="1">
      <c r="A25" s="80">
        <v>17</v>
      </c>
      <c r="B25" s="77" t="s">
        <v>79</v>
      </c>
      <c r="C25" s="79">
        <v>23</v>
      </c>
      <c r="D25" s="79" t="s">
        <v>47</v>
      </c>
      <c r="E25" s="11"/>
      <c r="F25" s="11" t="s">
        <v>49</v>
      </c>
      <c r="G25" s="55"/>
      <c r="H25" s="81">
        <v>237000</v>
      </c>
      <c r="I25" s="81">
        <v>1422</v>
      </c>
      <c r="J25" s="55"/>
      <c r="K25" s="80"/>
      <c r="L25" s="13"/>
      <c r="M25" s="13">
        <v>2600000</v>
      </c>
      <c r="N25" s="13"/>
      <c r="O25" s="13"/>
      <c r="P25" s="16"/>
      <c r="Q25" s="72">
        <f t="shared" si="0"/>
        <v>2600000</v>
      </c>
      <c r="R25" s="90" t="s">
        <v>34</v>
      </c>
      <c r="S25" s="82"/>
    </row>
    <row r="26" spans="1:19" ht="27.6" customHeight="1">
      <c r="A26" s="80">
        <v>18</v>
      </c>
      <c r="B26" s="77" t="s">
        <v>93</v>
      </c>
      <c r="C26" s="79" t="s">
        <v>63</v>
      </c>
      <c r="D26" s="79" t="s">
        <v>48</v>
      </c>
      <c r="E26" s="11"/>
      <c r="F26" s="11" t="s">
        <v>31</v>
      </c>
      <c r="G26" s="55"/>
      <c r="H26" s="81">
        <v>173200</v>
      </c>
      <c r="I26" s="81">
        <v>3406.7419</v>
      </c>
      <c r="J26" s="63"/>
      <c r="K26" s="90"/>
      <c r="L26" s="13"/>
      <c r="M26" s="13">
        <v>1950000</v>
      </c>
      <c r="N26" s="10"/>
      <c r="O26" s="15"/>
      <c r="P26" s="16"/>
      <c r="Q26" s="72">
        <f t="shared" si="0"/>
        <v>1950000</v>
      </c>
      <c r="R26" s="75" t="s">
        <v>32</v>
      </c>
    </row>
    <row r="27" spans="1:19" ht="27.6" customHeight="1">
      <c r="A27" s="80">
        <v>19</v>
      </c>
      <c r="B27" s="77" t="s">
        <v>80</v>
      </c>
      <c r="C27" s="79">
        <v>4</v>
      </c>
      <c r="D27" s="79" t="s">
        <v>48</v>
      </c>
      <c r="E27" s="11"/>
      <c r="F27" s="11" t="s">
        <v>31</v>
      </c>
      <c r="G27" s="55"/>
      <c r="H27" s="81">
        <v>134400</v>
      </c>
      <c r="I27" s="81">
        <v>2782.08</v>
      </c>
      <c r="J27" s="63"/>
      <c r="K27" s="90"/>
      <c r="L27" s="13"/>
      <c r="M27" s="13">
        <v>1900000</v>
      </c>
      <c r="N27" s="16"/>
      <c r="O27" s="16"/>
      <c r="P27" s="16"/>
      <c r="Q27" s="72">
        <f t="shared" si="0"/>
        <v>1900000</v>
      </c>
      <c r="R27" s="75"/>
    </row>
    <row r="28" spans="1:19" ht="27.6" customHeight="1">
      <c r="A28" s="80">
        <v>20</v>
      </c>
      <c r="B28" s="77" t="s">
        <v>80</v>
      </c>
      <c r="C28" s="11" t="s">
        <v>108</v>
      </c>
      <c r="D28" s="79" t="s">
        <v>47</v>
      </c>
      <c r="E28" s="11"/>
      <c r="F28" s="11" t="s">
        <v>49</v>
      </c>
      <c r="G28" s="55"/>
      <c r="H28" s="85">
        <v>297200</v>
      </c>
      <c r="I28" s="85">
        <v>3243.4695000000002</v>
      </c>
      <c r="J28" s="63"/>
      <c r="K28" s="80"/>
      <c r="L28" s="13"/>
      <c r="M28" s="13">
        <v>2650000</v>
      </c>
      <c r="N28" s="15"/>
      <c r="O28" s="15"/>
      <c r="P28" s="15"/>
      <c r="Q28" s="72">
        <f t="shared" si="0"/>
        <v>2650000</v>
      </c>
      <c r="R28" s="75" t="s">
        <v>51</v>
      </c>
    </row>
    <row r="29" spans="1:19" ht="27.6" customHeight="1">
      <c r="A29" s="80">
        <v>21</v>
      </c>
      <c r="B29" s="77" t="s">
        <v>81</v>
      </c>
      <c r="C29" s="79" t="s">
        <v>62</v>
      </c>
      <c r="D29" s="79" t="s">
        <v>39</v>
      </c>
      <c r="E29" s="11"/>
      <c r="F29" s="11" t="s">
        <v>36</v>
      </c>
      <c r="G29" s="55">
        <v>6500</v>
      </c>
      <c r="H29" s="55"/>
      <c r="I29" s="55"/>
      <c r="J29" s="73">
        <v>2207</v>
      </c>
      <c r="K29" s="80"/>
      <c r="L29" s="13">
        <v>1650000</v>
      </c>
      <c r="M29" s="13"/>
      <c r="N29" s="15"/>
      <c r="O29" s="15"/>
      <c r="P29" s="15">
        <f>J29*400</f>
        <v>882800</v>
      </c>
      <c r="Q29" s="72">
        <f t="shared" si="0"/>
        <v>2532800</v>
      </c>
      <c r="R29" s="41" t="s">
        <v>55</v>
      </c>
    </row>
    <row r="30" spans="1:19" ht="27.6" customHeight="1">
      <c r="A30" s="97">
        <v>22</v>
      </c>
      <c r="B30" s="99" t="s">
        <v>82</v>
      </c>
      <c r="C30" s="11" t="s">
        <v>54</v>
      </c>
      <c r="D30" s="79" t="s">
        <v>97</v>
      </c>
      <c r="E30" s="11"/>
      <c r="F30" s="11" t="s">
        <v>33</v>
      </c>
      <c r="G30" s="55"/>
      <c r="H30" s="85">
        <v>56200</v>
      </c>
      <c r="I30" s="85">
        <v>886.8</v>
      </c>
      <c r="J30" s="55"/>
      <c r="K30" s="10"/>
      <c r="L30" s="13"/>
      <c r="M30" s="101">
        <v>2000000</v>
      </c>
      <c r="N30" s="15"/>
      <c r="O30" s="15"/>
      <c r="P30" s="15"/>
      <c r="Q30" s="103">
        <f>SUM(L30:P31)</f>
        <v>2000000</v>
      </c>
      <c r="R30" s="78"/>
      <c r="S30" s="94"/>
    </row>
    <row r="31" spans="1:19" ht="27.6" customHeight="1">
      <c r="A31" s="98"/>
      <c r="B31" s="100"/>
      <c r="C31" s="11" t="s">
        <v>96</v>
      </c>
      <c r="D31" s="79" t="s">
        <v>46</v>
      </c>
      <c r="E31" s="11"/>
      <c r="F31" s="11" t="s">
        <v>37</v>
      </c>
      <c r="G31" s="68"/>
      <c r="H31" s="81">
        <v>265200</v>
      </c>
      <c r="I31" s="85">
        <v>3460.3092000000001</v>
      </c>
      <c r="J31" s="55"/>
      <c r="K31" s="10"/>
      <c r="L31" s="13"/>
      <c r="M31" s="102"/>
      <c r="N31" s="13"/>
      <c r="O31" s="13"/>
      <c r="P31" s="14"/>
      <c r="Q31" s="104"/>
      <c r="R31" s="90"/>
    </row>
    <row r="32" spans="1:19" ht="28.2" customHeight="1">
      <c r="A32" s="80">
        <v>23</v>
      </c>
      <c r="B32" s="77" t="s">
        <v>82</v>
      </c>
      <c r="C32" s="11" t="s">
        <v>109</v>
      </c>
      <c r="D32" s="79" t="s">
        <v>47</v>
      </c>
      <c r="E32" s="11"/>
      <c r="F32" s="11" t="s">
        <v>49</v>
      </c>
      <c r="G32" s="68"/>
      <c r="H32" s="81">
        <v>300600</v>
      </c>
      <c r="I32" s="85">
        <v>4826.5923000000003</v>
      </c>
      <c r="J32" s="55"/>
      <c r="K32" s="10"/>
      <c r="L32" s="13"/>
      <c r="M32" s="13">
        <v>2600000</v>
      </c>
      <c r="N32" s="15"/>
      <c r="O32" s="15">
        <v>200000</v>
      </c>
      <c r="P32" s="15"/>
      <c r="Q32" s="72">
        <f t="shared" si="0"/>
        <v>2800000</v>
      </c>
      <c r="R32" s="90" t="s">
        <v>66</v>
      </c>
    </row>
    <row r="33" spans="1:19" ht="27.6" customHeight="1">
      <c r="A33" s="80">
        <v>24</v>
      </c>
      <c r="B33" s="77" t="s">
        <v>83</v>
      </c>
      <c r="C33" s="79">
        <v>30</v>
      </c>
      <c r="D33" s="79" t="s">
        <v>56</v>
      </c>
      <c r="E33" s="11"/>
      <c r="F33" s="11" t="s">
        <v>43</v>
      </c>
      <c r="G33" s="55"/>
      <c r="H33" s="81">
        <v>240000</v>
      </c>
      <c r="I33" s="81">
        <v>4080.6648</v>
      </c>
      <c r="J33" s="10"/>
      <c r="K33" s="10"/>
      <c r="L33" s="13"/>
      <c r="M33" s="13">
        <v>2150000</v>
      </c>
      <c r="N33" s="15"/>
      <c r="O33" s="15"/>
      <c r="P33" s="15"/>
      <c r="Q33" s="72">
        <f t="shared" si="0"/>
        <v>2150000</v>
      </c>
      <c r="R33" s="56"/>
    </row>
    <row r="34" spans="1:19" ht="27.6" customHeight="1">
      <c r="A34" s="80">
        <v>25</v>
      </c>
      <c r="B34" s="77" t="s">
        <v>84</v>
      </c>
      <c r="C34" s="79" t="s">
        <v>58</v>
      </c>
      <c r="D34" s="79" t="s">
        <v>48</v>
      </c>
      <c r="E34" s="11"/>
      <c r="F34" s="11" t="s">
        <v>31</v>
      </c>
      <c r="G34" s="55"/>
      <c r="H34" s="81">
        <v>207060</v>
      </c>
      <c r="I34" s="81">
        <v>4266.6782000000003</v>
      </c>
      <c r="J34" s="42"/>
      <c r="K34" s="10"/>
      <c r="L34" s="13"/>
      <c r="M34" s="13">
        <v>1950000</v>
      </c>
      <c r="N34" s="80"/>
      <c r="O34" s="10"/>
      <c r="P34" s="14"/>
      <c r="Q34" s="72">
        <f t="shared" si="0"/>
        <v>1950000</v>
      </c>
      <c r="R34" s="66" t="s">
        <v>32</v>
      </c>
    </row>
    <row r="35" spans="1:19" ht="27.6" customHeight="1">
      <c r="A35" s="80">
        <v>26</v>
      </c>
      <c r="B35" s="91" t="s">
        <v>85</v>
      </c>
      <c r="C35" s="79">
        <v>10</v>
      </c>
      <c r="D35" s="79" t="s">
        <v>57</v>
      </c>
      <c r="E35" s="11"/>
      <c r="F35" s="11" t="s">
        <v>52</v>
      </c>
      <c r="G35" s="55"/>
      <c r="H35" s="81">
        <v>320000</v>
      </c>
      <c r="I35" s="81">
        <v>2839.9360000000001</v>
      </c>
      <c r="J35" s="42"/>
      <c r="K35" s="10"/>
      <c r="L35" s="13"/>
      <c r="M35" s="13">
        <v>2450000</v>
      </c>
      <c r="N35" s="80"/>
      <c r="O35" s="10">
        <f>259*500</f>
        <v>129500</v>
      </c>
      <c r="P35" s="14"/>
      <c r="Q35" s="72">
        <f t="shared" si="0"/>
        <v>2579500</v>
      </c>
      <c r="R35" s="66" t="s">
        <v>110</v>
      </c>
    </row>
    <row r="36" spans="1:19" ht="27.6" customHeight="1">
      <c r="A36" s="80">
        <v>27</v>
      </c>
      <c r="B36" s="91" t="s">
        <v>86</v>
      </c>
      <c r="C36" s="79">
        <v>14</v>
      </c>
      <c r="D36" s="79" t="s">
        <v>57</v>
      </c>
      <c r="E36" s="11"/>
      <c r="F36" s="11" t="s">
        <v>52</v>
      </c>
      <c r="G36" s="55"/>
      <c r="H36" s="81">
        <v>320000</v>
      </c>
      <c r="I36" s="81">
        <v>2839.9360000000001</v>
      </c>
      <c r="J36" s="42"/>
      <c r="K36" s="10"/>
      <c r="L36" s="10"/>
      <c r="M36" s="13">
        <v>2450000</v>
      </c>
      <c r="N36" s="80"/>
      <c r="O36" s="10"/>
      <c r="P36" s="14"/>
      <c r="Q36" s="72">
        <f t="shared" si="0"/>
        <v>2450000</v>
      </c>
      <c r="R36" s="66"/>
    </row>
    <row r="37" spans="1:19" ht="27.6" customHeight="1">
      <c r="A37" s="80">
        <v>28</v>
      </c>
      <c r="B37" s="91" t="s">
        <v>87</v>
      </c>
      <c r="C37" s="79" t="s">
        <v>96</v>
      </c>
      <c r="D37" s="79" t="s">
        <v>48</v>
      </c>
      <c r="E37" s="11"/>
      <c r="F37" s="11" t="s">
        <v>31</v>
      </c>
      <c r="G37" s="55"/>
      <c r="H37" s="81">
        <v>137440</v>
      </c>
      <c r="I37" s="81">
        <v>3325.0079999999998</v>
      </c>
      <c r="J37" s="42"/>
      <c r="K37" s="10"/>
      <c r="L37" s="10"/>
      <c r="M37" s="13">
        <v>1950000</v>
      </c>
      <c r="N37" s="80"/>
      <c r="O37" s="10"/>
      <c r="P37" s="14"/>
      <c r="Q37" s="72">
        <f t="shared" si="0"/>
        <v>1950000</v>
      </c>
      <c r="R37" s="66" t="s">
        <v>32</v>
      </c>
    </row>
    <row r="38" spans="1:19" ht="25.2" customHeight="1">
      <c r="A38" s="80">
        <v>29</v>
      </c>
      <c r="B38" s="91" t="s">
        <v>88</v>
      </c>
      <c r="C38" s="79" t="s">
        <v>111</v>
      </c>
      <c r="D38" s="79" t="s">
        <v>47</v>
      </c>
      <c r="E38" s="11"/>
      <c r="F38" s="11" t="s">
        <v>49</v>
      </c>
      <c r="G38" s="55"/>
      <c r="H38" s="81">
        <v>324250</v>
      </c>
      <c r="I38" s="81">
        <v>4709.415</v>
      </c>
      <c r="J38" s="42"/>
      <c r="K38" s="10"/>
      <c r="L38" s="10"/>
      <c r="M38" s="13">
        <v>2600000</v>
      </c>
      <c r="N38" s="80"/>
      <c r="O38" s="10"/>
      <c r="P38" s="14"/>
      <c r="Q38" s="72">
        <f t="shared" si="0"/>
        <v>2600000</v>
      </c>
      <c r="R38" s="76" t="s">
        <v>34</v>
      </c>
    </row>
    <row r="39" spans="1:19" ht="30" customHeight="1">
      <c r="A39" s="80">
        <v>30</v>
      </c>
      <c r="B39" s="91" t="s">
        <v>89</v>
      </c>
      <c r="C39" s="79" t="s">
        <v>107</v>
      </c>
      <c r="D39" s="79" t="s">
        <v>47</v>
      </c>
      <c r="E39" s="11"/>
      <c r="F39" s="11" t="s">
        <v>49</v>
      </c>
      <c r="G39" s="55"/>
      <c r="H39" s="81">
        <v>428800</v>
      </c>
      <c r="I39" s="81">
        <v>4834.116</v>
      </c>
      <c r="J39" s="9"/>
      <c r="K39" s="90"/>
      <c r="L39" s="57"/>
      <c r="M39" s="13">
        <v>2650000</v>
      </c>
      <c r="N39" s="57"/>
      <c r="O39" s="57"/>
      <c r="P39" s="60"/>
      <c r="Q39" s="72">
        <f t="shared" si="0"/>
        <v>2650000</v>
      </c>
      <c r="R39" s="76"/>
    </row>
    <row r="40" spans="1:19" ht="27.6" customHeight="1">
      <c r="A40" s="97">
        <v>31</v>
      </c>
      <c r="B40" s="99" t="s">
        <v>90</v>
      </c>
      <c r="C40" s="79" t="s">
        <v>112</v>
      </c>
      <c r="D40" s="79" t="s">
        <v>50</v>
      </c>
      <c r="E40" s="11"/>
      <c r="F40" s="11" t="s">
        <v>41</v>
      </c>
      <c r="G40" s="81">
        <v>5000</v>
      </c>
      <c r="H40" s="81">
        <v>24600</v>
      </c>
      <c r="I40" s="85">
        <v>516.6</v>
      </c>
      <c r="J40" s="9"/>
      <c r="K40" s="90"/>
      <c r="L40" s="57">
        <v>1000000</v>
      </c>
      <c r="M40" s="101">
        <v>1750000</v>
      </c>
      <c r="N40" s="57"/>
      <c r="O40" s="57"/>
      <c r="P40" s="60"/>
      <c r="Q40" s="103">
        <f>SUM(L40:P41)</f>
        <v>2750000</v>
      </c>
      <c r="R40" s="66"/>
    </row>
    <row r="41" spans="1:19" ht="27.6" customHeight="1">
      <c r="A41" s="98"/>
      <c r="B41" s="100"/>
      <c r="C41" s="79">
        <v>18</v>
      </c>
      <c r="D41" s="79" t="s">
        <v>44</v>
      </c>
      <c r="E41" s="11"/>
      <c r="F41" s="11" t="s">
        <v>41</v>
      </c>
      <c r="G41" s="81"/>
      <c r="H41" s="81">
        <v>43210</v>
      </c>
      <c r="I41" s="85">
        <v>1056.518</v>
      </c>
      <c r="J41" s="9"/>
      <c r="K41" s="90"/>
      <c r="L41" s="57"/>
      <c r="M41" s="102"/>
      <c r="N41" s="57"/>
      <c r="O41" s="57"/>
      <c r="P41" s="60"/>
      <c r="Q41" s="104"/>
      <c r="R41" s="56"/>
    </row>
    <row r="42" spans="1:19" ht="27.6" customHeight="1">
      <c r="A42" s="97">
        <v>32</v>
      </c>
      <c r="B42" s="99" t="s">
        <v>91</v>
      </c>
      <c r="C42" s="79">
        <v>21</v>
      </c>
      <c r="D42" s="79" t="s">
        <v>113</v>
      </c>
      <c r="E42" s="11"/>
      <c r="F42" s="11" t="s">
        <v>35</v>
      </c>
      <c r="G42" s="55">
        <v>2040</v>
      </c>
      <c r="H42" s="68"/>
      <c r="I42" s="68"/>
      <c r="J42" s="9"/>
      <c r="K42" s="90"/>
      <c r="L42" s="121">
        <v>1550000</v>
      </c>
      <c r="M42" s="57"/>
      <c r="N42" s="57"/>
      <c r="O42" s="57"/>
      <c r="P42" s="60"/>
      <c r="Q42" s="103">
        <f>SUM(L42:P43)</f>
        <v>1550000</v>
      </c>
      <c r="R42" s="56" t="s">
        <v>32</v>
      </c>
    </row>
    <row r="43" spans="1:19" ht="27.6" customHeight="1">
      <c r="A43" s="98"/>
      <c r="B43" s="100"/>
      <c r="C43" s="79">
        <v>31</v>
      </c>
      <c r="D43" s="79" t="s">
        <v>39</v>
      </c>
      <c r="E43" s="11"/>
      <c r="F43" s="11" t="s">
        <v>36</v>
      </c>
      <c r="G43" s="81">
        <v>2000</v>
      </c>
      <c r="H43" s="55"/>
      <c r="I43" s="68"/>
      <c r="J43" s="9"/>
      <c r="K43" s="90"/>
      <c r="L43" s="122"/>
      <c r="M43" s="57"/>
      <c r="N43" s="57"/>
      <c r="O43" s="57"/>
      <c r="P43" s="60"/>
      <c r="Q43" s="104"/>
      <c r="R43" s="66"/>
    </row>
    <row r="44" spans="1:19" s="18" customFormat="1" ht="27" customHeight="1">
      <c r="A44" s="117" t="s">
        <v>20</v>
      </c>
      <c r="B44" s="118"/>
      <c r="C44" s="118"/>
      <c r="D44" s="118"/>
      <c r="E44" s="118"/>
      <c r="F44" s="119"/>
      <c r="G44" s="17">
        <f t="shared" ref="G44:Q44" si="1">SUM(G8:G43)</f>
        <v>32470</v>
      </c>
      <c r="H44" s="17">
        <f t="shared" si="1"/>
        <v>9582426</v>
      </c>
      <c r="I44" s="17">
        <f t="shared" si="1"/>
        <v>94850.574399999998</v>
      </c>
      <c r="J44" s="44">
        <f t="shared" si="1"/>
        <v>2207</v>
      </c>
      <c r="K44" s="17">
        <f t="shared" si="1"/>
        <v>0</v>
      </c>
      <c r="L44" s="17">
        <f t="shared" si="1"/>
        <v>7250000</v>
      </c>
      <c r="M44" s="17">
        <f t="shared" si="1"/>
        <v>65800000</v>
      </c>
      <c r="N44" s="17">
        <f t="shared" si="1"/>
        <v>0</v>
      </c>
      <c r="O44" s="17">
        <f t="shared" si="1"/>
        <v>2654500</v>
      </c>
      <c r="P44" s="17">
        <f t="shared" si="1"/>
        <v>882800</v>
      </c>
      <c r="Q44" s="69">
        <f t="shared" si="1"/>
        <v>76587300</v>
      </c>
      <c r="R44" s="45"/>
      <c r="S44" s="93" t="e">
        <f>Q44/#REF!</f>
        <v>#REF!</v>
      </c>
    </row>
    <row r="45" spans="1:19" s="18" customFormat="1" ht="26.4" customHeight="1">
      <c r="A45" s="120" t="s">
        <v>21</v>
      </c>
      <c r="B45" s="120"/>
      <c r="C45" s="120"/>
      <c r="D45" s="120"/>
      <c r="E45" s="120"/>
      <c r="F45" s="120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>
        <f>8%*Q44</f>
        <v>6126984</v>
      </c>
      <c r="R45" s="46"/>
      <c r="S45" s="86"/>
    </row>
    <row r="46" spans="1:19" s="18" customFormat="1" ht="27" customHeight="1">
      <c r="A46" s="120" t="s">
        <v>22</v>
      </c>
      <c r="B46" s="120"/>
      <c r="C46" s="120"/>
      <c r="D46" s="120"/>
      <c r="E46" s="120"/>
      <c r="F46" s="120"/>
      <c r="G46" s="17"/>
      <c r="H46" s="17"/>
      <c r="I46" s="17"/>
      <c r="J46" s="44"/>
      <c r="K46" s="17"/>
      <c r="L46" s="17"/>
      <c r="M46" s="17"/>
      <c r="N46" s="17"/>
      <c r="O46" s="17"/>
      <c r="P46" s="17"/>
      <c r="Q46" s="17">
        <f>Q45+Q44</f>
        <v>82714284</v>
      </c>
      <c r="R46" s="47"/>
      <c r="S46" s="21"/>
    </row>
    <row r="47" spans="1:19" s="18" customFormat="1" ht="28.95" customHeight="1">
      <c r="A47" s="19"/>
      <c r="B47" s="71"/>
      <c r="C47" s="19"/>
      <c r="D47" s="19"/>
      <c r="E47" s="19"/>
      <c r="F47" s="19"/>
      <c r="G47" s="20"/>
      <c r="H47" s="20"/>
      <c r="I47" s="20"/>
      <c r="J47" s="48"/>
      <c r="K47" s="20"/>
      <c r="L47" s="20"/>
      <c r="M47" s="20"/>
      <c r="N47" s="20"/>
      <c r="O47" s="20"/>
      <c r="P47" s="20"/>
      <c r="Q47" s="20"/>
      <c r="R47" s="39"/>
      <c r="S47" s="21"/>
    </row>
    <row r="48" spans="1:19" s="18" customFormat="1" ht="24.6" customHeight="1">
      <c r="A48" s="116" t="s">
        <v>23</v>
      </c>
      <c r="B48" s="116"/>
      <c r="C48" s="116"/>
      <c r="D48" s="116"/>
      <c r="E48" s="116"/>
      <c r="F48" s="116"/>
      <c r="G48" s="22">
        <f>G44</f>
        <v>32470</v>
      </c>
      <c r="H48" s="22"/>
      <c r="I48" s="22"/>
      <c r="J48" s="49"/>
      <c r="K48" s="23">
        <f>G44+I44</f>
        <v>127320.5744</v>
      </c>
      <c r="L48" s="22"/>
      <c r="M48" s="22"/>
      <c r="N48" s="22"/>
      <c r="O48" s="22"/>
      <c r="P48" s="22"/>
      <c r="Q48" s="22">
        <f>L44+N44</f>
        <v>7250000</v>
      </c>
      <c r="R48" s="50">
        <f>Q48/G48</f>
        <v>223.28303048968277</v>
      </c>
      <c r="S48" s="93"/>
    </row>
    <row r="49" spans="1:19" s="18" customFormat="1" ht="24.6" customHeight="1">
      <c r="A49" s="116" t="s">
        <v>24</v>
      </c>
      <c r="B49" s="116"/>
      <c r="C49" s="116"/>
      <c r="D49" s="116"/>
      <c r="E49" s="116"/>
      <c r="F49" s="116"/>
      <c r="G49" s="22"/>
      <c r="H49" s="22"/>
      <c r="I49" s="22">
        <f>I44</f>
        <v>94850.574399999998</v>
      </c>
      <c r="J49" s="49"/>
      <c r="K49" s="22"/>
      <c r="L49" s="22"/>
      <c r="M49" s="22"/>
      <c r="N49" s="22"/>
      <c r="O49" s="22"/>
      <c r="P49" s="22"/>
      <c r="Q49" s="22">
        <f>M44+O44</f>
        <v>68454500</v>
      </c>
      <c r="R49" s="50">
        <f>Q49/I49</f>
        <v>721.70886083743108</v>
      </c>
      <c r="S49" s="93"/>
    </row>
    <row r="50" spans="1:19" s="18" customFormat="1" ht="24.6" customHeight="1">
      <c r="A50" s="116" t="s">
        <v>25</v>
      </c>
      <c r="B50" s="116"/>
      <c r="C50" s="116"/>
      <c r="D50" s="116"/>
      <c r="E50" s="116"/>
      <c r="F50" s="116"/>
      <c r="G50" s="22"/>
      <c r="H50" s="22"/>
      <c r="I50" s="22"/>
      <c r="J50" s="49"/>
      <c r="K50" s="22"/>
      <c r="L50" s="22"/>
      <c r="M50" s="22"/>
      <c r="N50" s="22"/>
      <c r="O50" s="22"/>
      <c r="P50" s="22">
        <f>J44</f>
        <v>2207</v>
      </c>
      <c r="Q50" s="22">
        <f>P44</f>
        <v>882800</v>
      </c>
      <c r="R50" s="50">
        <f>Q50/P50</f>
        <v>400</v>
      </c>
      <c r="S50" s="93">
        <f>Q48+Q49+Q50</f>
        <v>76587300</v>
      </c>
    </row>
    <row r="51" spans="1:19" s="18" customFormat="1" ht="24.6" hidden="1" customHeight="1">
      <c r="A51" s="116" t="s">
        <v>26</v>
      </c>
      <c r="B51" s="116"/>
      <c r="C51" s="116"/>
      <c r="D51" s="116"/>
      <c r="E51" s="116"/>
      <c r="F51" s="116"/>
      <c r="G51" s="22"/>
      <c r="H51" s="22"/>
      <c r="I51" s="22"/>
      <c r="J51" s="49"/>
      <c r="K51" s="22" t="e">
        <f>SUM(#REF!)</f>
        <v>#REF!</v>
      </c>
      <c r="L51" s="22"/>
      <c r="M51" s="22"/>
      <c r="N51" s="22"/>
      <c r="O51" s="22"/>
      <c r="P51" s="22"/>
      <c r="Q51" s="22" t="e">
        <f>SUM(#REF!)</f>
        <v>#REF!</v>
      </c>
      <c r="R51" s="50" t="e">
        <f>Q51/P51</f>
        <v>#REF!</v>
      </c>
      <c r="S51" s="93" t="e">
        <f>Q49+Q50+Q51</f>
        <v>#REF!</v>
      </c>
    </row>
    <row r="52" spans="1:19" ht="21" customHeight="1">
      <c r="A52" s="24"/>
      <c r="B52" s="74"/>
      <c r="C52" s="3" t="s">
        <v>27</v>
      </c>
      <c r="D52" s="25"/>
      <c r="E52" s="26"/>
      <c r="F52" s="26"/>
      <c r="G52" s="27" t="s">
        <v>92</v>
      </c>
      <c r="H52" s="28"/>
      <c r="I52" s="28"/>
      <c r="J52" s="51"/>
      <c r="K52" s="29"/>
      <c r="M52" s="7">
        <f>+Q44-Q48-Q49-Q50</f>
        <v>0</v>
      </c>
      <c r="N52" s="1"/>
      <c r="O52" s="1"/>
      <c r="P52" s="1"/>
      <c r="Q52" s="70" t="s">
        <v>28</v>
      </c>
    </row>
    <row r="53" spans="1:19" ht="21" customHeight="1">
      <c r="B53" s="61"/>
      <c r="D53" s="25"/>
      <c r="E53" s="30"/>
      <c r="F53" s="30"/>
      <c r="G53" s="31"/>
      <c r="H53" s="24"/>
      <c r="I53" s="25"/>
      <c r="J53" s="52"/>
      <c r="K53" s="25"/>
    </row>
    <row r="54" spans="1:19" s="8" customFormat="1" ht="21" customHeight="1">
      <c r="A54" s="1"/>
      <c r="B54" s="61"/>
      <c r="C54" s="3"/>
      <c r="D54" s="3"/>
      <c r="E54" s="3"/>
      <c r="F54" s="3"/>
      <c r="G54" s="32"/>
      <c r="J54" s="53"/>
      <c r="L54" s="4"/>
      <c r="M54" s="4"/>
      <c r="Q54" s="65"/>
      <c r="R54" s="3"/>
      <c r="S54" s="3"/>
    </row>
    <row r="55" spans="1:19">
      <c r="B55" s="61"/>
      <c r="E55" s="30"/>
      <c r="F55" s="30"/>
      <c r="G55" s="31"/>
      <c r="H55" s="24"/>
      <c r="I55" s="25"/>
      <c r="J55" s="52"/>
      <c r="K55" s="25"/>
    </row>
    <row r="56" spans="1:19">
      <c r="H56" s="35"/>
      <c r="Q56" s="18"/>
    </row>
    <row r="57" spans="1:19">
      <c r="C57" s="37"/>
      <c r="G57" s="27" t="str">
        <f>'[1]A VIEN'!G71</f>
        <v>Đặng Thị Mỹ Tin</v>
      </c>
      <c r="H57" s="35"/>
      <c r="Q57" s="64" t="s">
        <v>29</v>
      </c>
    </row>
    <row r="60" spans="1:19">
      <c r="R60" s="40"/>
    </row>
  </sheetData>
  <autoFilter ref="A5:R50" xr:uid="{00000000-0009-0000-0000-000007000000}">
    <filterColumn colId="4" showButton="0"/>
    <filterColumn colId="6" showButton="0"/>
    <filterColumn colId="7" showButton="0"/>
    <filterColumn colId="8" showButton="0"/>
    <filterColumn colId="11" showButton="0"/>
    <filterColumn colId="13" showButton="0"/>
  </autoFilter>
  <mergeCells count="38">
    <mergeCell ref="N5:O6"/>
    <mergeCell ref="E6:E7"/>
    <mergeCell ref="R5:R7"/>
    <mergeCell ref="F6:F7"/>
    <mergeCell ref="H6:I6"/>
    <mergeCell ref="P5:P7"/>
    <mergeCell ref="Q5:Q7"/>
    <mergeCell ref="Q40:Q41"/>
    <mergeCell ref="A42:A43"/>
    <mergeCell ref="B42:B43"/>
    <mergeCell ref="L42:L43"/>
    <mergeCell ref="Q42:Q43"/>
    <mergeCell ref="A51:F51"/>
    <mergeCell ref="A50:F50"/>
    <mergeCell ref="A40:A41"/>
    <mergeCell ref="B40:B41"/>
    <mergeCell ref="M40:M41"/>
    <mergeCell ref="A44:F44"/>
    <mergeCell ref="A45:F45"/>
    <mergeCell ref="A46:F46"/>
    <mergeCell ref="A48:F48"/>
    <mergeCell ref="A49:F49"/>
    <mergeCell ref="A1:S1"/>
    <mergeCell ref="A2:S2"/>
    <mergeCell ref="A3:S3"/>
    <mergeCell ref="A30:A31"/>
    <mergeCell ref="B30:B31"/>
    <mergeCell ref="M30:M31"/>
    <mergeCell ref="Q30:Q31"/>
    <mergeCell ref="A4:C4"/>
    <mergeCell ref="A5:A7"/>
    <mergeCell ref="B5:B7"/>
    <mergeCell ref="C5:C7"/>
    <mergeCell ref="D5:D7"/>
    <mergeCell ref="E5:F5"/>
    <mergeCell ref="G5:J5"/>
    <mergeCell ref="K5:K7"/>
    <mergeCell ref="L5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Dượng Út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Đức Trọng</cp:lastModifiedBy>
  <dcterms:created xsi:type="dcterms:W3CDTF">2023-12-29T07:26:22Z</dcterms:created>
  <dcterms:modified xsi:type="dcterms:W3CDTF">2025-12-30T08:41:25Z</dcterms:modified>
</cp:coreProperties>
</file>
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rong.nd02\Downloads\"/>
    </mc:Choice>
  </mc:AlternateContent>
  <xr:revisionPtr revIDLastSave="0" documentId="13_ncr:1_{EEE14F3B-58AD-4BC7-A1E1-0D73EA3D312C}" xr6:coauthVersionLast="47" xr6:coauthVersionMax="47" xr10:uidLastSave="{00000000-0000-0000-0000-000000000000}"/>
  <bookViews>
    <workbookView xWindow="29955" yWindow="1995" windowWidth="22320" windowHeight="12315" activeTab="7" xr2:uid="{00000000-000D-0000-FFFF-FFFF00000000}"/>
  </bookViews>
  <sheets>
    <sheet name="HIEU" sheetId="7" r:id="rId1"/>
    <sheet name="NAM" sheetId="4" r:id="rId2"/>
    <sheet name="HUNG" sheetId="3" r:id="rId3"/>
    <sheet name="HOANG" sheetId="5" r:id="rId4"/>
    <sheet name="TUAN" sheetId="2" r:id="rId5"/>
    <sheet name="DANH" sheetId="9" r:id="rId6"/>
    <sheet name="TU 4T" sheetId="1" r:id="rId7"/>
    <sheet name="HUU" sheetId="6" r:id="rId8"/>
    <sheet name="TH" sheetId="8" r:id="rId9"/>
  </sheets>
  <externalReferences>
    <externalReference r:id="rId10"/>
  </externalReferences>
  <definedNames>
    <definedName name="_xlnm._FilterDatabase" localSheetId="7" hidden="1">HUU!$A$5:$R$50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3" i="2" l="1"/>
  <c r="G52" i="6"/>
  <c r="Q46" i="6"/>
  <c r="R46" i="6" s="1"/>
  <c r="K46" i="6"/>
  <c r="Q43" i="6"/>
  <c r="P39" i="6"/>
  <c r="Q45" i="6" s="1"/>
  <c r="N39" i="6"/>
  <c r="M39" i="6"/>
  <c r="L39" i="6"/>
  <c r="K39" i="6"/>
  <c r="J39" i="6"/>
  <c r="P45" i="6" s="1"/>
  <c r="G39" i="6"/>
  <c r="G43" i="6" s="1"/>
  <c r="Q38" i="6"/>
  <c r="Q37" i="6"/>
  <c r="Q36" i="6"/>
  <c r="I36" i="6"/>
  <c r="H36" i="6"/>
  <c r="Q35" i="6"/>
  <c r="Q33" i="6"/>
  <c r="Q32" i="6"/>
  <c r="Q31" i="6"/>
  <c r="Q30" i="6"/>
  <c r="Q29" i="6"/>
  <c r="Q28" i="6"/>
  <c r="Q27" i="6"/>
  <c r="Q26" i="6"/>
  <c r="I26" i="6"/>
  <c r="H26" i="6"/>
  <c r="Q24" i="6"/>
  <c r="Q23" i="6"/>
  <c r="Q22" i="6"/>
  <c r="Q21" i="6"/>
  <c r="Q20" i="6"/>
  <c r="Q19" i="6"/>
  <c r="Q17" i="6"/>
  <c r="Q16" i="6"/>
  <c r="Q15" i="6"/>
  <c r="I15" i="6"/>
  <c r="H15" i="6"/>
  <c r="Q14" i="6"/>
  <c r="I14" i="6"/>
  <c r="H14" i="6"/>
  <c r="Q13" i="6"/>
  <c r="Q12" i="6"/>
  <c r="I12" i="6"/>
  <c r="H12" i="6"/>
  <c r="H39" i="6" s="1"/>
  <c r="Q11" i="6"/>
  <c r="Q10" i="6"/>
  <c r="O9" i="6"/>
  <c r="Q9" i="6" s="1"/>
  <c r="Q8" i="6"/>
  <c r="A3" i="6"/>
  <c r="A1" i="6"/>
  <c r="G67" i="1"/>
  <c r="P61" i="1"/>
  <c r="J60" i="1"/>
  <c r="N55" i="1"/>
  <c r="N70" i="1" s="1"/>
  <c r="M55" i="1"/>
  <c r="L55" i="1"/>
  <c r="L70" i="1" s="1"/>
  <c r="L71" i="1" s="1"/>
  <c r="K55" i="1"/>
  <c r="J55" i="1"/>
  <c r="G55" i="1"/>
  <c r="G59" i="1" s="1"/>
  <c r="Q54" i="1"/>
  <c r="Q52" i="1"/>
  <c r="P51" i="1"/>
  <c r="Q51" i="1" s="1"/>
  <c r="Q50" i="1"/>
  <c r="Q49" i="1"/>
  <c r="Q48" i="1"/>
  <c r="I48" i="1"/>
  <c r="H48" i="1"/>
  <c r="H55" i="1" s="1"/>
  <c r="Q47" i="1"/>
  <c r="Q44" i="1"/>
  <c r="Q43" i="1"/>
  <c r="Q41" i="1"/>
  <c r="O40" i="1"/>
  <c r="Q39" i="1"/>
  <c r="Q37" i="1"/>
  <c r="O35" i="1"/>
  <c r="Q35" i="1" s="1"/>
  <c r="Q34" i="1"/>
  <c r="Q32" i="1"/>
  <c r="Q31" i="1"/>
  <c r="Q29" i="1"/>
  <c r="O27" i="1"/>
  <c r="O55" i="1" s="1"/>
  <c r="Q26" i="1"/>
  <c r="I26" i="1"/>
  <c r="I55" i="1" s="1"/>
  <c r="I60" i="1" s="1"/>
  <c r="Q23" i="1"/>
  <c r="Q22" i="1"/>
  <c r="Q20" i="1"/>
  <c r="Q18" i="1"/>
  <c r="Q16" i="1"/>
  <c r="Q15" i="1"/>
  <c r="Q13" i="1"/>
  <c r="Q12" i="1"/>
  <c r="Q11" i="1"/>
  <c r="P10" i="1"/>
  <c r="Q9" i="1" s="1"/>
  <c r="Q8" i="1"/>
  <c r="A3" i="1"/>
  <c r="A1" i="1"/>
  <c r="G65" i="9"/>
  <c r="R59" i="9"/>
  <c r="Q59" i="9"/>
  <c r="K59" i="9"/>
  <c r="O52" i="9"/>
  <c r="N52" i="9"/>
  <c r="M52" i="9"/>
  <c r="Q57" i="9" s="1"/>
  <c r="L52" i="9"/>
  <c r="K52" i="9"/>
  <c r="J52" i="9"/>
  <c r="J58" i="9" s="1"/>
  <c r="G52" i="9"/>
  <c r="G56" i="9" s="1"/>
  <c r="P51" i="9"/>
  <c r="Q51" i="9" s="1"/>
  <c r="Q50" i="9"/>
  <c r="Q49" i="9"/>
  <c r="P48" i="9"/>
  <c r="Q48" i="9" s="1"/>
  <c r="Q47" i="9"/>
  <c r="I47" i="9"/>
  <c r="H47" i="9"/>
  <c r="Q46" i="9"/>
  <c r="P45" i="9"/>
  <c r="Q44" i="9"/>
  <c r="Q42" i="9"/>
  <c r="Q41" i="9"/>
  <c r="Q40" i="9"/>
  <c r="Q39" i="9"/>
  <c r="I39" i="9"/>
  <c r="H39" i="9"/>
  <c r="Q38" i="9"/>
  <c r="Q37" i="9"/>
  <c r="Q36" i="9"/>
  <c r="I36" i="9"/>
  <c r="H36" i="9"/>
  <c r="Q35" i="9"/>
  <c r="I35" i="9"/>
  <c r="H35" i="9"/>
  <c r="Q34" i="9"/>
  <c r="Q33" i="9"/>
  <c r="Q32" i="9"/>
  <c r="Q29" i="9"/>
  <c r="Q28" i="9"/>
  <c r="P24" i="9"/>
  <c r="Q23" i="9" s="1"/>
  <c r="P22" i="9"/>
  <c r="Q22" i="9" s="1"/>
  <c r="Q20" i="9"/>
  <c r="Q17" i="9"/>
  <c r="Q16" i="9"/>
  <c r="I16" i="9"/>
  <c r="H16" i="9"/>
  <c r="Q15" i="9"/>
  <c r="P14" i="9"/>
  <c r="Q13" i="9" s="1"/>
  <c r="Q10" i="9"/>
  <c r="Q9" i="9"/>
  <c r="Q8" i="9"/>
  <c r="A3" i="9"/>
  <c r="A1" i="9"/>
  <c r="G65" i="2"/>
  <c r="N53" i="2"/>
  <c r="N68" i="2" s="1"/>
  <c r="M53" i="2"/>
  <c r="L53" i="2"/>
  <c r="L68" i="2" s="1"/>
  <c r="L69" i="2" s="1"/>
  <c r="K53" i="2"/>
  <c r="J53" i="2"/>
  <c r="P59" i="2" s="1"/>
  <c r="Q52" i="2"/>
  <c r="I51" i="2"/>
  <c r="H51" i="2"/>
  <c r="Q50" i="2"/>
  <c r="O48" i="2"/>
  <c r="Q48" i="2" s="1"/>
  <c r="Q47" i="2"/>
  <c r="I47" i="2"/>
  <c r="H47" i="2"/>
  <c r="Q44" i="2"/>
  <c r="P43" i="2"/>
  <c r="P53" i="2" s="1"/>
  <c r="P68" i="2" s="1"/>
  <c r="Q41" i="2"/>
  <c r="Q39" i="2"/>
  <c r="Q37" i="2"/>
  <c r="I37" i="2"/>
  <c r="H37" i="2"/>
  <c r="Q35" i="2"/>
  <c r="P34" i="2"/>
  <c r="G34" i="2"/>
  <c r="Q33" i="2"/>
  <c r="Q32" i="2"/>
  <c r="Q31" i="2"/>
  <c r="Q28" i="2"/>
  <c r="G28" i="2"/>
  <c r="G53" i="2" s="1"/>
  <c r="Q25" i="2"/>
  <c r="Q23" i="2"/>
  <c r="Q22" i="2"/>
  <c r="Q20" i="2"/>
  <c r="Q18" i="2"/>
  <c r="Q16" i="2"/>
  <c r="Q15" i="2"/>
  <c r="I15" i="2"/>
  <c r="I53" i="2" s="1"/>
  <c r="I58" i="2" s="1"/>
  <c r="H15" i="2"/>
  <c r="Q14" i="2"/>
  <c r="P12" i="2"/>
  <c r="Q11" i="2"/>
  <c r="Q10" i="2"/>
  <c r="I10" i="2"/>
  <c r="H10" i="2"/>
  <c r="Q9" i="2"/>
  <c r="O8" i="2"/>
  <c r="Q8" i="2" s="1"/>
  <c r="A3" i="2"/>
  <c r="A1" i="2"/>
  <c r="G72" i="5"/>
  <c r="P67" i="5"/>
  <c r="K65" i="5"/>
  <c r="G65" i="5"/>
  <c r="O61" i="5"/>
  <c r="N61" i="5"/>
  <c r="M61" i="5"/>
  <c r="L61" i="5"/>
  <c r="K61" i="5"/>
  <c r="J61" i="5"/>
  <c r="G61" i="5"/>
  <c r="P60" i="5"/>
  <c r="Q59" i="5"/>
  <c r="Q57" i="5"/>
  <c r="Q55" i="5"/>
  <c r="Q52" i="5"/>
  <c r="P51" i="5"/>
  <c r="Q51" i="5" s="1"/>
  <c r="Q50" i="5"/>
  <c r="I49" i="5"/>
  <c r="H49" i="5"/>
  <c r="Q47" i="5"/>
  <c r="Q46" i="5"/>
  <c r="Q44" i="5"/>
  <c r="Q42" i="5"/>
  <c r="Q40" i="5"/>
  <c r="I39" i="5"/>
  <c r="H39" i="5"/>
  <c r="Q37" i="5"/>
  <c r="Q34" i="5"/>
  <c r="Q33" i="5"/>
  <c r="Q31" i="5"/>
  <c r="P30" i="5"/>
  <c r="Q29" i="5"/>
  <c r="P28" i="5"/>
  <c r="Q27" i="5" s="1"/>
  <c r="Q26" i="5"/>
  <c r="Q25" i="5"/>
  <c r="Q22" i="5"/>
  <c r="P22" i="5"/>
  <c r="Q21" i="5"/>
  <c r="Q20" i="5"/>
  <c r="Q19" i="5"/>
  <c r="Q18" i="5"/>
  <c r="Q17" i="5"/>
  <c r="Q15" i="5"/>
  <c r="Q12" i="5"/>
  <c r="Q10" i="5"/>
  <c r="I10" i="5"/>
  <c r="H10" i="5"/>
  <c r="Q9" i="5"/>
  <c r="Q8" i="5"/>
  <c r="A3" i="5"/>
  <c r="A1" i="5"/>
  <c r="G58" i="3"/>
  <c r="P46" i="3"/>
  <c r="Q52" i="3" s="1"/>
  <c r="O46" i="3"/>
  <c r="N46" i="3"/>
  <c r="M46" i="3"/>
  <c r="Q51" i="3" s="1"/>
  <c r="L46" i="3"/>
  <c r="K46" i="3"/>
  <c r="G46" i="3"/>
  <c r="G50" i="3" s="1"/>
  <c r="Q45" i="3"/>
  <c r="I45" i="3"/>
  <c r="H45" i="3"/>
  <c r="Q44" i="3"/>
  <c r="Q43" i="3"/>
  <c r="Q41" i="3"/>
  <c r="I41" i="3"/>
  <c r="H41" i="3"/>
  <c r="Q40" i="3"/>
  <c r="Q39" i="3"/>
  <c r="Q38" i="3"/>
  <c r="Q36" i="3"/>
  <c r="Q35" i="3"/>
  <c r="Q33" i="3"/>
  <c r="Q32" i="3"/>
  <c r="I32" i="3"/>
  <c r="H32" i="3"/>
  <c r="Q31" i="3"/>
  <c r="Q30" i="3"/>
  <c r="Q29" i="3"/>
  <c r="Q28" i="3"/>
  <c r="Q27" i="3"/>
  <c r="I27" i="3"/>
  <c r="H27" i="3"/>
  <c r="Q25" i="3"/>
  <c r="I25" i="3"/>
  <c r="H25" i="3"/>
  <c r="Q24" i="3"/>
  <c r="Q23" i="3"/>
  <c r="Q22" i="3"/>
  <c r="Q19" i="3"/>
  <c r="Q18" i="3"/>
  <c r="Q17" i="3"/>
  <c r="Q16" i="3"/>
  <c r="I16" i="3"/>
  <c r="H16" i="3"/>
  <c r="Q15" i="3"/>
  <c r="Q14" i="3"/>
  <c r="Q13" i="3"/>
  <c r="Q12" i="3"/>
  <c r="I12" i="3"/>
  <c r="H12" i="3"/>
  <c r="Q11" i="3"/>
  <c r="Q10" i="3"/>
  <c r="Q8" i="3"/>
  <c r="A3" i="3"/>
  <c r="A1" i="3"/>
  <c r="G64" i="4"/>
  <c r="P58" i="4"/>
  <c r="P52" i="4"/>
  <c r="Q58" i="4" s="1"/>
  <c r="R58" i="4" s="1"/>
  <c r="O52" i="4"/>
  <c r="N52" i="4"/>
  <c r="M52" i="4"/>
  <c r="L52" i="4"/>
  <c r="K52" i="4"/>
  <c r="G52" i="4"/>
  <c r="G56" i="4" s="1"/>
  <c r="Q50" i="4"/>
  <c r="Q47" i="4"/>
  <c r="Q46" i="4"/>
  <c r="Q42" i="4"/>
  <c r="Q41" i="4"/>
  <c r="Q39" i="4"/>
  <c r="I39" i="4"/>
  <c r="H39" i="4"/>
  <c r="Q38" i="4"/>
  <c r="I38" i="4"/>
  <c r="H38" i="4"/>
  <c r="Q34" i="4"/>
  <c r="Q33" i="4"/>
  <c r="Q32" i="4"/>
  <c r="Q31" i="4"/>
  <c r="Q30" i="4"/>
  <c r="Q29" i="4"/>
  <c r="I29" i="4"/>
  <c r="H29" i="4"/>
  <c r="Q27" i="4"/>
  <c r="Q24" i="4"/>
  <c r="Q22" i="4"/>
  <c r="I21" i="4"/>
  <c r="H21" i="4"/>
  <c r="Q20" i="4"/>
  <c r="Q19" i="4"/>
  <c r="Q18" i="4"/>
  <c r="Q16" i="4"/>
  <c r="Q14" i="4"/>
  <c r="Q13" i="4"/>
  <c r="Q12" i="4"/>
  <c r="Q11" i="4"/>
  <c r="Q9" i="4"/>
  <c r="Q8" i="4"/>
  <c r="A3" i="4"/>
  <c r="A1" i="4"/>
  <c r="R62" i="7"/>
  <c r="G59" i="7"/>
  <c r="P47" i="7"/>
  <c r="Q53" i="7" s="1"/>
  <c r="O47" i="7"/>
  <c r="N47" i="7"/>
  <c r="M47" i="7"/>
  <c r="Q52" i="7" s="1"/>
  <c r="L47" i="7"/>
  <c r="K47" i="7"/>
  <c r="G47" i="7"/>
  <c r="G51" i="7" s="1"/>
  <c r="Q46" i="7"/>
  <c r="Q44" i="7"/>
  <c r="Q42" i="7"/>
  <c r="Q39" i="7"/>
  <c r="Q37" i="7"/>
  <c r="Q35" i="7"/>
  <c r="Q34" i="7"/>
  <c r="Q32" i="7"/>
  <c r="I32" i="7"/>
  <c r="H32" i="7"/>
  <c r="Q31" i="7"/>
  <c r="I31" i="7"/>
  <c r="H31" i="7"/>
  <c r="Q30" i="7"/>
  <c r="Q29" i="7"/>
  <c r="Q28" i="7"/>
  <c r="Q25" i="7"/>
  <c r="Q24" i="7"/>
  <c r="Q23" i="7"/>
  <c r="Q22" i="7"/>
  <c r="Q21" i="7"/>
  <c r="I21" i="7"/>
  <c r="H21" i="7"/>
  <c r="Q20" i="7"/>
  <c r="Q19" i="7"/>
  <c r="Q18" i="7"/>
  <c r="Q17" i="7"/>
  <c r="I17" i="7"/>
  <c r="H17" i="7"/>
  <c r="Q16" i="7"/>
  <c r="Q14" i="7"/>
  <c r="Q13" i="7"/>
  <c r="Q11" i="7"/>
  <c r="Q10" i="7"/>
  <c r="Q9" i="7"/>
  <c r="Q8" i="7"/>
  <c r="A3" i="7"/>
  <c r="A1" i="7"/>
  <c r="Q56" i="4" l="1"/>
  <c r="R56" i="4" s="1"/>
  <c r="R43" i="6"/>
  <c r="Q46" i="3"/>
  <c r="C4" i="8" s="1"/>
  <c r="Q65" i="5"/>
  <c r="R65" i="5" s="1"/>
  <c r="P55" i="1"/>
  <c r="I47" i="7"/>
  <c r="K51" i="7" s="1"/>
  <c r="Q60" i="1"/>
  <c r="R60" i="1" s="1"/>
  <c r="H46" i="3"/>
  <c r="Q66" i="5"/>
  <c r="R66" i="5" s="1"/>
  <c r="K59" i="1"/>
  <c r="I46" i="3"/>
  <c r="I51" i="3" s="1"/>
  <c r="Q57" i="4"/>
  <c r="R57" i="4" s="1"/>
  <c r="I52" i="9"/>
  <c r="K56" i="9" s="1"/>
  <c r="Q52" i="4"/>
  <c r="C3" i="8" s="1"/>
  <c r="H61" i="5"/>
  <c r="Q42" i="2"/>
  <c r="C6" i="8" s="1"/>
  <c r="O53" i="2"/>
  <c r="Q58" i="2" s="1"/>
  <c r="R58" i="2" s="1"/>
  <c r="Q39" i="6"/>
  <c r="C8" i="8" s="1"/>
  <c r="Q61" i="5"/>
  <c r="C5" i="8" s="1"/>
  <c r="I61" i="5"/>
  <c r="I66" i="5" s="1"/>
  <c r="H52" i="4"/>
  <c r="I52" i="4"/>
  <c r="I57" i="4" s="1"/>
  <c r="J58" i="2"/>
  <c r="H52" i="9"/>
  <c r="H53" i="2"/>
  <c r="Q50" i="3"/>
  <c r="Q56" i="9"/>
  <c r="R56" i="9" s="1"/>
  <c r="I39" i="6"/>
  <c r="I44" i="6"/>
  <c r="K43" i="6"/>
  <c r="R45" i="6"/>
  <c r="Q40" i="6"/>
  <c r="Q41" i="6" s="1"/>
  <c r="S39" i="6"/>
  <c r="O39" i="6"/>
  <c r="Q44" i="6" s="1"/>
  <c r="Q59" i="1"/>
  <c r="R59" i="1" s="1"/>
  <c r="Q27" i="1"/>
  <c r="Q55" i="1" s="1"/>
  <c r="C7" i="8" s="1"/>
  <c r="P52" i="9"/>
  <c r="Q58" i="9" s="1"/>
  <c r="Q52" i="9"/>
  <c r="P58" i="9"/>
  <c r="G57" i="2"/>
  <c r="K57" i="2"/>
  <c r="Q57" i="2"/>
  <c r="R57" i="2" s="1"/>
  <c r="Q59" i="2"/>
  <c r="R59" i="2" s="1"/>
  <c r="Q62" i="5"/>
  <c r="Q63" i="5" s="1"/>
  <c r="P61" i="5"/>
  <c r="Q67" i="5" s="1"/>
  <c r="R67" i="5" s="1"/>
  <c r="R61" i="3"/>
  <c r="Q47" i="3"/>
  <c r="Q48" i="3" s="1"/>
  <c r="K56" i="4"/>
  <c r="Q47" i="7"/>
  <c r="Q51" i="7"/>
  <c r="R51" i="7" s="1"/>
  <c r="H47" i="7"/>
  <c r="I52" i="7" l="1"/>
  <c r="R52" i="7" s="1"/>
  <c r="P70" i="1"/>
  <c r="Q61" i="1"/>
  <c r="R61" i="1" s="1"/>
  <c r="Q48" i="7"/>
  <c r="Q49" i="7" s="1"/>
  <c r="C2" i="8"/>
  <c r="I57" i="9"/>
  <c r="R57" i="9" s="1"/>
  <c r="Q53" i="4"/>
  <c r="Q54" i="4" s="1"/>
  <c r="K50" i="3"/>
  <c r="R67" i="4"/>
  <c r="R75" i="5"/>
  <c r="R58" i="9"/>
  <c r="Q53" i="9"/>
  <c r="Q54" i="9" s="1"/>
  <c r="C9" i="8"/>
  <c r="S46" i="6"/>
  <c r="R44" i="6"/>
  <c r="M47" i="6"/>
  <c r="S45" i="6"/>
  <c r="Q56" i="1"/>
  <c r="Q57" i="1" s="1"/>
  <c r="Q70" i="1"/>
  <c r="Q68" i="2"/>
  <c r="Q54" i="2"/>
  <c r="Q55" i="2" s="1"/>
  <c r="C10" i="8" l="1"/>
  <c r="D9" i="8" l="1"/>
  <c r="E9" i="8" s="1"/>
  <c r="D2" i="8" l="1"/>
  <c r="E2" i="8" l="1"/>
  <c r="D4" i="8" l="1"/>
  <c r="D7" i="8"/>
  <c r="E7" i="8" s="1"/>
  <c r="D3" i="8"/>
  <c r="D8" i="8" l="1"/>
  <c r="E8" i="8" s="1"/>
  <c r="D6" i="8"/>
  <c r="E6" i="8" s="1"/>
  <c r="E3" i="8"/>
  <c r="E4" i="8"/>
  <c r="D5" i="8"/>
  <c r="D10" i="8" l="1"/>
  <c r="E5" i="8"/>
  <c r="E10" i="8" s="1"/>
</calcChain>
</file>

<file path=xl/sharedStrings.xml><?xml version="1.0" encoding="utf-8"?>
<sst xmlns="http://schemas.openxmlformats.org/spreadsheetml/2006/main" count="1481" uniqueCount="397">
  <si>
    <t>CHI PHÍ VẬN CHUYỂN HÀNG NỘI ĐỊA</t>
  </si>
  <si>
    <t xml:space="preserve">STT
次序 </t>
  </si>
  <si>
    <t>Ngày xuất 
hàng 日期</t>
  </si>
  <si>
    <t>Đơn xuất 
hàng 销货单</t>
  </si>
  <si>
    <t xml:space="preserve">Khách hàng
客户 </t>
  </si>
  <si>
    <t>Địa chỉ 
KH 送货地址</t>
  </si>
  <si>
    <t>SỐ LƯỢNG
重量 NET WEIGHT</t>
  </si>
  <si>
    <t>SỐ LƯỢNG
重量 (kg)
GROSS WEIGHT</t>
  </si>
  <si>
    <t>PHÍ VẬN CHUYỂN
路运费</t>
  </si>
  <si>
    <t>CHI PHÍ KHÁC
(LẤY HÀNG VỀ/GIAO MẪU…)</t>
  </si>
  <si>
    <t>CHỞ PHẾ</t>
  </si>
  <si>
    <t>THÀNH TIỀN
合计</t>
  </si>
  <si>
    <t>GHI CHÚ</t>
  </si>
  <si>
    <t>NỘI THÀNH</t>
  </si>
  <si>
    <t>NGOẠI THÀNH</t>
  </si>
  <si>
    <t>MÀNG NHỰA</t>
  </si>
  <si>
    <t>ĐỊNH HÌNH</t>
  </si>
  <si>
    <t>PHẾ LIỆU</t>
  </si>
  <si>
    <t>KG</t>
  </si>
  <si>
    <t>PCS</t>
  </si>
  <si>
    <t>TỔNG CỘNG</t>
  </si>
  <si>
    <t>THUẾ VAT 8%</t>
  </si>
  <si>
    <t>TỔNG TIỀN ĐÃ BAO GỒM THUẾ</t>
  </si>
  <si>
    <t>PHÍ VẬN CHUYỂN HÀNG MÀNG NHỰA:</t>
  </si>
  <si>
    <t>PHÍ VẬN CHUYỂN HÀNG ĐỊNH HÌNH:</t>
  </si>
  <si>
    <t>PHÍ VẬN CHUYỂN LIỆU + PHẾ LIỆU</t>
  </si>
  <si>
    <t>PHÍ VẬN CHUYỂN HÀNG CHUYỂN KHO</t>
  </si>
  <si>
    <t>核准  Phê duyệt</t>
  </si>
  <si>
    <t>製表 Lập phiếu</t>
  </si>
  <si>
    <t>NGUYỄN TRỌNG HỮU</t>
  </si>
  <si>
    <t>NCC: TRỊNH MINH HIẾU</t>
  </si>
  <si>
    <t>TỔNG CỘNG:</t>
  </si>
  <si>
    <t>TRỊNH MINH HIẾU</t>
  </si>
  <si>
    <t>TAN UYEN</t>
  </si>
  <si>
    <t>NAM</t>
  </si>
  <si>
    <t>HOÀNG</t>
  </si>
  <si>
    <t>HỮU</t>
  </si>
  <si>
    <t>STT</t>
  </si>
  <si>
    <t>XE</t>
  </si>
  <si>
    <t>PHÍ VC CHƯA VAT</t>
  </si>
  <si>
    <t>VAT 8%</t>
  </si>
  <si>
    <t>THÀNH TIỀN</t>
  </si>
  <si>
    <t>TỔNG</t>
  </si>
  <si>
    <t>HIẾU</t>
  </si>
  <si>
    <t>TUẤN</t>
  </si>
  <si>
    <t>Q8</t>
  </si>
  <si>
    <t>HOC MON</t>
  </si>
  <si>
    <t>CHI YEN</t>
  </si>
  <si>
    <t>BINH TAN</t>
  </si>
  <si>
    <t>P&amp;G</t>
  </si>
  <si>
    <t>BEN CAT</t>
  </si>
  <si>
    <t>2X</t>
  </si>
  <si>
    <t>THUAN AN</t>
  </si>
  <si>
    <t>C2</t>
  </si>
  <si>
    <t>DI AN</t>
  </si>
  <si>
    <t>STARPRINT</t>
  </si>
  <si>
    <t>DAI TIEN</t>
  </si>
  <si>
    <t>Ư</t>
  </si>
  <si>
    <t>PHU HOI</t>
  </si>
  <si>
    <t>DANH</t>
  </si>
  <si>
    <t>HANA</t>
  </si>
  <si>
    <t>Q9</t>
  </si>
  <si>
    <t>TAN PHU</t>
  </si>
  <si>
    <t>THU DUC</t>
  </si>
  <si>
    <t>Q12</t>
  </si>
  <si>
    <t>MINH PHUONG</t>
  </si>
  <si>
    <t>BINH CHANH</t>
  </si>
  <si>
    <t>RVC</t>
  </si>
  <si>
    <t>NIDEC VN</t>
  </si>
  <si>
    <t>TDM</t>
  </si>
  <si>
    <t>COLGATE</t>
  </si>
  <si>
    <t>BIEN HOA</t>
  </si>
  <si>
    <t>KIEN XUONG</t>
  </si>
  <si>
    <t>CAN GIUOC</t>
  </si>
  <si>
    <t>HIEP HUNG</t>
  </si>
  <si>
    <t>CU CHI</t>
  </si>
  <si>
    <t>MP3</t>
  </si>
  <si>
    <t>DUC HOA</t>
  </si>
  <si>
    <t>THUAN THANH</t>
  </si>
  <si>
    <t>AN THAI</t>
  </si>
  <si>
    <t>WAHL</t>
  </si>
  <si>
    <t>LONG PHAT</t>
  </si>
  <si>
    <t>MINH KHANG</t>
  </si>
  <si>
    <t>TAO LUC</t>
  </si>
  <si>
    <t>TAN BINH</t>
  </si>
  <si>
    <t>HOANG ANH</t>
  </si>
  <si>
    <t>VSIP 2</t>
  </si>
  <si>
    <t>PLASACO</t>
  </si>
  <si>
    <t>GIA MINH</t>
  </si>
  <si>
    <t>GO VAP</t>
  </si>
  <si>
    <t>ANH HUNG</t>
  </si>
  <si>
    <t>VINATRAY</t>
  </si>
  <si>
    <t>GA ST</t>
  </si>
  <si>
    <t>BEN LUC</t>
  </si>
  <si>
    <t>VE CHANH</t>
  </si>
  <si>
    <t>Q6</t>
  </si>
  <si>
    <t>DONG BAC VINA</t>
  </si>
  <si>
    <t>HANH MINH KHOI</t>
  </si>
  <si>
    <t>GIAO TOI, C2</t>
  </si>
  <si>
    <t>THIEN MOC</t>
  </si>
  <si>
    <t>BINH THANH</t>
  </si>
  <si>
    <t>8+9</t>
  </si>
  <si>
    <t>C2, 2X</t>
  </si>
  <si>
    <t>KOYO</t>
  </si>
  <si>
    <t>PHAM NGUYEN</t>
  </si>
  <si>
    <t>TUYEN HUNG PHU</t>
  </si>
  <si>
    <t>TAN DAI LONG</t>
  </si>
  <si>
    <t>NHON TRACH</t>
  </si>
  <si>
    <t>LONG THANH</t>
  </si>
  <si>
    <t>NCC: ANH  DANH - 10T</t>
  </si>
  <si>
    <t>NCC: ĐINH TÚ 4T</t>
  </si>
  <si>
    <t>TÚ 4T</t>
  </si>
  <si>
    <t>TRỊNH VĂN HOÀNG</t>
  </si>
  <si>
    <t>ANH NGAN</t>
  </si>
  <si>
    <t>BRVT</t>
  </si>
  <si>
    <t>DINH TU</t>
  </si>
  <si>
    <t>QUEEN PACK</t>
  </si>
  <si>
    <t>HAO PHAT</t>
  </si>
  <si>
    <t>NCC: NGUYỄN TRỌNG HỮU - 8T-61C42819</t>
  </si>
  <si>
    <t>THE KY XANH</t>
  </si>
  <si>
    <t>MASAN</t>
  </si>
  <si>
    <t>DOBLA</t>
  </si>
  <si>
    <t>VIFON</t>
  </si>
  <si>
    <t>TAN VIET PHAT</t>
  </si>
  <si>
    <t>THIEN LONG</t>
  </si>
  <si>
    <t>HIEP PHONG</t>
  </si>
  <si>
    <t>NPP THANH PHAT</t>
  </si>
  <si>
    <t>17+18</t>
  </si>
  <si>
    <t>NHA BE</t>
  </si>
  <si>
    <t>TAN PHAT</t>
  </si>
  <si>
    <t>LẤY PHẾ NIDEC VN</t>
  </si>
  <si>
    <t>JUMBO</t>
  </si>
  <si>
    <t>LONG KHANH</t>
  </si>
  <si>
    <t>HARADA</t>
  </si>
  <si>
    <t>TAN PHAT 2</t>
  </si>
  <si>
    <t>BIOPLAS</t>
  </si>
  <si>
    <t>ECOPAK</t>
  </si>
  <si>
    <t>HUNUFA</t>
  </si>
  <si>
    <t>TAIXIN</t>
  </si>
  <si>
    <t>HUNG THAO</t>
  </si>
  <si>
    <t>18+19</t>
  </si>
  <si>
    <t>22+23</t>
  </si>
  <si>
    <t>THU PHUONG</t>
  </si>
  <si>
    <t>KIWORK</t>
  </si>
  <si>
    <t>VAN-BT</t>
  </si>
  <si>
    <t>BINH THUAN</t>
  </si>
  <si>
    <t>THI</t>
  </si>
  <si>
    <t>37+38</t>
  </si>
  <si>
    <t>UGEN</t>
  </si>
  <si>
    <t>19+20</t>
  </si>
  <si>
    <t>BB KIEN NANG</t>
  </si>
  <si>
    <t>30+31</t>
  </si>
  <si>
    <t>COLORMATE</t>
  </si>
  <si>
    <t>QUOC THANG</t>
  </si>
  <si>
    <t>DONG BAC</t>
  </si>
  <si>
    <t>JOYFOOD</t>
  </si>
  <si>
    <t>C2, GIAO TOI</t>
  </si>
  <si>
    <t>HOA THAI</t>
  </si>
  <si>
    <t>BB NGOC THANH</t>
  </si>
  <si>
    <t>GALLANT</t>
  </si>
  <si>
    <t>LC FOODS</t>
  </si>
  <si>
    <t>TU PHUONG TONY</t>
  </si>
  <si>
    <t>48+47</t>
  </si>
  <si>
    <t>Xác nhận</t>
    <phoneticPr fontId="7" type="noConversion"/>
  </si>
  <si>
    <t>NCC: A NAM - 2.5T-61H10411</t>
  </si>
  <si>
    <t>HONG PHAT</t>
  </si>
  <si>
    <t>1+2</t>
  </si>
  <si>
    <t>ANH CONG</t>
  </si>
  <si>
    <t>A&amp;C</t>
  </si>
  <si>
    <t>Q2</t>
  </si>
  <si>
    <t>2X, C2</t>
  </si>
  <si>
    <t>NCC: ANH HƯNG - 2.5T</t>
  </si>
  <si>
    <t>AN VINH</t>
  </si>
  <si>
    <t>FOSTER</t>
  </si>
  <si>
    <t>HƯNG</t>
  </si>
  <si>
    <t>NCC: TRỊNH VĂN HOÀNG - 4T-61K52908</t>
  </si>
  <si>
    <t>C2, GIAO TOI, VE CHANH</t>
  </si>
  <si>
    <t>TU PHUONG</t>
  </si>
  <si>
    <t>A PHUC</t>
  </si>
  <si>
    <t>NCC: ANH TUẤN - 7T-61H09504</t>
  </si>
  <si>
    <t>ZHENG HUI</t>
  </si>
  <si>
    <t>MP1</t>
  </si>
  <si>
    <t>AMIBA</t>
  </si>
  <si>
    <t>LONG BINH</t>
  </si>
  <si>
    <t>13+14</t>
  </si>
  <si>
    <t>11+12</t>
  </si>
  <si>
    <t>28+29</t>
  </si>
  <si>
    <t>MEIZAN CLV</t>
  </si>
  <si>
    <t>4+5</t>
  </si>
  <si>
    <t>35~41</t>
  </si>
  <si>
    <t>26/12/2025</t>
  </si>
  <si>
    <t>27/12/2025</t>
  </si>
  <si>
    <t>29/12/2025</t>
  </si>
  <si>
    <t>30/12/2025</t>
  </si>
  <si>
    <t>31/12/2025</t>
  </si>
  <si>
    <t>16+17</t>
  </si>
  <si>
    <t>02/01/2026</t>
  </si>
  <si>
    <t>59T</t>
  </si>
  <si>
    <t>03/01/2026</t>
  </si>
  <si>
    <t>10+54</t>
  </si>
  <si>
    <t>05/01/2026</t>
  </si>
  <si>
    <t>28~31</t>
  </si>
  <si>
    <t>GIAO TOI, C2, PHI CHANH</t>
  </si>
  <si>
    <t>06/01/2026</t>
  </si>
  <si>
    <t>28+16</t>
  </si>
  <si>
    <t>07/01/2026</t>
  </si>
  <si>
    <t>08/01/2026</t>
  </si>
  <si>
    <t>LẤY VỀ 68T LY MÌ (THẢO)</t>
  </si>
  <si>
    <t>09/01/2026</t>
  </si>
  <si>
    <t>10/01/2026</t>
  </si>
  <si>
    <t>GHE BÌNH CHÁNH LAY 370KG HÀNG VỀ X2 (NGÂN)</t>
  </si>
  <si>
    <t>12/01/2026</t>
  </si>
  <si>
    <t>15/01/2026</t>
  </si>
  <si>
    <t>16/01/2026</t>
  </si>
  <si>
    <t>27+28+46</t>
  </si>
  <si>
    <t>17/01/2026</t>
  </si>
  <si>
    <t>11+22</t>
  </si>
  <si>
    <t>GIAO MAU SKYTECH-BINH TAN (CONG VU)</t>
  </si>
  <si>
    <t>CPG</t>
  </si>
  <si>
    <t>19/01/2026</t>
  </si>
  <si>
    <t>29+30</t>
  </si>
  <si>
    <t>20/01/2026</t>
  </si>
  <si>
    <t>BIOVEGI</t>
  </si>
  <si>
    <t>Q1</t>
  </si>
  <si>
    <t>14+13</t>
  </si>
  <si>
    <t>21/01/2026</t>
  </si>
  <si>
    <t>29+31</t>
  </si>
  <si>
    <t>CHAU</t>
  </si>
  <si>
    <t>22/01/2026</t>
  </si>
  <si>
    <t>64+65</t>
  </si>
  <si>
    <t>LY NGOC THO</t>
  </si>
  <si>
    <t>2X, VE CHANH</t>
  </si>
  <si>
    <t>23/01/2026</t>
  </si>
  <si>
    <t>24/01/2026</t>
  </si>
  <si>
    <t>13+12+14</t>
  </si>
  <si>
    <t xml:space="preserve"> CHỞ 20T HÀNG NG VỀ JB-26 (CHÂU)</t>
  </si>
  <si>
    <t>GIAO 2 KHO</t>
  </si>
  <si>
    <t>6+7</t>
  </si>
  <si>
    <t>HANA GROUP</t>
  </si>
  <si>
    <t>PHI CHANH, 2X</t>
  </si>
  <si>
    <t>PHI CHANH</t>
  </si>
  <si>
    <t>25+26+24</t>
  </si>
  <si>
    <t>60+41+27</t>
  </si>
  <si>
    <t>ANH HUNG-GREEN</t>
  </si>
  <si>
    <t>GHÉ KHO MINH VIỆT-BÌNH TÂN LẤY 200KG
 PHỤ GIA VỀ CTY (Ngân)</t>
  </si>
  <si>
    <t>17~20</t>
  </si>
  <si>
    <t>GRAND TROPIEX</t>
  </si>
  <si>
    <t>48+5+7</t>
  </si>
  <si>
    <t>13/01/2026</t>
  </si>
  <si>
    <t>7+8</t>
  </si>
  <si>
    <t>14/01/2026</t>
  </si>
  <si>
    <t>LẤY 110PCS VỎ THÙNG VỀ</t>
  </si>
  <si>
    <t>21+22+23</t>
  </si>
  <si>
    <t>PHUC HANG</t>
  </si>
  <si>
    <t>9+8</t>
  </si>
  <si>
    <t>14+24+27+
28+31</t>
  </si>
  <si>
    <t>5+46+47</t>
  </si>
  <si>
    <t>NPP HAO HOA</t>
  </si>
  <si>
    <t>C2, LẤY VỀ 53T</t>
  </si>
  <si>
    <t>36+38</t>
  </si>
  <si>
    <t>DIEM HUNG</t>
  </si>
  <si>
    <t>GHÉ BÌNH TÂN LẤY 500KG
 HÀNG VỀ X2 (Ngân)</t>
  </si>
  <si>
    <t>10+11</t>
  </si>
  <si>
    <t>46+47+48+24</t>
  </si>
  <si>
    <t>GHE PHAM HA-Q12 LAY 300KG TUI PE (NGAN)</t>
  </si>
  <si>
    <t>45+23</t>
  </si>
  <si>
    <t>2X, 80B</t>
  </si>
  <si>
    <t>19-20</t>
  </si>
  <si>
    <t>ANH LOC</t>
  </si>
  <si>
    <t>5+4</t>
  </si>
  <si>
    <t>VINH LIEN</t>
  </si>
  <si>
    <t>41+42</t>
  </si>
  <si>
    <t xml:space="preserve">QUANG DUNG </t>
  </si>
  <si>
    <t>12+13+14</t>
  </si>
  <si>
    <t>GIAO 2 ĐIỂM</t>
  </si>
  <si>
    <t>59+25+15+30</t>
  </si>
  <si>
    <t>21+24</t>
  </si>
  <si>
    <t>160B, 2X</t>
  </si>
  <si>
    <t>56+42+24+
12+32+39</t>
  </si>
  <si>
    <t>THANH LONG 1</t>
  </si>
  <si>
    <t>Q3</t>
  </si>
  <si>
    <t>C3</t>
  </si>
  <si>
    <t>50+14</t>
  </si>
  <si>
    <t>CHO THU DUC</t>
  </si>
  <si>
    <t>VÉ CHỢ</t>
  </si>
  <si>
    <t>8+68</t>
  </si>
  <si>
    <t>41+36</t>
  </si>
  <si>
    <t>TH FARM</t>
  </si>
  <si>
    <t>44+45</t>
  </si>
  <si>
    <t>UNITED</t>
  </si>
  <si>
    <t>JOY FOOD</t>
  </si>
  <si>
    <t>KHANG NINH</t>
  </si>
  <si>
    <t>C VAN</t>
  </si>
  <si>
    <t>GHE NGOC ANH-TAN UYEN 
LAY 200 ONG 60</t>
  </si>
  <si>
    <t xml:space="preserve"> MINH PHUONG</t>
  </si>
  <si>
    <t>3+4</t>
  </si>
  <si>
    <t>19+31</t>
  </si>
  <si>
    <t>THO PHAT</t>
  </si>
  <si>
    <t>48+50</t>
  </si>
  <si>
    <t>33+32</t>
  </si>
  <si>
    <t>TRUONG AN</t>
  </si>
  <si>
    <t>27+28+29</t>
  </si>
  <si>
    <t>61+62</t>
  </si>
  <si>
    <t>A PHUC-HN</t>
  </si>
  <si>
    <t>LẤY PHẾ NIDEC SANKYO</t>
  </si>
  <si>
    <t>C VAN - HN</t>
  </si>
  <si>
    <t>GHÉ PHẠM HA-Q12 LẤY 400KG
 HÀNG PE VỀ (NGÂN)</t>
  </si>
  <si>
    <t>48+49</t>
  </si>
  <si>
    <t>SONG KHANG</t>
  </si>
  <si>
    <t>46+47</t>
  </si>
  <si>
    <t>LẤY 170PCS VỎ THÙNG VỀ</t>
  </si>
  <si>
    <t>2+55</t>
  </si>
  <si>
    <t>AN VIET PHAT</t>
  </si>
  <si>
    <t>23+2</t>
  </si>
  <si>
    <t>2+1</t>
  </si>
  <si>
    <t xml:space="preserve">DONG BAC </t>
  </si>
  <si>
    <t>43+41+40</t>
  </si>
  <si>
    <t>KHOI THINH</t>
  </si>
  <si>
    <t>LAY HANG TAXIN 192T VE (THẢO)</t>
  </si>
  <si>
    <t>NHUA VN</t>
  </si>
  <si>
    <t>CHUYEN 1C LIEU 2X</t>
  </si>
  <si>
    <t>LẤY 130T HÀNG NG  MASAN VỀ</t>
  </si>
  <si>
    <t>GIAO HANG MASAN NEN KO LAY PHE NIDEC</t>
  </si>
  <si>
    <t>12+29</t>
  </si>
  <si>
    <t>LÂY PHÊ HARADA 619kg</t>
  </si>
  <si>
    <t>CJ FOODS</t>
  </si>
  <si>
    <t>C VAN-HA NOI</t>
  </si>
  <si>
    <t>24+27</t>
  </si>
  <si>
    <t>21+25+28</t>
  </si>
  <si>
    <t>LẤY 142 PCS VỎ THÙNG VỀ</t>
  </si>
  <si>
    <t>34+39</t>
  </si>
  <si>
    <t>THAI NHUA</t>
  </si>
  <si>
    <t>THONG NHAT, DN</t>
  </si>
  <si>
    <t>IN THAI BINH DUONG</t>
  </si>
  <si>
    <t xml:space="preserve">TAIXIN </t>
  </si>
  <si>
    <t>5+33+21</t>
  </si>
  <si>
    <t>GIAO TOI,  C2</t>
  </si>
  <si>
    <t>12+13</t>
  </si>
  <si>
    <t xml:space="preserve">GHE MEATDELI-ĐỨC HÒA LẤY
 2C HÀNG VỀ (THẢO). </t>
  </si>
  <si>
    <t>LẤY VỀ 45B HÀNG NG (THẢO). 
CHUYỂN  4 C LIỆU 2X</t>
  </si>
  <si>
    <t>26+23</t>
  </si>
  <si>
    <t>NGAN</t>
  </si>
  <si>
    <t>LOC PHAT</t>
  </si>
  <si>
    <t>CHUYEN LIEU GIA CONG (NGAN)-11T</t>
  </si>
  <si>
    <t>5+8</t>
  </si>
  <si>
    <t>10+17+57</t>
  </si>
  <si>
    <t>25+26</t>
  </si>
  <si>
    <t>CHUA DAY XE, tam 60%, 255T</t>
  </si>
  <si>
    <t>15+17</t>
  </si>
  <si>
    <t>26+30</t>
  </si>
  <si>
    <t>20+21</t>
  </si>
  <si>
    <t>PHI 6T</t>
  </si>
  <si>
    <t>86T</t>
  </si>
  <si>
    <t>LẤY PHẾ NIDEC VN, C2</t>
  </si>
  <si>
    <t>40+44+38</t>
  </si>
  <si>
    <t xml:space="preserve">LONG PHAT </t>
  </si>
  <si>
    <t>BNH TAN</t>
  </si>
  <si>
    <t>CHUYỂN 3C LIỆU 2X</t>
  </si>
  <si>
    <t>CHUYỂN 1C LIỆU 2X, C2</t>
  </si>
  <si>
    <t>11+10+9</t>
  </si>
  <si>
    <t>NIDECVN</t>
  </si>
  <si>
    <t>LẤY PHẾ NIDEC VN, 2X</t>
  </si>
  <si>
    <t>GHÉ CTY BÌNH CHÁNH LẤY 
800KG HÀNG VỀ (NGÂN)</t>
  </si>
  <si>
    <t>43+57</t>
  </si>
  <si>
    <t>LẤY 160PCS VỎ THÙNG</t>
  </si>
  <si>
    <t>2X. LẤY PHẾ NIDEC VN</t>
  </si>
  <si>
    <t>23+24</t>
  </si>
  <si>
    <t>19+25</t>
  </si>
  <si>
    <t>HB PACKING</t>
  </si>
  <si>
    <t>6+9</t>
  </si>
  <si>
    <t>33+34</t>
  </si>
  <si>
    <t>42+43+45</t>
  </si>
  <si>
    <t>LẤY 100KG AVP-TAN UYEN
 VỀ (TUYẾN)</t>
  </si>
  <si>
    <t>2+3</t>
  </si>
  <si>
    <t>DA LAT</t>
  </si>
  <si>
    <t>7TR. KH TRẢ 5TR2</t>
  </si>
  <si>
    <t>LẤY VỀ 197PCS VỎ THÙNG</t>
  </si>
  <si>
    <t>28/12/2025</t>
  </si>
  <si>
    <t>31+30</t>
  </si>
  <si>
    <t>11+19+20</t>
  </si>
  <si>
    <t>5~8</t>
  </si>
  <si>
    <t>28+29+57</t>
  </si>
  <si>
    <t>49+14</t>
  </si>
  <si>
    <t>29~35</t>
  </si>
  <si>
    <t>54-56</t>
  </si>
  <si>
    <t>33~39</t>
  </si>
  <si>
    <t>53~59</t>
  </si>
  <si>
    <t>LAY VE 60T HANG NG</t>
  </si>
  <si>
    <t>30+44~52</t>
  </si>
  <si>
    <t>32+30</t>
  </si>
  <si>
    <t>34~43</t>
  </si>
  <si>
    <t>50~59</t>
  </si>
  <si>
    <t>KIWORKS</t>
  </si>
  <si>
    <t>52~64</t>
  </si>
  <si>
    <t>16+15+18</t>
  </si>
  <si>
    <t>CHUYỂN 1C LIỆU 2X</t>
  </si>
  <si>
    <t>48~57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</si>
</sst>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_);_(* \(#,##0.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1"/>
      <charset val="136"/>
      <scheme val="minor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36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2" borderId="0" xfId="1" applyNumberFormat="1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3" fillId="2" borderId="2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vertical="center"/>
    </xf>
    <xf numFmtId="164" fontId="3" fillId="2" borderId="2" xfId="1" quotePrefix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/>
    <xf numFmtId="164" fontId="3" fillId="2" borderId="2" xfId="1" applyNumberFormat="1" applyFont="1" applyFill="1" applyBorder="1" applyAlignment="1">
      <alignment horizontal="center"/>
    </xf>
    <xf numFmtId="164" fontId="3" fillId="2" borderId="2" xfId="1" quotePrefix="1" applyNumberFormat="1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164" fontId="3" fillId="4" borderId="2" xfId="1" applyNumberFormat="1" applyFont="1" applyFill="1" applyBorder="1" applyAlignment="1"/>
    <xf numFmtId="0" fontId="10" fillId="2" borderId="0" xfId="0" applyFont="1" applyFill="1" applyAlignment="1">
      <alignment horizontal="center"/>
    </xf>
    <xf numFmtId="164" fontId="2" fillId="2" borderId="0" xfId="1" applyNumberFormat="1" applyFont="1" applyFill="1" applyBorder="1" applyAlignment="1"/>
    <xf numFmtId="164" fontId="3" fillId="2" borderId="0" xfId="1" applyNumberFormat="1" applyFont="1" applyFill="1" applyBorder="1" applyAlignment="1"/>
    <xf numFmtId="0" fontId="2" fillId="2" borderId="0" xfId="0" applyFont="1" applyFill="1" applyAlignment="1">
      <alignment horizontal="left" vertical="center"/>
    </xf>
    <xf numFmtId="164" fontId="2" fillId="2" borderId="2" xfId="1" applyNumberFormat="1" applyFont="1" applyFill="1" applyBorder="1" applyAlignment="1"/>
    <xf numFmtId="164" fontId="11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vertical="center"/>
    </xf>
    <xf numFmtId="43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/>
    <xf numFmtId="41" fontId="3" fillId="2" borderId="0" xfId="1" applyNumberFormat="1" applyFont="1" applyFill="1" applyAlignment="1"/>
    <xf numFmtId="4" fontId="3" fillId="2" borderId="0" xfId="0" applyNumberFormat="1" applyFont="1" applyFill="1" applyAlignment="1">
      <alignment horizontal="left"/>
    </xf>
    <xf numFmtId="164" fontId="3" fillId="2" borderId="0" xfId="1" applyNumberFormat="1" applyFont="1" applyFill="1"/>
    <xf numFmtId="164" fontId="3" fillId="2" borderId="0" xfId="0" applyNumberFormat="1" applyFont="1" applyFill="1" applyAlignment="1">
      <alignment vertical="center"/>
    </xf>
    <xf numFmtId="12" fontId="3" fillId="2" borderId="0" xfId="0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left"/>
    </xf>
    <xf numFmtId="166" fontId="3" fillId="2" borderId="0" xfId="1" applyNumberFormat="1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65" fontId="3" fillId="2" borderId="0" xfId="1" applyNumberFormat="1" applyFont="1" applyFill="1" applyAlignment="1"/>
    <xf numFmtId="16" fontId="3" fillId="2" borderId="2" xfId="0" quotePrefix="1" applyNumberFormat="1" applyFont="1" applyFill="1" applyBorder="1" applyAlignment="1">
      <alignment horizontal="left"/>
    </xf>
    <xf numFmtId="164" fontId="3" fillId="2" borderId="0" xfId="1" applyNumberFormat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2" borderId="2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/>
    <xf numFmtId="43" fontId="2" fillId="5" borderId="2" xfId="1" applyFont="1" applyFill="1" applyBorder="1" applyAlignment="1"/>
    <xf numFmtId="164" fontId="13" fillId="5" borderId="2" xfId="1" applyNumberFormat="1" applyFont="1" applyFill="1" applyBorder="1" applyAlignment="1"/>
    <xf numFmtId="0" fontId="2" fillId="5" borderId="0" xfId="0" applyFont="1" applyFill="1" applyAlignment="1">
      <alignment horizontal="center" vertical="center"/>
    </xf>
    <xf numFmtId="164" fontId="13" fillId="4" borderId="2" xfId="1" applyNumberFormat="1" applyFont="1" applyFill="1" applyBorder="1" applyAlignment="1"/>
    <xf numFmtId="164" fontId="13" fillId="2" borderId="0" xfId="1" applyNumberFormat="1" applyFont="1" applyFill="1" applyBorder="1" applyAlignment="1"/>
    <xf numFmtId="164" fontId="13" fillId="2" borderId="2" xfId="1" applyNumberFormat="1" applyFont="1" applyFill="1" applyBorder="1" applyAlignment="1"/>
    <xf numFmtId="167" fontId="2" fillId="2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/>
    <xf numFmtId="0" fontId="3" fillId="4" borderId="2" xfId="0" applyFont="1" applyFill="1" applyBorder="1" applyAlignment="1">
      <alignment horizontal="left" vertical="center"/>
    </xf>
    <xf numFmtId="164" fontId="3" fillId="4" borderId="2" xfId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7" fontId="2" fillId="2" borderId="0" xfId="1" applyNumberFormat="1" applyFont="1" applyFill="1" applyBorder="1" applyAlignment="1"/>
    <xf numFmtId="167" fontId="2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horizontal="left" vertical="center"/>
    </xf>
    <xf numFmtId="167" fontId="3" fillId="2" borderId="0" xfId="1" applyNumberFormat="1" applyFont="1" applyFill="1" applyAlignment="1"/>
    <xf numFmtId="167" fontId="3" fillId="2" borderId="0" xfId="1" applyNumberFormat="1" applyFont="1" applyFill="1" applyAlignment="1">
      <alignment horizontal="left"/>
    </xf>
    <xf numFmtId="167" fontId="3" fillId="2" borderId="0" xfId="1" applyNumberFormat="1" applyFont="1" applyFill="1" applyAlignment="1">
      <alignment vertical="center"/>
    </xf>
    <xf numFmtId="167" fontId="3" fillId="2" borderId="0" xfId="1" applyNumberFormat="1" applyFont="1" applyFill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/>
    <xf numFmtId="0" fontId="7" fillId="2" borderId="0" xfId="0" applyFont="1" applyFill="1" applyAlignment="1">
      <alignment horizontal="center" vertical="center"/>
    </xf>
    <xf numFmtId="164" fontId="14" fillId="4" borderId="2" xfId="1" applyNumberFormat="1" applyFont="1" applyFill="1" applyBorder="1" applyAlignment="1"/>
    <xf numFmtId="0" fontId="9" fillId="2" borderId="2" xfId="0" applyFont="1" applyFill="1" applyBorder="1" applyAlignment="1">
      <alignment horizontal="left" vertical="center"/>
    </xf>
    <xf numFmtId="164" fontId="3" fillId="5" borderId="2" xfId="1" applyNumberFormat="1" applyFont="1" applyFill="1" applyBorder="1" applyAlignment="1">
      <alignment horizontal="left"/>
    </xf>
    <xf numFmtId="43" fontId="3" fillId="2" borderId="2" xfId="0" applyNumberFormat="1" applyFont="1" applyFill="1" applyBorder="1" applyAlignment="1">
      <alignment horizontal="left" vertical="center"/>
    </xf>
    <xf numFmtId="164" fontId="9" fillId="2" borderId="2" xfId="1" quotePrefix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/>
    <xf numFmtId="0" fontId="1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/>
    <xf numFmtId="164" fontId="2" fillId="5" borderId="2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/>
    <xf numFmtId="164" fontId="6" fillId="2" borderId="2" xfId="1" quotePrefix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2" fontId="9" fillId="2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1" fillId="0" borderId="2" xfId="1" applyNumberFormat="1" applyFont="1" applyBorder="1" applyAlignment="1">
      <alignment horizontal="center"/>
    </xf>
    <xf numFmtId="164" fontId="9" fillId="2" borderId="2" xfId="1" quotePrefix="1" applyNumberFormat="1" applyFont="1" applyFill="1" applyBorder="1" applyAlignment="1">
      <alignment vertical="center"/>
    </xf>
    <xf numFmtId="43" fontId="3" fillId="2" borderId="2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64" fontId="14" fillId="4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64" fontId="14" fillId="2" borderId="2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164" fontId="2" fillId="5" borderId="10" xfId="1" applyNumberFormat="1" applyFont="1" applyFill="1" applyBorder="1" applyAlignment="1"/>
    <xf numFmtId="164" fontId="2" fillId="3" borderId="10" xfId="1" applyNumberFormat="1" applyFont="1" applyFill="1" applyBorder="1" applyAlignment="1"/>
    <xf numFmtId="0" fontId="9" fillId="5" borderId="12" xfId="0" applyFont="1" applyFill="1" applyBorder="1" applyAlignment="1">
      <alignment horizontal="left" vertical="center"/>
    </xf>
    <xf numFmtId="164" fontId="9" fillId="5" borderId="3" xfId="1" applyNumberFormat="1" applyFont="1" applyFill="1" applyBorder="1" applyAlignment="1">
      <alignment horizontal="left"/>
    </xf>
    <xf numFmtId="164" fontId="9" fillId="2" borderId="0" xfId="1" applyNumberFormat="1" applyFont="1" applyFill="1" applyBorder="1" applyAlignment="1">
      <alignment horizontal="left"/>
    </xf>
    <xf numFmtId="43" fontId="9" fillId="2" borderId="2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left" vertical="center"/>
    </xf>
    <xf numFmtId="164" fontId="14" fillId="2" borderId="0" xfId="1" applyNumberFormat="1" applyFont="1" applyFill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 vertical="center"/>
    </xf>
    <xf numFmtId="164" fontId="13" fillId="3" borderId="2" xfId="1" applyNumberFormat="1" applyFont="1" applyFill="1" applyBorder="1" applyAlignment="1"/>
    <xf numFmtId="164" fontId="3" fillId="4" borderId="2" xfId="0" applyNumberFormat="1" applyFont="1" applyFill="1" applyBorder="1" applyAlignment="1">
      <alignment horizontal="left"/>
    </xf>
    <xf numFmtId="164" fontId="13" fillId="2" borderId="0" xfId="1" applyNumberFormat="1" applyFont="1" applyFill="1" applyAlignment="1">
      <alignment horizontal="left"/>
    </xf>
    <xf numFmtId="164" fontId="13" fillId="2" borderId="0" xfId="1" applyNumberFormat="1" applyFont="1" applyFill="1" applyAlignment="1">
      <alignment horizontal="center" vertical="center"/>
    </xf>
    <xf numFmtId="164" fontId="13" fillId="2" borderId="0" xfId="1" applyNumberFormat="1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/>
    <xf numFmtId="0" fontId="2" fillId="2" borderId="0" xfId="0" applyFont="1" applyFill="1" applyAlignment="1">
      <alignment horizontal="left"/>
    </xf>
    <xf numFmtId="164" fontId="2" fillId="0" borderId="0" xfId="3" applyNumberFormat="1" applyFont="1" applyFill="1" applyAlignment="1">
      <alignment horizontal="center" vertical="center"/>
    </xf>
    <xf numFmtId="3" fontId="3" fillId="2" borderId="2" xfId="1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164" fontId="14" fillId="2" borderId="2" xfId="1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164" fontId="2" fillId="0" borderId="0" xfId="2" applyNumberFormat="1" applyFont="1" applyFill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/>
    </xf>
    <xf numFmtId="164" fontId="19" fillId="3" borderId="2" xfId="0" applyNumberFormat="1" applyFont="1" applyFill="1" applyBorder="1"/>
    <xf numFmtId="164" fontId="9" fillId="2" borderId="2" xfId="1" applyNumberFormat="1" applyFont="1" applyFill="1" applyBorder="1" applyAlignment="1">
      <alignment vertical="center" wrapText="1"/>
    </xf>
    <xf numFmtId="164" fontId="9" fillId="2" borderId="2" xfId="1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/>
    </xf>
    <xf numFmtId="164" fontId="13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/>
    <xf numFmtId="164" fontId="13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43" fontId="3" fillId="2" borderId="0" xfId="1" applyFont="1" applyFill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/>
    <xf numFmtId="164" fontId="8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/>
    </xf>
    <xf numFmtId="164" fontId="2" fillId="5" borderId="10" xfId="1" applyNumberFormat="1" applyFont="1" applyFill="1" applyBorder="1" applyAlignment="1">
      <alignment horizontal="center"/>
    </xf>
    <xf numFmtId="164" fontId="2" fillId="5" borderId="2" xfId="1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43" fontId="13" fillId="2" borderId="0" xfId="0" applyNumberFormat="1" applyFont="1" applyFill="1" applyAlignment="1">
      <alignment horizontal="left" vertical="center"/>
    </xf>
    <xf numFmtId="164" fontId="17" fillId="2" borderId="2" xfId="1" applyNumberFormat="1" applyFont="1" applyFill="1" applyBorder="1" applyAlignment="1">
      <alignment horizontal="right" vertical="center"/>
    </xf>
    <xf numFmtId="0" fontId="6" fillId="2" borderId="2" xfId="4" applyFont="1" applyFill="1" applyBorder="1" applyAlignment="1">
      <alignment horizontal="center" vertical="center"/>
    </xf>
    <xf numFmtId="164" fontId="6" fillId="2" borderId="2" xfId="5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/>
    <xf numFmtId="164" fontId="2" fillId="2" borderId="0" xfId="1" applyNumberFormat="1" applyFont="1" applyFill="1" applyAlignment="1">
      <alignment horizontal="left"/>
    </xf>
    <xf numFmtId="164" fontId="2" fillId="2" borderId="0" xfId="1" applyNumberFormat="1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17" fillId="2" borderId="10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16" fontId="21" fillId="2" borderId="0" xfId="0" quotePrefix="1" applyNumberFormat="1" applyFont="1" applyFill="1"/>
    <xf numFmtId="164" fontId="0" fillId="0" borderId="0" xfId="0" applyNumberFormat="1"/>
    <xf numFmtId="164" fontId="2" fillId="2" borderId="8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/>
    </xf>
    <xf numFmtId="14" fontId="9" fillId="2" borderId="2" xfId="0" quotePrefix="1" applyNumberFormat="1" applyFont="1" applyFill="1" applyBorder="1" applyAlignment="1">
      <alignment horizontal="center" vertical="center"/>
    </xf>
    <xf numFmtId="164" fontId="9" fillId="2" borderId="2" xfId="1" quotePrefix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vertical="center" wrapText="1"/>
    </xf>
    <xf numFmtId="0" fontId="17" fillId="2" borderId="2" xfId="0" quotePrefix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wrapText="1"/>
    </xf>
    <xf numFmtId="0" fontId="23" fillId="2" borderId="2" xfId="0" applyFont="1" applyFill="1" applyBorder="1" applyAlignment="1">
      <alignment horizontal="left" vertical="center"/>
    </xf>
    <xf numFmtId="3" fontId="3" fillId="2" borderId="2" xfId="1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2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vertical="center"/>
    </xf>
    <xf numFmtId="0" fontId="17" fillId="0" borderId="10" xfId="0" applyFont="1" applyBorder="1" applyAlignment="1">
      <alignment horizontal="left" vertical="center"/>
    </xf>
    <xf numFmtId="43" fontId="13" fillId="2" borderId="2" xfId="0" applyNumberFormat="1" applyFont="1" applyFill="1" applyBorder="1" applyAlignment="1">
      <alignment horizontal="left" vertical="center"/>
    </xf>
    <xf numFmtId="164" fontId="22" fillId="2" borderId="10" xfId="1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vertical="center"/>
    </xf>
    <xf numFmtId="0" fontId="17" fillId="2" borderId="2" xfId="0" quotePrefix="1" applyFont="1" applyFill="1" applyBorder="1" applyAlignment="1">
      <alignment vertical="center" wrapText="1"/>
    </xf>
    <xf numFmtId="164" fontId="22" fillId="2" borderId="2" xfId="1" applyNumberFormat="1" applyFont="1" applyFill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left" vertical="center" wrapText="1"/>
    </xf>
    <xf numFmtId="16" fontId="9" fillId="2" borderId="2" xfId="0" quotePrefix="1" applyNumberFormat="1" applyFont="1" applyFill="1" applyBorder="1" applyAlignment="1">
      <alignment horizontal="left" wrapText="1"/>
    </xf>
    <xf numFmtId="0" fontId="17" fillId="2" borderId="2" xfId="0" quotePrefix="1" applyFont="1" applyFill="1" applyBorder="1" applyAlignment="1">
      <alignment horizontal="left"/>
    </xf>
    <xf numFmtId="43" fontId="2" fillId="2" borderId="0" xfId="0" applyNumberFormat="1" applyFont="1" applyFill="1" applyAlignment="1">
      <alignment horizontal="left" vertical="center"/>
    </xf>
    <xf numFmtId="164" fontId="9" fillId="2" borderId="2" xfId="1" quotePrefix="1" applyNumberFormat="1" applyFont="1" applyFill="1" applyBorder="1" applyAlignment="1"/>
    <xf numFmtId="43" fontId="3" fillId="2" borderId="0" xfId="0" applyNumberFormat="1" applyFont="1" applyFill="1" applyAlignment="1">
      <alignment horizontal="center" vertical="center"/>
    </xf>
    <xf numFmtId="0" fontId="17" fillId="2" borderId="13" xfId="0" applyFont="1" applyFill="1" applyBorder="1" applyAlignment="1">
      <alignment horizontal="left" vertical="center"/>
    </xf>
    <xf numFmtId="43" fontId="3" fillId="2" borderId="0" xfId="0" applyNumberFormat="1" applyFont="1" applyFill="1" applyAlignment="1">
      <alignment horizontal="left" vertical="center"/>
    </xf>
    <xf numFmtId="16" fontId="3" fillId="2" borderId="0" xfId="0" quotePrefix="1" applyNumberFormat="1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  <xf numFmtId="164" fontId="17" fillId="2" borderId="10" xfId="1" applyNumberFormat="1" applyFont="1" applyFill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164" fontId="6" fillId="2" borderId="10" xfId="1" quotePrefix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14" fontId="9" fillId="2" borderId="8" xfId="0" quotePrefix="1" applyNumberFormat="1" applyFont="1" applyFill="1" applyBorder="1" applyAlignment="1">
      <alignment horizontal="center" vertical="center"/>
    </xf>
    <xf numFmtId="14" fontId="9" fillId="2" borderId="9" xfId="0" quotePrefix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2" xfId="0" quotePrefix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16" fontId="9" fillId="2" borderId="2" xfId="0" quotePrefix="1" applyNumberFormat="1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/>
    </xf>
    <xf numFmtId="16" fontId="17" fillId="2" borderId="2" xfId="0" quotePrefix="1" applyNumberFormat="1" applyFont="1" applyFill="1" applyBorder="1"/>
    <xf numFmtId="164" fontId="17" fillId="2" borderId="2" xfId="1" quotePrefix="1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9" fillId="2" borderId="10" xfId="0" applyFont="1" applyFill="1" applyBorder="1" applyAlignment="1">
      <alignment vertical="center"/>
    </xf>
    <xf numFmtId="164" fontId="2" fillId="2" borderId="9" xfId="1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5" xfId="0" applyNumberFormat="1" applyFont="1" applyFill="1" applyBorder="1" applyAlignment="1">
      <alignment horizontal="center" vertical="center" wrapText="1"/>
    </xf>
    <xf numFmtId="41" fontId="2" fillId="2" borderId="10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quotePrefix="1" applyFont="1" applyFill="1" applyBorder="1" applyAlignment="1">
      <alignment horizontal="center" vertical="center"/>
    </xf>
    <xf numFmtId="0" fontId="9" fillId="2" borderId="10" xfId="0" quotePrefix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quotePrefix="1" applyFont="1" applyFill="1" applyBorder="1" applyAlignment="1">
      <alignment horizontal="center" vertical="center"/>
    </xf>
    <xf numFmtId="164" fontId="9" fillId="2" borderId="9" xfId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 wrapText="1"/>
    </xf>
    <xf numFmtId="164" fontId="2" fillId="2" borderId="9" xfId="1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1" fontId="2" fillId="2" borderId="3" xfId="0" applyNumberFormat="1" applyFont="1" applyFill="1" applyBorder="1" applyAlignment="1">
      <alignment horizontal="center" vertical="center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2" xfId="1" applyNumberFormat="1" applyFont="1" applyFill="1" applyBorder="1" applyAlignment="1">
      <alignment horizontal="center" vertical="center" wrapText="1"/>
    </xf>
    <xf numFmtId="164" fontId="2" fillId="2" borderId="13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9" fillId="2" borderId="8" xfId="1" applyNumberFormat="1" applyFont="1" applyFill="1" applyBorder="1" applyAlignment="1">
      <alignment horizontal="center" vertical="center" wrapText="1"/>
    </xf>
    <xf numFmtId="164" fontId="9" fillId="2" borderId="10" xfId="1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10" xfId="1" applyNumberFormat="1" applyFont="1" applyFill="1" applyBorder="1" applyAlignment="1">
      <alignment horizontal="center" vertical="center" wrapText="1"/>
    </xf>
    <xf numFmtId="164" fontId="14" fillId="2" borderId="2" xfId="1" applyNumberFormat="1" applyFont="1" applyFill="1" applyBorder="1" applyAlignment="1">
      <alignment horizontal="center" vertical="center" wrapText="1"/>
    </xf>
    <xf numFmtId="164" fontId="9" fillId="2" borderId="8" xfId="1" quotePrefix="1" applyNumberFormat="1" applyFont="1" applyFill="1" applyBorder="1" applyAlignment="1">
      <alignment horizontal="center" vertical="center"/>
    </xf>
    <xf numFmtId="164" fontId="9" fillId="2" borderId="10" xfId="1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4" fontId="3" fillId="2" borderId="8" xfId="1" quotePrefix="1" applyNumberFormat="1" applyFont="1" applyFill="1" applyBorder="1" applyAlignment="1">
      <alignment horizontal="center" vertical="center"/>
    </xf>
    <xf numFmtId="164" fontId="3" fillId="2" borderId="10" xfId="1" quotePrefix="1" applyNumberFormat="1" applyFont="1" applyFill="1" applyBorder="1" applyAlignment="1">
      <alignment horizontal="center" vertical="center"/>
    </xf>
    <xf numFmtId="164" fontId="6" fillId="2" borderId="8" xfId="1" quotePrefix="1" applyNumberFormat="1" applyFont="1" applyFill="1" applyBorder="1" applyAlignment="1">
      <alignment horizontal="center" vertical="center"/>
    </xf>
    <xf numFmtId="164" fontId="6" fillId="2" borderId="9" xfId="1" quotePrefix="1" applyNumberFormat="1" applyFont="1" applyFill="1" applyBorder="1" applyAlignment="1">
      <alignment horizontal="center" vertical="center"/>
    </xf>
    <xf numFmtId="164" fontId="6" fillId="2" borderId="10" xfId="1" quotePrefix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14" fontId="9" fillId="2" borderId="8" xfId="0" quotePrefix="1" applyNumberFormat="1" applyFont="1" applyFill="1" applyBorder="1" applyAlignment="1">
      <alignment horizontal="center" vertical="center"/>
    </xf>
    <xf numFmtId="14" fontId="9" fillId="2" borderId="10" xfId="0" quotePrefix="1" applyNumberFormat="1" applyFont="1" applyFill="1" applyBorder="1" applyAlignment="1">
      <alignment horizontal="center" vertical="center"/>
    </xf>
    <xf numFmtId="14" fontId="9" fillId="2" borderId="9" xfId="0" quotePrefix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4" fontId="7" fillId="2" borderId="8" xfId="0" quotePrefix="1" applyNumberFormat="1" applyFont="1" applyFill="1" applyBorder="1" applyAlignment="1">
      <alignment horizontal="center" vertical="center"/>
    </xf>
    <xf numFmtId="14" fontId="7" fillId="2" borderId="10" xfId="0" quotePrefix="1" applyNumberFormat="1" applyFont="1" applyFill="1" applyBorder="1" applyAlignment="1">
      <alignment horizontal="center" vertical="center"/>
    </xf>
    <xf numFmtId="164" fontId="3" fillId="2" borderId="9" xfId="1" quotePrefix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7" fontId="2" fillId="2" borderId="5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</cellXfs>
  <cellStyles count="6">
    <cellStyle name="Comma" xfId="1" builtinId="3"/>
    <cellStyle name="Comma 4 2" xfId="2" xr:uid="{00000000-0005-0000-0000-000001000000}"/>
    <cellStyle name="Comma 5" xfId="3" xr:uid="{00000000-0005-0000-0000-000002000000}"/>
    <cellStyle name="Comma 6" xfId="5" xr:uid="{00000000-0005-0000-0000-000003000000}"/>
    <cellStyle name="Normal" xfId="0" builtinId="0"/>
    <cellStyle name="Normal 6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TIN-TM%2012.2023\1.%20DIEU%20XE\2.%20PH&#205;%20VC\PHI%20VAN%20CHUYEN%20T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"/>
      <sheetName val="ANP"/>
      <sheetName val="A VIEN"/>
      <sheetName val="THUAN"/>
      <sheetName val="A DUNG"/>
      <sheetName val="A PHU"/>
      <sheetName val="A HIEU"/>
      <sheetName val="A NAM"/>
      <sheetName val="HUNG"/>
      <sheetName val="A DANH"/>
      <sheetName val="A TUẤN"/>
      <sheetName val="TÚ 4T"/>
      <sheetName val="CHU HOANG"/>
      <sheetName val="A HUU"/>
      <sheetName val="A THANH"/>
      <sheetName val="MANG NHUA"/>
      <sheetName val="TMC "/>
      <sheetName val="A TRỌN"/>
      <sheetName val="A HA"/>
      <sheetName val="A KHAI"/>
      <sheetName val="TH 2022"/>
      <sheetName val="Sheet1"/>
      <sheetName val="AN NGUYEN (PHE LIEU )"/>
      <sheetName val="QUY CACH THUNG XE"/>
      <sheetName val="DIA CHI "/>
    </sheetNames>
    <sheetDataSet>
      <sheetData sheetId="0"/>
      <sheetData sheetId="1"/>
      <sheetData sheetId="2">
        <row r="1">
          <cell r="A1" t="str">
            <v xml:space="preserve">2026年01销路运费 </v>
          </cell>
        </row>
        <row r="3">
          <cell r="A3" t="str">
            <v xml:space="preserve"> THÁNG 01 NĂM 2026</v>
          </cell>
        </row>
        <row r="68">
          <cell r="G68" t="str">
            <v>Đặng Thị Mỹ Tin</v>
          </cell>
        </row>
      </sheetData>
      <sheetData sheetId="3"/>
      <sheetData sheetId="4"/>
      <sheetData sheetId="5"/>
      <sheetData sheetId="6"/>
      <sheetData sheetId="7"/>
      <sheetData sheetId="8">
        <row r="46">
          <cell r="K46">
            <v>0</v>
          </cell>
          <cell r="O46">
            <v>0</v>
          </cell>
          <cell r="P46">
            <v>32918000</v>
          </cell>
        </row>
      </sheetData>
      <sheetData sheetId="9">
        <row r="52">
          <cell r="L52">
            <v>15300000</v>
          </cell>
          <cell r="N52">
            <v>0</v>
          </cell>
          <cell r="P52">
            <v>8749600</v>
          </cell>
          <cell r="Q52">
            <v>61569600</v>
          </cell>
        </row>
      </sheetData>
      <sheetData sheetId="10"/>
      <sheetData sheetId="11"/>
      <sheetData sheetId="12">
        <row r="61">
          <cell r="L61">
            <v>17020000</v>
          </cell>
          <cell r="N61">
            <v>0</v>
          </cell>
          <cell r="P61">
            <v>2576900</v>
          </cell>
          <cell r="Q61">
            <v>44826900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opLeftCell="A28" zoomScale="70" zoomScaleNormal="70" workbookViewId="0">
      <selection activeCell="J12" sqref="J12"/>
    </sheetView>
  </sheetViews>
  <sheetFormatPr defaultColWidth="9.109375" defaultRowHeight="13.8"/>
  <cols>
    <col min="1" max="1" width="10" style="1" customWidth="1"/>
    <col min="2" max="2" width="14.5546875" style="40" customWidth="1"/>
    <col min="3" max="3" width="14.88671875" style="3" customWidth="1"/>
    <col min="4" max="4" width="23.21875" style="3" customWidth="1"/>
    <col min="5" max="5" width="17.109375" style="41" customWidth="1"/>
    <col min="6" max="6" width="14.33203125" style="42" hidden="1" customWidth="1"/>
    <col min="7" max="7" width="14.44140625" style="35" customWidth="1"/>
    <col min="8" max="8" width="17.44140625" style="35" customWidth="1"/>
    <col min="9" max="10" width="15.44140625" style="34" customWidth="1"/>
    <col min="11" max="11" width="16.5546875" style="7" customWidth="1"/>
    <col min="12" max="13" width="16.88671875" style="7" customWidth="1"/>
    <col min="14" max="15" width="14.6640625" style="7" customWidth="1"/>
    <col min="16" max="16" width="15.33203125" style="7" customWidth="1"/>
    <col min="17" max="17" width="17.109375" style="113" customWidth="1"/>
    <col min="18" max="18" width="42.21875" style="114" customWidth="1"/>
    <col min="19" max="19" width="9.109375" style="1"/>
    <col min="20" max="20" width="13.109375" style="1" bestFit="1" customWidth="1"/>
    <col min="21" max="16384" width="9.109375" style="1"/>
  </cols>
  <sheetData>
    <row r="1" spans="1:18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8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8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8">
      <c r="A4" s="278" t="s">
        <v>30</v>
      </c>
      <c r="B4" s="278"/>
      <c r="C4" s="278"/>
      <c r="D4" s="278"/>
      <c r="E4" s="3"/>
      <c r="F4" s="3"/>
      <c r="G4" s="4"/>
      <c r="H4" s="4"/>
      <c r="I4" s="4"/>
      <c r="J4" s="4"/>
    </row>
    <row r="5" spans="1:18" ht="29.25" customHeight="1">
      <c r="A5" s="279" t="s">
        <v>1</v>
      </c>
      <c r="B5" s="270" t="s">
        <v>2</v>
      </c>
      <c r="C5" s="270" t="s">
        <v>3</v>
      </c>
      <c r="D5" s="270" t="s">
        <v>4</v>
      </c>
      <c r="E5" s="280" t="s">
        <v>5</v>
      </c>
      <c r="F5" s="281"/>
      <c r="G5" s="282" t="s">
        <v>6</v>
      </c>
      <c r="H5" s="283"/>
      <c r="I5" s="284"/>
      <c r="J5" s="253"/>
      <c r="K5" s="285" t="s">
        <v>7</v>
      </c>
      <c r="L5" s="287" t="s">
        <v>8</v>
      </c>
      <c r="M5" s="288"/>
      <c r="N5" s="287" t="s">
        <v>9</v>
      </c>
      <c r="O5" s="288"/>
      <c r="P5" s="268" t="s">
        <v>10</v>
      </c>
      <c r="Q5" s="268" t="s">
        <v>11</v>
      </c>
      <c r="R5" s="272" t="s">
        <v>12</v>
      </c>
    </row>
    <row r="6" spans="1:18" ht="23.25" customHeight="1">
      <c r="A6" s="279"/>
      <c r="B6" s="271"/>
      <c r="C6" s="271"/>
      <c r="D6" s="271"/>
      <c r="E6" s="270" t="s">
        <v>13</v>
      </c>
      <c r="F6" s="270" t="s">
        <v>14</v>
      </c>
      <c r="G6" s="227" t="s">
        <v>15</v>
      </c>
      <c r="H6" s="274" t="s">
        <v>16</v>
      </c>
      <c r="I6" s="275"/>
      <c r="J6" s="252"/>
      <c r="K6" s="286"/>
      <c r="L6" s="289"/>
      <c r="M6" s="290"/>
      <c r="N6" s="289"/>
      <c r="O6" s="290"/>
      <c r="P6" s="269"/>
      <c r="Q6" s="269"/>
      <c r="R6" s="273"/>
    </row>
    <row r="7" spans="1:18" ht="22.5" customHeight="1">
      <c r="A7" s="270"/>
      <c r="B7" s="271"/>
      <c r="C7" s="271"/>
      <c r="D7" s="271"/>
      <c r="E7" s="271"/>
      <c r="F7" s="271"/>
      <c r="G7" s="224" t="s">
        <v>18</v>
      </c>
      <c r="H7" s="224" t="s">
        <v>19</v>
      </c>
      <c r="I7" s="224" t="s">
        <v>18</v>
      </c>
      <c r="J7" s="251"/>
      <c r="K7" s="286"/>
      <c r="L7" s="224" t="s">
        <v>15</v>
      </c>
      <c r="M7" s="188" t="s">
        <v>16</v>
      </c>
      <c r="N7" s="224" t="s">
        <v>15</v>
      </c>
      <c r="O7" s="189" t="s">
        <v>16</v>
      </c>
      <c r="P7" s="269"/>
      <c r="Q7" s="269"/>
      <c r="R7" s="273"/>
    </row>
    <row r="8" spans="1:18" ht="23.4" customHeight="1">
      <c r="A8" s="72">
        <v>1</v>
      </c>
      <c r="B8" s="201" t="s">
        <v>190</v>
      </c>
      <c r="C8" s="198">
        <v>9</v>
      </c>
      <c r="D8" s="198" t="s">
        <v>122</v>
      </c>
      <c r="E8" s="11" t="s">
        <v>62</v>
      </c>
      <c r="F8" s="11"/>
      <c r="G8" s="74"/>
      <c r="H8" s="233">
        <v>320000</v>
      </c>
      <c r="I8" s="233">
        <v>1842.9760000000001</v>
      </c>
      <c r="J8" s="233"/>
      <c r="K8" s="233"/>
      <c r="L8" s="239"/>
      <c r="M8" s="73">
        <v>1100000</v>
      </c>
      <c r="N8" s="240"/>
      <c r="O8" s="199"/>
      <c r="P8" s="75"/>
      <c r="Q8" s="115">
        <f>SUM(L8:P8)</f>
        <v>1100000</v>
      </c>
      <c r="R8" s="130"/>
    </row>
    <row r="9" spans="1:18" ht="23.4" customHeight="1">
      <c r="A9" s="72">
        <v>2</v>
      </c>
      <c r="B9" s="201" t="s">
        <v>191</v>
      </c>
      <c r="C9" s="11">
        <v>3</v>
      </c>
      <c r="D9" s="198" t="s">
        <v>116</v>
      </c>
      <c r="E9" s="11" t="s">
        <v>63</v>
      </c>
      <c r="F9" s="11"/>
      <c r="G9" s="74"/>
      <c r="H9" s="223">
        <v>75800</v>
      </c>
      <c r="I9" s="223">
        <v>1134.7711999999999</v>
      </c>
      <c r="J9" s="223"/>
      <c r="K9" s="128"/>
      <c r="L9" s="73"/>
      <c r="M9" s="73">
        <v>1000000</v>
      </c>
      <c r="N9" s="128"/>
      <c r="O9" s="129"/>
      <c r="P9" s="75"/>
      <c r="Q9" s="115">
        <f t="shared" ref="Q9:Q34" si="0">SUM(L9:P9)</f>
        <v>1000000</v>
      </c>
      <c r="R9" s="157"/>
    </row>
    <row r="10" spans="1:18" ht="23.4" customHeight="1">
      <c r="A10" s="72">
        <v>3</v>
      </c>
      <c r="B10" s="201" t="s">
        <v>191</v>
      </c>
      <c r="C10" s="198">
        <v>4</v>
      </c>
      <c r="D10" s="198" t="s">
        <v>116</v>
      </c>
      <c r="E10" s="11" t="s">
        <v>63</v>
      </c>
      <c r="F10" s="11"/>
      <c r="G10" s="74"/>
      <c r="H10" s="233">
        <v>72000</v>
      </c>
      <c r="I10" s="223">
        <v>432</v>
      </c>
      <c r="J10" s="223"/>
      <c r="K10" s="131"/>
      <c r="L10" s="73"/>
      <c r="M10" s="73">
        <v>950000</v>
      </c>
      <c r="N10" s="73"/>
      <c r="O10" s="199"/>
      <c r="P10" s="75"/>
      <c r="Q10" s="115">
        <f t="shared" si="0"/>
        <v>950000</v>
      </c>
      <c r="R10" s="183" t="s">
        <v>53</v>
      </c>
    </row>
    <row r="11" spans="1:18" ht="24.6" customHeight="1">
      <c r="A11" s="256">
        <v>4</v>
      </c>
      <c r="B11" s="258" t="s">
        <v>192</v>
      </c>
      <c r="C11" s="198">
        <v>24</v>
      </c>
      <c r="D11" s="198" t="s">
        <v>113</v>
      </c>
      <c r="E11" s="11" t="s">
        <v>48</v>
      </c>
      <c r="F11" s="11"/>
      <c r="G11" s="74"/>
      <c r="H11" s="233">
        <v>78000</v>
      </c>
      <c r="I11" s="233">
        <v>1013.3309</v>
      </c>
      <c r="J11" s="233"/>
      <c r="K11" s="182"/>
      <c r="L11" s="73"/>
      <c r="M11" s="262">
        <v>1200000</v>
      </c>
      <c r="N11" s="199"/>
      <c r="O11" s="199"/>
      <c r="P11" s="75"/>
      <c r="Q11" s="260">
        <f>SUM(L11:P12)</f>
        <v>1200000</v>
      </c>
      <c r="R11" s="193"/>
    </row>
    <row r="12" spans="1:18" ht="23.4" customHeight="1">
      <c r="A12" s="257"/>
      <c r="B12" s="259"/>
      <c r="C12" s="198">
        <v>25</v>
      </c>
      <c r="D12" s="198" t="s">
        <v>113</v>
      </c>
      <c r="E12" s="11" t="s">
        <v>66</v>
      </c>
      <c r="F12" s="11"/>
      <c r="G12" s="74"/>
      <c r="H12" s="233">
        <v>184030</v>
      </c>
      <c r="I12" s="233">
        <v>452.52409999999998</v>
      </c>
      <c r="J12" s="233"/>
      <c r="K12" s="182"/>
      <c r="L12" s="73"/>
      <c r="M12" s="263"/>
      <c r="N12" s="73"/>
      <c r="O12" s="199"/>
      <c r="P12" s="75"/>
      <c r="Q12" s="261"/>
      <c r="R12" s="183"/>
    </row>
    <row r="13" spans="1:18" ht="23.4" customHeight="1">
      <c r="A13" s="72">
        <v>5</v>
      </c>
      <c r="B13" s="201" t="s">
        <v>193</v>
      </c>
      <c r="C13" s="198">
        <v>9</v>
      </c>
      <c r="D13" s="198" t="s">
        <v>122</v>
      </c>
      <c r="E13" s="11" t="s">
        <v>62</v>
      </c>
      <c r="F13" s="11"/>
      <c r="G13" s="74"/>
      <c r="H13" s="233">
        <v>160000</v>
      </c>
      <c r="I13" s="223">
        <v>1842.9760000000001</v>
      </c>
      <c r="J13" s="223"/>
      <c r="K13" s="128"/>
      <c r="L13" s="73"/>
      <c r="M13" s="73">
        <v>1100000</v>
      </c>
      <c r="N13" s="129"/>
      <c r="O13" s="129"/>
      <c r="P13" s="75"/>
      <c r="Q13" s="115">
        <f t="shared" si="0"/>
        <v>1100000</v>
      </c>
      <c r="R13" s="130"/>
    </row>
    <row r="14" spans="1:18" ht="23.4" customHeight="1">
      <c r="A14" s="256">
        <v>6</v>
      </c>
      <c r="B14" s="258" t="s">
        <v>194</v>
      </c>
      <c r="C14" s="198" t="s">
        <v>195</v>
      </c>
      <c r="D14" s="198" t="s">
        <v>67</v>
      </c>
      <c r="E14" s="11" t="s">
        <v>63</v>
      </c>
      <c r="F14" s="11"/>
      <c r="G14" s="74"/>
      <c r="H14" s="233">
        <v>44100</v>
      </c>
      <c r="I14" s="233">
        <v>656.23569999999995</v>
      </c>
      <c r="J14" s="233"/>
      <c r="K14" s="128"/>
      <c r="L14" s="73"/>
      <c r="M14" s="262">
        <v>1200000</v>
      </c>
      <c r="N14" s="129"/>
      <c r="O14" s="129"/>
      <c r="P14" s="75"/>
      <c r="Q14" s="260">
        <f>SUM(L14:P15)</f>
        <v>1200000</v>
      </c>
      <c r="R14" s="183"/>
    </row>
    <row r="15" spans="1:18" ht="23.4" customHeight="1">
      <c r="A15" s="257"/>
      <c r="B15" s="259"/>
      <c r="C15" s="198">
        <v>40</v>
      </c>
      <c r="D15" s="198" t="s">
        <v>60</v>
      </c>
      <c r="E15" s="11" t="s">
        <v>95</v>
      </c>
      <c r="F15" s="11"/>
      <c r="G15" s="74"/>
      <c r="H15" s="233">
        <v>43250</v>
      </c>
      <c r="I15" s="233">
        <v>738.0009</v>
      </c>
      <c r="J15" s="233"/>
      <c r="K15" s="130"/>
      <c r="L15" s="73"/>
      <c r="M15" s="263"/>
      <c r="N15" s="73"/>
      <c r="O15" s="199"/>
      <c r="P15" s="75"/>
      <c r="Q15" s="261"/>
      <c r="R15" s="130"/>
    </row>
    <row r="16" spans="1:18" ht="24" customHeight="1">
      <c r="A16" s="72">
        <v>7</v>
      </c>
      <c r="B16" s="201" t="s">
        <v>196</v>
      </c>
      <c r="C16" s="198">
        <v>1</v>
      </c>
      <c r="D16" s="198" t="s">
        <v>80</v>
      </c>
      <c r="E16" s="11" t="s">
        <v>73</v>
      </c>
      <c r="F16" s="11"/>
      <c r="G16" s="74"/>
      <c r="H16" s="233">
        <v>26520</v>
      </c>
      <c r="I16" s="223">
        <v>536.92160000000001</v>
      </c>
      <c r="J16" s="223"/>
      <c r="K16" s="130"/>
      <c r="L16" s="73"/>
      <c r="M16" s="73">
        <v>1850000</v>
      </c>
      <c r="N16" s="73"/>
      <c r="O16" s="199"/>
      <c r="P16" s="75"/>
      <c r="Q16" s="115">
        <f t="shared" si="0"/>
        <v>1850000</v>
      </c>
      <c r="R16" s="208" t="s">
        <v>197</v>
      </c>
    </row>
    <row r="17" spans="1:18" ht="23.4" customHeight="1">
      <c r="A17" s="72">
        <v>8</v>
      </c>
      <c r="B17" s="201" t="s">
        <v>198</v>
      </c>
      <c r="C17" s="198" t="s">
        <v>199</v>
      </c>
      <c r="D17" s="198" t="s">
        <v>116</v>
      </c>
      <c r="E17" s="11" t="s">
        <v>63</v>
      </c>
      <c r="F17" s="11"/>
      <c r="G17" s="74"/>
      <c r="H17" s="233">
        <f>90200+22000</f>
        <v>112200</v>
      </c>
      <c r="I17" s="223">
        <f>1054.5665+242.2728</f>
        <v>1296.8392999999999</v>
      </c>
      <c r="J17" s="223"/>
      <c r="K17" s="130"/>
      <c r="L17" s="73"/>
      <c r="M17" s="73">
        <v>1000000</v>
      </c>
      <c r="N17" s="73"/>
      <c r="O17" s="199"/>
      <c r="P17" s="75"/>
      <c r="Q17" s="115">
        <f t="shared" si="0"/>
        <v>1000000</v>
      </c>
      <c r="R17" s="183"/>
    </row>
    <row r="18" spans="1:18" ht="23.4" customHeight="1">
      <c r="A18" s="72">
        <v>9</v>
      </c>
      <c r="B18" s="201" t="s">
        <v>198</v>
      </c>
      <c r="C18" s="198">
        <v>8</v>
      </c>
      <c r="D18" s="198" t="s">
        <v>116</v>
      </c>
      <c r="E18" s="11" t="s">
        <v>63</v>
      </c>
      <c r="F18" s="11"/>
      <c r="G18" s="74"/>
      <c r="H18" s="233">
        <v>72800</v>
      </c>
      <c r="I18" s="223">
        <v>893.476</v>
      </c>
      <c r="J18" s="223"/>
      <c r="K18" s="131"/>
      <c r="L18" s="11"/>
      <c r="M18" s="73">
        <v>950000</v>
      </c>
      <c r="N18" s="11"/>
      <c r="O18" s="74"/>
      <c r="P18" s="96"/>
      <c r="Q18" s="115">
        <f t="shared" si="0"/>
        <v>950000</v>
      </c>
      <c r="R18" s="183" t="s">
        <v>53</v>
      </c>
    </row>
    <row r="19" spans="1:18" ht="23.4" customHeight="1">
      <c r="A19" s="72">
        <v>10</v>
      </c>
      <c r="B19" s="201" t="s">
        <v>200</v>
      </c>
      <c r="C19" s="198" t="s">
        <v>201</v>
      </c>
      <c r="D19" s="198" t="s">
        <v>85</v>
      </c>
      <c r="E19" s="11" t="s">
        <v>45</v>
      </c>
      <c r="F19" s="11"/>
      <c r="G19" s="74"/>
      <c r="H19" s="233">
        <v>128000</v>
      </c>
      <c r="I19" s="223">
        <v>1381.4448</v>
      </c>
      <c r="J19" s="223"/>
      <c r="K19" s="131"/>
      <c r="L19" s="73"/>
      <c r="M19" s="73">
        <v>1150000</v>
      </c>
      <c r="N19" s="73"/>
      <c r="O19" s="199"/>
      <c r="P19" s="75"/>
      <c r="Q19" s="115">
        <f t="shared" si="0"/>
        <v>1150000</v>
      </c>
      <c r="R19" s="208"/>
    </row>
    <row r="20" spans="1:18" ht="23.4" customHeight="1">
      <c r="A20" s="72">
        <v>11</v>
      </c>
      <c r="B20" s="201" t="s">
        <v>200</v>
      </c>
      <c r="C20" s="198">
        <v>23</v>
      </c>
      <c r="D20" s="198" t="s">
        <v>113</v>
      </c>
      <c r="E20" s="11" t="s">
        <v>95</v>
      </c>
      <c r="F20" s="11"/>
      <c r="G20" s="74"/>
      <c r="H20" s="233">
        <v>45800</v>
      </c>
      <c r="I20" s="223">
        <v>972.22829999999999</v>
      </c>
      <c r="J20" s="223"/>
      <c r="K20" s="131"/>
      <c r="L20" s="151"/>
      <c r="M20" s="73">
        <v>1100000</v>
      </c>
      <c r="N20" s="73"/>
      <c r="O20" s="199">
        <v>260000</v>
      </c>
      <c r="P20" s="75"/>
      <c r="Q20" s="115">
        <f t="shared" si="0"/>
        <v>1360000</v>
      </c>
      <c r="R20" s="208" t="s">
        <v>202</v>
      </c>
    </row>
    <row r="21" spans="1:18" ht="23.4" customHeight="1">
      <c r="A21" s="72">
        <v>12</v>
      </c>
      <c r="B21" s="201" t="s">
        <v>203</v>
      </c>
      <c r="C21" s="198" t="s">
        <v>204</v>
      </c>
      <c r="D21" s="198" t="s">
        <v>113</v>
      </c>
      <c r="E21" s="11" t="s">
        <v>48</v>
      </c>
      <c r="F21" s="11"/>
      <c r="G21" s="74"/>
      <c r="H21" s="233">
        <f>4000+235460</f>
        <v>239460</v>
      </c>
      <c r="I21" s="223">
        <f>29.42+988.7384</f>
        <v>1018.1583999999999</v>
      </c>
      <c r="J21" s="223"/>
      <c r="K21" s="131"/>
      <c r="L21" s="151"/>
      <c r="M21" s="73">
        <v>1150000</v>
      </c>
      <c r="N21" s="73"/>
      <c r="O21" s="199"/>
      <c r="P21" s="75"/>
      <c r="Q21" s="115">
        <f t="shared" si="0"/>
        <v>1150000</v>
      </c>
      <c r="R21" s="127" t="s">
        <v>51</v>
      </c>
    </row>
    <row r="22" spans="1:18" ht="23.4" customHeight="1">
      <c r="A22" s="72">
        <v>13</v>
      </c>
      <c r="B22" s="201" t="s">
        <v>205</v>
      </c>
      <c r="C22" s="198">
        <v>19</v>
      </c>
      <c r="D22" s="198" t="s">
        <v>88</v>
      </c>
      <c r="E22" s="11" t="s">
        <v>45</v>
      </c>
      <c r="F22" s="11"/>
      <c r="G22" s="233"/>
      <c r="H22" s="232">
        <v>102600</v>
      </c>
      <c r="I22" s="223">
        <v>1453.2280000000001</v>
      </c>
      <c r="J22" s="223"/>
      <c r="K22" s="131"/>
      <c r="L22" s="151"/>
      <c r="M22" s="73">
        <v>1150000</v>
      </c>
      <c r="N22" s="73"/>
      <c r="O22" s="199"/>
      <c r="P22" s="75"/>
      <c r="Q22" s="115">
        <f t="shared" si="0"/>
        <v>1150000</v>
      </c>
      <c r="R22" s="127"/>
    </row>
    <row r="23" spans="1:18" ht="23.4" customHeight="1">
      <c r="A23" s="72">
        <v>14</v>
      </c>
      <c r="B23" s="201" t="s">
        <v>206</v>
      </c>
      <c r="C23" s="198">
        <v>18</v>
      </c>
      <c r="D23" s="198" t="s">
        <v>120</v>
      </c>
      <c r="E23" s="11" t="s">
        <v>54</v>
      </c>
      <c r="F23" s="11"/>
      <c r="G23" s="74"/>
      <c r="H23" s="233">
        <v>26700</v>
      </c>
      <c r="I23" s="223">
        <v>435.3</v>
      </c>
      <c r="J23" s="223"/>
      <c r="K23" s="182"/>
      <c r="L23" s="151"/>
      <c r="M23" s="73">
        <v>950000</v>
      </c>
      <c r="N23" s="73"/>
      <c r="O23" s="73">
        <v>475000</v>
      </c>
      <c r="P23" s="75"/>
      <c r="Q23" s="115">
        <f t="shared" si="0"/>
        <v>1425000</v>
      </c>
      <c r="R23" s="127" t="s">
        <v>207</v>
      </c>
    </row>
    <row r="24" spans="1:18" ht="23.4" customHeight="1">
      <c r="A24" s="72">
        <v>15</v>
      </c>
      <c r="B24" s="201" t="s">
        <v>208</v>
      </c>
      <c r="C24" s="198">
        <v>4</v>
      </c>
      <c r="D24" s="198" t="s">
        <v>122</v>
      </c>
      <c r="E24" s="11" t="s">
        <v>62</v>
      </c>
      <c r="F24" s="11"/>
      <c r="G24" s="74"/>
      <c r="H24" s="233">
        <v>320000</v>
      </c>
      <c r="I24" s="223">
        <v>1842.9760000000001</v>
      </c>
      <c r="J24" s="223"/>
      <c r="K24" s="182"/>
      <c r="L24" s="151"/>
      <c r="M24" s="73">
        <v>1100000</v>
      </c>
      <c r="N24" s="73"/>
      <c r="O24" s="168"/>
      <c r="P24" s="75"/>
      <c r="Q24" s="115">
        <f t="shared" si="0"/>
        <v>1100000</v>
      </c>
      <c r="R24" s="127"/>
    </row>
    <row r="25" spans="1:18" ht="23.4" customHeight="1">
      <c r="A25" s="256">
        <v>15</v>
      </c>
      <c r="B25" s="258" t="s">
        <v>209</v>
      </c>
      <c r="C25" s="198" t="s">
        <v>149</v>
      </c>
      <c r="D25" s="198" t="s">
        <v>113</v>
      </c>
      <c r="E25" s="11" t="s">
        <v>48</v>
      </c>
      <c r="F25" s="11"/>
      <c r="G25" s="74"/>
      <c r="H25" s="233">
        <v>31600</v>
      </c>
      <c r="I25" s="233">
        <v>334.48399999999998</v>
      </c>
      <c r="J25" s="233"/>
      <c r="K25" s="74"/>
      <c r="L25" s="151"/>
      <c r="M25" s="262">
        <v>1200000</v>
      </c>
      <c r="N25" s="73"/>
      <c r="O25" s="168">
        <v>60000</v>
      </c>
      <c r="P25" s="75"/>
      <c r="Q25" s="260">
        <f>SUM(L25:P27)</f>
        <v>1560000</v>
      </c>
      <c r="R25" s="78" t="s">
        <v>94</v>
      </c>
    </row>
    <row r="26" spans="1:18" ht="23.4" customHeight="1">
      <c r="A26" s="264"/>
      <c r="B26" s="265"/>
      <c r="C26" s="198">
        <v>28</v>
      </c>
      <c r="D26" s="198" t="s">
        <v>60</v>
      </c>
      <c r="E26" s="11" t="s">
        <v>48</v>
      </c>
      <c r="F26" s="11"/>
      <c r="G26" s="74"/>
      <c r="H26" s="233">
        <v>15000</v>
      </c>
      <c r="I26" s="223">
        <v>390</v>
      </c>
      <c r="J26" s="223"/>
      <c r="K26" s="182"/>
      <c r="L26" s="152"/>
      <c r="M26" s="266"/>
      <c r="N26" s="73"/>
      <c r="O26" s="168">
        <v>300000</v>
      </c>
      <c r="P26" s="75"/>
      <c r="Q26" s="267"/>
      <c r="R26" s="127" t="s">
        <v>210</v>
      </c>
    </row>
    <row r="27" spans="1:18" ht="23.4" customHeight="1">
      <c r="A27" s="257"/>
      <c r="B27" s="259"/>
      <c r="C27" s="198">
        <v>4</v>
      </c>
      <c r="D27" s="198" t="s">
        <v>106</v>
      </c>
      <c r="E27" s="11" t="s">
        <v>48</v>
      </c>
      <c r="F27" s="11"/>
      <c r="G27" s="74"/>
      <c r="H27" s="233">
        <v>50000</v>
      </c>
      <c r="I27" s="223">
        <v>480</v>
      </c>
      <c r="J27" s="223"/>
      <c r="K27" s="182"/>
      <c r="L27" s="73"/>
      <c r="M27" s="263"/>
      <c r="N27" s="73"/>
      <c r="O27" s="168"/>
      <c r="P27" s="75"/>
      <c r="Q27" s="261"/>
      <c r="R27" s="127"/>
    </row>
    <row r="28" spans="1:18" ht="25.2" customHeight="1">
      <c r="A28" s="72">
        <v>16</v>
      </c>
      <c r="B28" s="201" t="s">
        <v>211</v>
      </c>
      <c r="C28" s="198">
        <v>4</v>
      </c>
      <c r="D28" s="198" t="s">
        <v>113</v>
      </c>
      <c r="E28" s="11" t="s">
        <v>48</v>
      </c>
      <c r="F28" s="11"/>
      <c r="G28" s="74"/>
      <c r="H28" s="233">
        <v>115000</v>
      </c>
      <c r="I28" s="223">
        <v>724.05029999999999</v>
      </c>
      <c r="J28" s="223"/>
      <c r="K28" s="72"/>
      <c r="L28" s="83"/>
      <c r="M28" s="73">
        <v>1100000</v>
      </c>
      <c r="N28" s="11"/>
      <c r="O28" s="168"/>
      <c r="P28" s="74"/>
      <c r="Q28" s="115">
        <f t="shared" si="0"/>
        <v>1100000</v>
      </c>
      <c r="R28" s="185"/>
    </row>
    <row r="29" spans="1:18" ht="23.4" customHeight="1">
      <c r="A29" s="72">
        <v>17</v>
      </c>
      <c r="B29" s="201" t="s">
        <v>212</v>
      </c>
      <c r="C29" s="198">
        <v>3</v>
      </c>
      <c r="D29" s="198" t="s">
        <v>116</v>
      </c>
      <c r="E29" s="11" t="s">
        <v>63</v>
      </c>
      <c r="F29" s="11"/>
      <c r="G29" s="74"/>
      <c r="H29" s="233">
        <v>122000</v>
      </c>
      <c r="I29" s="223">
        <v>1301.6424</v>
      </c>
      <c r="J29" s="223"/>
      <c r="K29" s="146"/>
      <c r="L29" s="83"/>
      <c r="M29" s="73">
        <v>1000000</v>
      </c>
      <c r="N29" s="73"/>
      <c r="O29" s="199"/>
      <c r="P29" s="75"/>
      <c r="Q29" s="115">
        <f t="shared" si="0"/>
        <v>1000000</v>
      </c>
      <c r="R29" s="78"/>
    </row>
    <row r="30" spans="1:18" ht="23.4" customHeight="1">
      <c r="A30" s="72">
        <v>18</v>
      </c>
      <c r="B30" s="201" t="s">
        <v>212</v>
      </c>
      <c r="C30" s="198">
        <v>29</v>
      </c>
      <c r="D30" s="198" t="s">
        <v>56</v>
      </c>
      <c r="E30" s="11" t="s">
        <v>33</v>
      </c>
      <c r="F30" s="11"/>
      <c r="G30" s="74"/>
      <c r="H30" s="233">
        <v>97100</v>
      </c>
      <c r="I30" s="223">
        <v>1738.9014</v>
      </c>
      <c r="J30" s="223"/>
      <c r="K30" s="146"/>
      <c r="L30" s="73"/>
      <c r="M30" s="73">
        <v>750000</v>
      </c>
      <c r="N30" s="73"/>
      <c r="O30" s="199"/>
      <c r="P30" s="75"/>
      <c r="Q30" s="115">
        <f t="shared" si="0"/>
        <v>750000</v>
      </c>
      <c r="R30" s="127" t="s">
        <v>53</v>
      </c>
    </row>
    <row r="31" spans="1:18" ht="23.4" customHeight="1">
      <c r="A31" s="72">
        <v>19</v>
      </c>
      <c r="B31" s="201" t="s">
        <v>213</v>
      </c>
      <c r="C31" s="198" t="s">
        <v>214</v>
      </c>
      <c r="D31" s="198" t="s">
        <v>67</v>
      </c>
      <c r="E31" s="11" t="s">
        <v>63</v>
      </c>
      <c r="F31" s="11"/>
      <c r="G31" s="74"/>
      <c r="H31" s="233">
        <f>113760+1200</f>
        <v>114960</v>
      </c>
      <c r="I31" s="233">
        <f>1435.3128+11.22</f>
        <v>1446.5328</v>
      </c>
      <c r="J31" s="233"/>
      <c r="K31" s="130"/>
      <c r="L31" s="73"/>
      <c r="M31" s="73">
        <v>1000000</v>
      </c>
      <c r="N31" s="73"/>
      <c r="O31" s="199"/>
      <c r="P31" s="75"/>
      <c r="Q31" s="115">
        <f t="shared" si="0"/>
        <v>1000000</v>
      </c>
      <c r="R31" s="78"/>
    </row>
    <row r="32" spans="1:18" ht="23.4" customHeight="1">
      <c r="A32" s="256">
        <v>20</v>
      </c>
      <c r="B32" s="258" t="s">
        <v>215</v>
      </c>
      <c r="C32" s="198" t="s">
        <v>216</v>
      </c>
      <c r="D32" s="198" t="s">
        <v>60</v>
      </c>
      <c r="E32" s="11" t="s">
        <v>84</v>
      </c>
      <c r="F32" s="11"/>
      <c r="G32" s="74"/>
      <c r="H32" s="233">
        <f>40000+12000</f>
        <v>52000</v>
      </c>
      <c r="I32" s="233">
        <f>426.768+582</f>
        <v>1008.768</v>
      </c>
      <c r="J32" s="233"/>
      <c r="K32" s="154"/>
      <c r="L32" s="73"/>
      <c r="M32" s="262">
        <v>1200000</v>
      </c>
      <c r="N32" s="73"/>
      <c r="O32" s="199">
        <v>50000</v>
      </c>
      <c r="P32" s="75"/>
      <c r="Q32" s="260">
        <f>SUM(L32:P33)</f>
        <v>1250000</v>
      </c>
      <c r="R32" s="208" t="s">
        <v>217</v>
      </c>
    </row>
    <row r="33" spans="1:18" ht="23.4" customHeight="1">
      <c r="A33" s="257"/>
      <c r="B33" s="259"/>
      <c r="C33" s="198">
        <v>31</v>
      </c>
      <c r="D33" s="198" t="s">
        <v>218</v>
      </c>
      <c r="E33" s="11" t="s">
        <v>48</v>
      </c>
      <c r="F33" s="11"/>
      <c r="G33" s="74"/>
      <c r="H33" s="233">
        <v>30000</v>
      </c>
      <c r="I33" s="223">
        <v>737</v>
      </c>
      <c r="J33" s="223"/>
      <c r="K33" s="128"/>
      <c r="L33" s="73"/>
      <c r="M33" s="263"/>
      <c r="N33" s="73"/>
      <c r="O33" s="199"/>
      <c r="P33" s="75"/>
      <c r="Q33" s="261"/>
      <c r="R33" s="78" t="s">
        <v>51</v>
      </c>
    </row>
    <row r="34" spans="1:18" ht="25.8" customHeight="1">
      <c r="A34" s="72">
        <v>21</v>
      </c>
      <c r="B34" s="201" t="s">
        <v>215</v>
      </c>
      <c r="C34" s="198">
        <v>33</v>
      </c>
      <c r="D34" s="198" t="s">
        <v>68</v>
      </c>
      <c r="E34" s="11" t="s">
        <v>61</v>
      </c>
      <c r="F34" s="11"/>
      <c r="G34" s="74">
        <v>2000</v>
      </c>
      <c r="H34" s="233"/>
      <c r="I34" s="129"/>
      <c r="J34" s="129"/>
      <c r="K34" s="128"/>
      <c r="L34" s="73">
        <v>1050000</v>
      </c>
      <c r="M34" s="73"/>
      <c r="N34" s="75"/>
      <c r="O34" s="199"/>
      <c r="P34" s="75"/>
      <c r="Q34" s="115">
        <f t="shared" si="0"/>
        <v>1050000</v>
      </c>
      <c r="R34" s="185" t="s">
        <v>53</v>
      </c>
    </row>
    <row r="35" spans="1:18" ht="23.4" customHeight="1">
      <c r="A35" s="256">
        <v>22</v>
      </c>
      <c r="B35" s="258" t="s">
        <v>219</v>
      </c>
      <c r="C35" s="198" t="s">
        <v>220</v>
      </c>
      <c r="D35" s="198" t="s">
        <v>125</v>
      </c>
      <c r="E35" s="11" t="s">
        <v>45</v>
      </c>
      <c r="F35" s="11"/>
      <c r="G35" s="74">
        <v>1200</v>
      </c>
      <c r="H35" s="74"/>
      <c r="I35" s="74"/>
      <c r="J35" s="74"/>
      <c r="K35" s="128"/>
      <c r="L35" s="294">
        <v>1250000</v>
      </c>
      <c r="M35" s="73"/>
      <c r="N35" s="75"/>
      <c r="O35" s="168"/>
      <c r="P35" s="75"/>
      <c r="Q35" s="260">
        <f>SUM(L35:P36)</f>
        <v>1250000</v>
      </c>
      <c r="R35" s="110" t="s">
        <v>51</v>
      </c>
    </row>
    <row r="36" spans="1:18" ht="23.4" customHeight="1">
      <c r="A36" s="257"/>
      <c r="B36" s="259"/>
      <c r="C36" s="198">
        <v>45</v>
      </c>
      <c r="D36" s="198" t="s">
        <v>117</v>
      </c>
      <c r="E36" s="11" t="s">
        <v>48</v>
      </c>
      <c r="F36" s="11"/>
      <c r="G36" s="74">
        <v>1000</v>
      </c>
      <c r="H36" s="74"/>
      <c r="I36" s="74"/>
      <c r="J36" s="74"/>
      <c r="K36" s="130"/>
      <c r="L36" s="295"/>
      <c r="M36" s="73"/>
      <c r="N36" s="73"/>
      <c r="O36" s="199"/>
      <c r="P36" s="75"/>
      <c r="Q36" s="261"/>
      <c r="R36" s="127"/>
    </row>
    <row r="37" spans="1:18" ht="23.4" customHeight="1">
      <c r="A37" s="256">
        <v>23</v>
      </c>
      <c r="B37" s="258" t="s">
        <v>221</v>
      </c>
      <c r="C37" s="198">
        <v>7</v>
      </c>
      <c r="D37" s="198" t="s">
        <v>222</v>
      </c>
      <c r="E37" s="11" t="s">
        <v>223</v>
      </c>
      <c r="F37" s="11"/>
      <c r="G37" s="74"/>
      <c r="H37" s="233">
        <v>21000</v>
      </c>
      <c r="I37" s="223">
        <v>546.89480000000003</v>
      </c>
      <c r="J37" s="223"/>
      <c r="K37" s="130"/>
      <c r="L37" s="73"/>
      <c r="M37" s="262">
        <v>1200000</v>
      </c>
      <c r="N37" s="73"/>
      <c r="O37" s="199"/>
      <c r="P37" s="75"/>
      <c r="Q37" s="260">
        <f>SUM(L37:P38)</f>
        <v>1200000</v>
      </c>
      <c r="R37" s="127" t="s">
        <v>51</v>
      </c>
    </row>
    <row r="38" spans="1:18" ht="23.4" customHeight="1">
      <c r="A38" s="257"/>
      <c r="B38" s="259"/>
      <c r="C38" s="198" t="s">
        <v>224</v>
      </c>
      <c r="D38" s="198" t="s">
        <v>67</v>
      </c>
      <c r="E38" s="11" t="s">
        <v>63</v>
      </c>
      <c r="F38" s="11"/>
      <c r="G38" s="74"/>
      <c r="H38" s="233">
        <v>35600</v>
      </c>
      <c r="I38" s="223">
        <v>683.89300000000003</v>
      </c>
      <c r="J38" s="223"/>
      <c r="K38" s="72"/>
      <c r="L38" s="199"/>
      <c r="M38" s="263"/>
      <c r="N38" s="133"/>
      <c r="O38" s="199"/>
      <c r="P38" s="199"/>
      <c r="Q38" s="261"/>
      <c r="R38" s="78"/>
    </row>
    <row r="39" spans="1:18" ht="23.4" customHeight="1">
      <c r="A39" s="256">
        <v>24</v>
      </c>
      <c r="B39" s="258" t="s">
        <v>225</v>
      </c>
      <c r="C39" s="198" t="s">
        <v>101</v>
      </c>
      <c r="D39" s="198" t="s">
        <v>113</v>
      </c>
      <c r="E39" s="11" t="s">
        <v>48</v>
      </c>
      <c r="F39" s="11"/>
      <c r="G39" s="74"/>
      <c r="H39" s="233">
        <v>58760</v>
      </c>
      <c r="I39" s="223">
        <v>724.53300000000002</v>
      </c>
      <c r="J39" s="223"/>
      <c r="K39" s="130"/>
      <c r="L39" s="73"/>
      <c r="M39" s="262">
        <v>1300000</v>
      </c>
      <c r="N39" s="73"/>
      <c r="O39" s="199"/>
      <c r="P39" s="75"/>
      <c r="Q39" s="260">
        <f>SUM(L39:P41)</f>
        <v>1300000</v>
      </c>
      <c r="R39" s="127" t="s">
        <v>51</v>
      </c>
    </row>
    <row r="40" spans="1:18" s="76" customFormat="1" ht="23.4" customHeight="1">
      <c r="A40" s="264"/>
      <c r="B40" s="265"/>
      <c r="C40" s="198">
        <v>70</v>
      </c>
      <c r="D40" s="198" t="s">
        <v>218</v>
      </c>
      <c r="E40" s="11" t="s">
        <v>48</v>
      </c>
      <c r="F40" s="11"/>
      <c r="G40" s="74"/>
      <c r="H40" s="233">
        <v>4000</v>
      </c>
      <c r="I40" s="223">
        <v>104</v>
      </c>
      <c r="J40" s="223"/>
      <c r="K40" s="130"/>
      <c r="L40" s="73"/>
      <c r="M40" s="266"/>
      <c r="N40" s="73"/>
      <c r="O40" s="199"/>
      <c r="P40" s="75"/>
      <c r="Q40" s="267"/>
      <c r="R40" s="127"/>
    </row>
    <row r="41" spans="1:18" s="76" customFormat="1" ht="23.4" customHeight="1">
      <c r="A41" s="257"/>
      <c r="B41" s="259"/>
      <c r="C41" s="198" t="s">
        <v>226</v>
      </c>
      <c r="D41" s="198" t="s">
        <v>227</v>
      </c>
      <c r="E41" s="11" t="s">
        <v>66</v>
      </c>
      <c r="F41" s="11"/>
      <c r="G41" s="74"/>
      <c r="H41" s="233">
        <v>113000</v>
      </c>
      <c r="I41" s="223">
        <v>311.339</v>
      </c>
      <c r="J41" s="223"/>
      <c r="K41" s="131"/>
      <c r="L41" s="73"/>
      <c r="M41" s="263"/>
      <c r="N41" s="73"/>
      <c r="O41" s="199"/>
      <c r="P41" s="75"/>
      <c r="Q41" s="261"/>
      <c r="R41" s="127"/>
    </row>
    <row r="42" spans="1:18" s="76" customFormat="1" ht="23.4" customHeight="1">
      <c r="A42" s="256">
        <v>25</v>
      </c>
      <c r="B42" s="258" t="s">
        <v>228</v>
      </c>
      <c r="C42" s="198" t="s">
        <v>229</v>
      </c>
      <c r="D42" s="198" t="s">
        <v>230</v>
      </c>
      <c r="E42" s="11" t="s">
        <v>62</v>
      </c>
      <c r="F42" s="11"/>
      <c r="G42" s="74"/>
      <c r="H42" s="233">
        <v>34240</v>
      </c>
      <c r="I42" s="223">
        <v>952.55399999999997</v>
      </c>
      <c r="J42" s="223"/>
      <c r="K42" s="131"/>
      <c r="L42" s="73"/>
      <c r="M42" s="73">
        <v>800000</v>
      </c>
      <c r="N42" s="73"/>
      <c r="O42" s="199">
        <v>60000</v>
      </c>
      <c r="P42" s="75"/>
      <c r="Q42" s="260">
        <f>SUM(L42:P43)</f>
        <v>1310000</v>
      </c>
      <c r="R42" s="214" t="s">
        <v>231</v>
      </c>
    </row>
    <row r="43" spans="1:18" s="76" customFormat="1" ht="23.4" customHeight="1">
      <c r="A43" s="257"/>
      <c r="B43" s="259"/>
      <c r="C43" s="198">
        <v>17</v>
      </c>
      <c r="D43" s="198" t="s">
        <v>65</v>
      </c>
      <c r="E43" s="11" t="s">
        <v>66</v>
      </c>
      <c r="F43" s="11"/>
      <c r="G43" s="74">
        <v>1000</v>
      </c>
      <c r="H43" s="233"/>
      <c r="I43" s="223"/>
      <c r="J43" s="223"/>
      <c r="K43" s="131"/>
      <c r="L43" s="73">
        <v>450000</v>
      </c>
      <c r="M43" s="73"/>
      <c r="N43" s="73"/>
      <c r="O43" s="199"/>
      <c r="P43" s="75"/>
      <c r="Q43" s="261"/>
      <c r="R43" s="78"/>
    </row>
    <row r="44" spans="1:18" s="76" customFormat="1" ht="23.4" customHeight="1">
      <c r="A44" s="256">
        <v>26</v>
      </c>
      <c r="B44" s="258" t="s">
        <v>232</v>
      </c>
      <c r="C44" s="198">
        <v>7</v>
      </c>
      <c r="D44" s="198" t="s">
        <v>113</v>
      </c>
      <c r="E44" s="11" t="s">
        <v>64</v>
      </c>
      <c r="F44" s="11"/>
      <c r="G44" s="74"/>
      <c r="H44" s="233">
        <v>39000</v>
      </c>
      <c r="I44" s="223">
        <v>516.04200000000003</v>
      </c>
      <c r="J44" s="223"/>
      <c r="K44" s="131"/>
      <c r="L44" s="73"/>
      <c r="M44" s="262">
        <v>1200000</v>
      </c>
      <c r="N44" s="73"/>
      <c r="O44" s="199"/>
      <c r="P44" s="75"/>
      <c r="Q44" s="260">
        <f>SUM(L44:P45)</f>
        <v>1200000</v>
      </c>
      <c r="R44" s="78" t="s">
        <v>51</v>
      </c>
    </row>
    <row r="45" spans="1:18" s="76" customFormat="1" ht="23.4" customHeight="1">
      <c r="A45" s="257"/>
      <c r="B45" s="259"/>
      <c r="C45" s="198">
        <v>36</v>
      </c>
      <c r="D45" s="198" t="s">
        <v>168</v>
      </c>
      <c r="E45" s="11" t="s">
        <v>169</v>
      </c>
      <c r="F45" s="11"/>
      <c r="G45" s="74"/>
      <c r="H45" s="233">
        <v>80000</v>
      </c>
      <c r="I45" s="223">
        <v>457.6</v>
      </c>
      <c r="J45" s="223"/>
      <c r="K45" s="131"/>
      <c r="L45" s="73"/>
      <c r="M45" s="263"/>
      <c r="N45" s="73"/>
      <c r="O45" s="199"/>
      <c r="P45" s="75"/>
      <c r="Q45" s="261"/>
      <c r="R45" s="127"/>
    </row>
    <row r="46" spans="1:18" s="76" customFormat="1" ht="23.4" customHeight="1">
      <c r="A46" s="72">
        <v>27</v>
      </c>
      <c r="B46" s="241" t="s">
        <v>233</v>
      </c>
      <c r="C46" s="198" t="s">
        <v>234</v>
      </c>
      <c r="D46" s="198" t="s">
        <v>87</v>
      </c>
      <c r="E46" s="11" t="s">
        <v>84</v>
      </c>
      <c r="F46" s="11"/>
      <c r="G46" s="233"/>
      <c r="H46" s="233">
        <v>96800</v>
      </c>
      <c r="I46" s="223">
        <v>1319.7035000000001</v>
      </c>
      <c r="J46" s="223"/>
      <c r="K46" s="131"/>
      <c r="L46" s="73"/>
      <c r="M46" s="73">
        <v>1150000</v>
      </c>
      <c r="N46" s="73"/>
      <c r="O46" s="199"/>
      <c r="P46" s="75"/>
      <c r="Q46" s="115">
        <f t="shared" ref="Q46" si="1">SUM(L46:P46)</f>
        <v>1150000</v>
      </c>
      <c r="R46" s="78" t="s">
        <v>51</v>
      </c>
    </row>
    <row r="47" spans="1:18" s="56" customFormat="1" ht="23.4" customHeight="1">
      <c r="A47" s="296" t="s">
        <v>31</v>
      </c>
      <c r="B47" s="297"/>
      <c r="C47" s="297"/>
      <c r="D47" s="297"/>
      <c r="E47" s="297"/>
      <c r="F47" s="298"/>
      <c r="G47" s="117">
        <f t="shared" ref="G47:Q47" si="2">SUM(G1:G46)</f>
        <v>5200</v>
      </c>
      <c r="H47" s="117">
        <f t="shared" si="2"/>
        <v>3161320</v>
      </c>
      <c r="I47" s="117">
        <f t="shared" si="2"/>
        <v>31721.325399999994</v>
      </c>
      <c r="J47" s="117"/>
      <c r="K47" s="117">
        <f t="shared" si="2"/>
        <v>0</v>
      </c>
      <c r="L47" s="117">
        <f t="shared" si="2"/>
        <v>2750000</v>
      </c>
      <c r="M47" s="117">
        <f t="shared" si="2"/>
        <v>28850000</v>
      </c>
      <c r="N47" s="117">
        <f t="shared" si="2"/>
        <v>0</v>
      </c>
      <c r="O47" s="169">
        <f t="shared" si="2"/>
        <v>1205000</v>
      </c>
      <c r="P47" s="117">
        <f t="shared" si="2"/>
        <v>0</v>
      </c>
      <c r="Q47" s="118">
        <f t="shared" si="2"/>
        <v>32805000</v>
      </c>
      <c r="R47" s="119"/>
    </row>
    <row r="48" spans="1:18" s="56" customFormat="1" ht="23.4" customHeight="1">
      <c r="A48" s="299" t="s">
        <v>21</v>
      </c>
      <c r="B48" s="300"/>
      <c r="C48" s="300"/>
      <c r="D48" s="300"/>
      <c r="E48" s="300"/>
      <c r="F48" s="301"/>
      <c r="G48" s="53"/>
      <c r="H48" s="53"/>
      <c r="I48" s="53"/>
      <c r="J48" s="53"/>
      <c r="K48" s="54"/>
      <c r="L48" s="53"/>
      <c r="M48" s="53"/>
      <c r="N48" s="53"/>
      <c r="O48" s="170"/>
      <c r="P48" s="53"/>
      <c r="Q48" s="53">
        <f>8%*Q47</f>
        <v>2624400</v>
      </c>
      <c r="R48" s="120"/>
    </row>
    <row r="49" spans="1:18" s="56" customFormat="1" ht="23.4" customHeight="1">
      <c r="A49" s="299" t="s">
        <v>22</v>
      </c>
      <c r="B49" s="300"/>
      <c r="C49" s="300"/>
      <c r="D49" s="300"/>
      <c r="E49" s="300"/>
      <c r="F49" s="301"/>
      <c r="G49" s="53"/>
      <c r="H49" s="53"/>
      <c r="I49" s="53"/>
      <c r="J49" s="53"/>
      <c r="K49" s="54"/>
      <c r="L49" s="53"/>
      <c r="M49" s="53"/>
      <c r="N49" s="53"/>
      <c r="O49" s="170"/>
      <c r="P49" s="53"/>
      <c r="Q49" s="53">
        <f>Q48+Q47</f>
        <v>35429400</v>
      </c>
      <c r="R49" s="120"/>
    </row>
    <row r="50" spans="1:18" s="21" customFormat="1" ht="30.6" customHeight="1">
      <c r="A50" s="23"/>
      <c r="B50" s="51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4"/>
      <c r="N50" s="24"/>
      <c r="O50" s="162"/>
      <c r="P50" s="24"/>
      <c r="Q50" s="24"/>
      <c r="R50" s="121"/>
    </row>
    <row r="51" spans="1:18" s="21" customFormat="1" ht="24.6" customHeight="1">
      <c r="A51" s="291" t="s">
        <v>23</v>
      </c>
      <c r="B51" s="292"/>
      <c r="C51" s="292"/>
      <c r="D51" s="292"/>
      <c r="E51" s="292"/>
      <c r="F51" s="293"/>
      <c r="G51" s="27">
        <f>G47</f>
        <v>5200</v>
      </c>
      <c r="H51" s="27"/>
      <c r="I51" s="27"/>
      <c r="J51" s="27"/>
      <c r="K51" s="28">
        <f>G47+I47</f>
        <v>36921.325399999994</v>
      </c>
      <c r="L51" s="27"/>
      <c r="M51" s="27"/>
      <c r="N51" s="27"/>
      <c r="O51" s="163"/>
      <c r="P51" s="27"/>
      <c r="Q51" s="27">
        <f>L47+N47</f>
        <v>2750000</v>
      </c>
      <c r="R51" s="122">
        <f>Q51/G51</f>
        <v>528.84615384615381</v>
      </c>
    </row>
    <row r="52" spans="1:18" s="21" customFormat="1" ht="24.6" customHeight="1">
      <c r="A52" s="291" t="s">
        <v>24</v>
      </c>
      <c r="B52" s="292"/>
      <c r="C52" s="292"/>
      <c r="D52" s="292"/>
      <c r="E52" s="292"/>
      <c r="F52" s="293"/>
      <c r="G52" s="27"/>
      <c r="H52" s="27"/>
      <c r="I52" s="27">
        <f>I47</f>
        <v>31721.325399999994</v>
      </c>
      <c r="J52" s="27"/>
      <c r="K52" s="27"/>
      <c r="L52" s="27"/>
      <c r="M52" s="27"/>
      <c r="N52" s="27"/>
      <c r="O52" s="163"/>
      <c r="P52" s="27"/>
      <c r="Q52" s="27">
        <f>M47+O47</f>
        <v>30055000</v>
      </c>
      <c r="R52" s="122">
        <f>Q52/I52</f>
        <v>947.4698683302812</v>
      </c>
    </row>
    <row r="53" spans="1:18" s="21" customFormat="1" ht="24.6" customHeight="1">
      <c r="A53" s="291" t="s">
        <v>25</v>
      </c>
      <c r="B53" s="292"/>
      <c r="C53" s="292"/>
      <c r="D53" s="292"/>
      <c r="E53" s="292"/>
      <c r="F53" s="293"/>
      <c r="G53" s="27"/>
      <c r="H53" s="27"/>
      <c r="I53" s="27"/>
      <c r="J53" s="27"/>
      <c r="K53" s="27"/>
      <c r="L53" s="27"/>
      <c r="M53" s="27"/>
      <c r="N53" s="27"/>
      <c r="O53" s="163"/>
      <c r="P53" s="27"/>
      <c r="Q53" s="27">
        <f>P47</f>
        <v>0</v>
      </c>
      <c r="R53" s="122"/>
    </row>
    <row r="54" spans="1:18">
      <c r="A54" s="31"/>
      <c r="B54" s="1"/>
      <c r="C54" s="3" t="s">
        <v>27</v>
      </c>
      <c r="D54" s="32"/>
      <c r="E54" s="33"/>
      <c r="F54" s="33"/>
      <c r="G54" s="34" t="s">
        <v>163</v>
      </c>
      <c r="I54" s="35"/>
      <c r="J54" s="35"/>
      <c r="K54" s="36"/>
      <c r="L54" s="1"/>
      <c r="M54" s="1"/>
      <c r="N54" s="1"/>
      <c r="O54" s="1"/>
      <c r="P54" s="1"/>
      <c r="Q54" s="123" t="s">
        <v>28</v>
      </c>
    </row>
    <row r="55" spans="1:18" ht="18" customHeight="1">
      <c r="B55" s="1"/>
      <c r="D55" s="32"/>
      <c r="E55" s="37"/>
      <c r="F55" s="37"/>
      <c r="G55" s="38"/>
      <c r="H55" s="34"/>
      <c r="I55" s="33"/>
      <c r="J55" s="33"/>
      <c r="K55" s="32"/>
    </row>
    <row r="56" spans="1:18" s="8" customFormat="1" ht="18" customHeight="1">
      <c r="A56" s="1"/>
      <c r="B56" s="1"/>
      <c r="C56" s="3"/>
      <c r="D56" s="3"/>
      <c r="E56" s="3"/>
      <c r="F56" s="3"/>
      <c r="G56" s="39"/>
      <c r="H56" s="4"/>
      <c r="I56" s="4"/>
      <c r="J56" s="4"/>
      <c r="O56" s="1"/>
      <c r="Q56" s="124"/>
      <c r="R56" s="114"/>
    </row>
    <row r="57" spans="1:18">
      <c r="B57" s="1"/>
      <c r="E57" s="37"/>
      <c r="F57" s="37"/>
      <c r="G57" s="38"/>
      <c r="H57" s="34"/>
      <c r="I57" s="33"/>
      <c r="J57" s="33"/>
      <c r="K57" s="32"/>
    </row>
    <row r="58" spans="1:18">
      <c r="H58" s="34"/>
      <c r="Q58" s="21"/>
    </row>
    <row r="59" spans="1:18">
      <c r="C59" s="45"/>
      <c r="G59" s="34" t="str">
        <f>'[1]A VIEN'!G68</f>
        <v>Đặng Thị Mỹ Tin</v>
      </c>
      <c r="H59" s="34"/>
      <c r="Q59" s="113" t="s">
        <v>32</v>
      </c>
    </row>
    <row r="62" spans="1:18">
      <c r="R62" s="125" t="e">
        <f>+#REF!+#REF!+#REF!+#REF!+#REF!+#REF!+#REF!+#REF!+#REF!</f>
        <v>#REF!</v>
      </c>
    </row>
  </sheetData>
  <mergeCells count="60">
    <mergeCell ref="A53:F53"/>
    <mergeCell ref="A32:A33"/>
    <mergeCell ref="B32:B33"/>
    <mergeCell ref="M32:M33"/>
    <mergeCell ref="Q32:Q33"/>
    <mergeCell ref="A35:A36"/>
    <mergeCell ref="B35:B36"/>
    <mergeCell ref="L35:L36"/>
    <mergeCell ref="Q35:Q36"/>
    <mergeCell ref="A47:F47"/>
    <mergeCell ref="A48:F48"/>
    <mergeCell ref="A49:F49"/>
    <mergeCell ref="A51:F51"/>
    <mergeCell ref="A52:F52"/>
    <mergeCell ref="A37:A38"/>
    <mergeCell ref="B37:B38"/>
    <mergeCell ref="R5:R7"/>
    <mergeCell ref="F6:F7"/>
    <mergeCell ref="H6:I6"/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A25:A27"/>
    <mergeCell ref="B25:B27"/>
    <mergeCell ref="M25:M27"/>
    <mergeCell ref="Q25:Q27"/>
    <mergeCell ref="P5:P7"/>
    <mergeCell ref="E6:E7"/>
    <mergeCell ref="Q5:Q7"/>
    <mergeCell ref="A11:A12"/>
    <mergeCell ref="B11:B12"/>
    <mergeCell ref="M11:M12"/>
    <mergeCell ref="Q11:Q12"/>
    <mergeCell ref="A14:A15"/>
    <mergeCell ref="B14:B15"/>
    <mergeCell ref="M14:M15"/>
    <mergeCell ref="Q14:Q15"/>
    <mergeCell ref="M37:M38"/>
    <mergeCell ref="Q37:Q38"/>
    <mergeCell ref="A39:A41"/>
    <mergeCell ref="B39:B41"/>
    <mergeCell ref="M39:M41"/>
    <mergeCell ref="Q39:Q41"/>
    <mergeCell ref="A42:A43"/>
    <mergeCell ref="B42:B43"/>
    <mergeCell ref="Q42:Q43"/>
    <mergeCell ref="A44:A45"/>
    <mergeCell ref="B44:B45"/>
    <mergeCell ref="M44:M45"/>
    <mergeCell ref="Q44:Q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topLeftCell="A37" zoomScale="70" zoomScaleNormal="70" workbookViewId="0">
      <selection activeCell="J9" sqref="J9"/>
    </sheetView>
  </sheetViews>
  <sheetFormatPr defaultColWidth="9.109375" defaultRowHeight="13.8"/>
  <cols>
    <col min="1" max="1" width="9.21875" style="1" customWidth="1"/>
    <col min="2" max="2" width="13.77734375" style="101" customWidth="1"/>
    <col min="3" max="3" width="13.88671875" style="3" customWidth="1"/>
    <col min="4" max="4" width="22.77734375" style="3" customWidth="1"/>
    <col min="5" max="5" width="17.109375" style="41" customWidth="1"/>
    <col min="6" max="6" width="11.21875" style="42" customWidth="1"/>
    <col min="7" max="7" width="15.6640625" style="35" customWidth="1"/>
    <col min="8" max="8" width="17.44140625" style="35" customWidth="1"/>
    <col min="9" max="10" width="15.44140625" style="44" customWidth="1"/>
    <col min="11" max="11" width="13.109375" style="7" customWidth="1"/>
    <col min="12" max="13" width="16.44140625" style="7" customWidth="1"/>
    <col min="14" max="14" width="15.6640625" style="7" customWidth="1"/>
    <col min="15" max="15" width="16.6640625" style="7" customWidth="1"/>
    <col min="16" max="16" width="11.6640625" style="7" customWidth="1"/>
    <col min="17" max="17" width="16.6640625" style="126" customWidth="1"/>
    <col min="18" max="18" width="41" style="3" customWidth="1"/>
    <col min="19" max="19" width="20.88671875" style="114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9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9">
      <c r="A4" s="302" t="s">
        <v>164</v>
      </c>
      <c r="B4" s="302"/>
      <c r="C4" s="302"/>
      <c r="D4" s="302"/>
      <c r="E4" s="3"/>
      <c r="F4" s="3"/>
      <c r="G4" s="4"/>
      <c r="H4" s="4"/>
      <c r="I4" s="6"/>
      <c r="J4" s="6"/>
    </row>
    <row r="5" spans="1:19" ht="29.25" customHeight="1">
      <c r="A5" s="279" t="s">
        <v>1</v>
      </c>
      <c r="B5" s="303" t="s">
        <v>2</v>
      </c>
      <c r="C5" s="279" t="s">
        <v>3</v>
      </c>
      <c r="D5" s="279" t="s">
        <v>4</v>
      </c>
      <c r="E5" s="279" t="s">
        <v>5</v>
      </c>
      <c r="F5" s="279"/>
      <c r="G5" s="304" t="s">
        <v>6</v>
      </c>
      <c r="H5" s="304"/>
      <c r="I5" s="304"/>
      <c r="J5" s="226"/>
      <c r="K5" s="305" t="s">
        <v>7</v>
      </c>
      <c r="L5" s="287" t="s">
        <v>8</v>
      </c>
      <c r="M5" s="288"/>
      <c r="N5" s="309" t="s">
        <v>9</v>
      </c>
      <c r="O5" s="309"/>
      <c r="P5" s="268" t="s">
        <v>10</v>
      </c>
      <c r="Q5" s="311" t="s">
        <v>11</v>
      </c>
      <c r="R5" s="308" t="s">
        <v>12</v>
      </c>
    </row>
    <row r="6" spans="1:19" ht="23.25" customHeight="1">
      <c r="A6" s="279"/>
      <c r="B6" s="303"/>
      <c r="C6" s="279"/>
      <c r="D6" s="279"/>
      <c r="E6" s="279" t="s">
        <v>13</v>
      </c>
      <c r="F6" s="279" t="s">
        <v>14</v>
      </c>
      <c r="G6" s="227" t="s">
        <v>15</v>
      </c>
      <c r="H6" s="304" t="s">
        <v>16</v>
      </c>
      <c r="I6" s="304"/>
      <c r="J6" s="226"/>
      <c r="K6" s="305"/>
      <c r="L6" s="306"/>
      <c r="M6" s="307"/>
      <c r="N6" s="309"/>
      <c r="O6" s="309"/>
      <c r="P6" s="269"/>
      <c r="Q6" s="311"/>
      <c r="R6" s="308"/>
    </row>
    <row r="7" spans="1:19" ht="22.5" customHeight="1">
      <c r="A7" s="279"/>
      <c r="B7" s="303"/>
      <c r="C7" s="279"/>
      <c r="D7" s="279"/>
      <c r="E7" s="279"/>
      <c r="F7" s="279"/>
      <c r="G7" s="227" t="s">
        <v>18</v>
      </c>
      <c r="H7" s="227" t="s">
        <v>19</v>
      </c>
      <c r="I7" s="226" t="s">
        <v>18</v>
      </c>
      <c r="J7" s="226"/>
      <c r="K7" s="305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11"/>
      <c r="R7" s="308"/>
    </row>
    <row r="8" spans="1:19" s="76" customFormat="1" ht="27.6" customHeight="1">
      <c r="A8" s="72">
        <v>1</v>
      </c>
      <c r="B8" s="72" t="s">
        <v>190</v>
      </c>
      <c r="C8" s="11">
        <v>3</v>
      </c>
      <c r="D8" s="198" t="s">
        <v>116</v>
      </c>
      <c r="E8" s="11" t="s">
        <v>63</v>
      </c>
      <c r="F8" s="11"/>
      <c r="G8" s="74"/>
      <c r="H8" s="223">
        <v>61600</v>
      </c>
      <c r="I8" s="223">
        <v>451.92</v>
      </c>
      <c r="J8" s="223"/>
      <c r="K8" s="72"/>
      <c r="L8" s="191"/>
      <c r="M8" s="105">
        <v>1000000</v>
      </c>
      <c r="N8" s="73"/>
      <c r="O8" s="73">
        <v>100000</v>
      </c>
      <c r="P8" s="75"/>
      <c r="Q8" s="115">
        <f>SUM(L8:P8)</f>
        <v>1100000</v>
      </c>
      <c r="R8" s="208" t="s">
        <v>235</v>
      </c>
      <c r="S8" s="114">
        <v>1300</v>
      </c>
    </row>
    <row r="9" spans="1:19" s="76" customFormat="1" ht="22.8" customHeight="1">
      <c r="A9" s="256">
        <v>2</v>
      </c>
      <c r="B9" s="256" t="s">
        <v>191</v>
      </c>
      <c r="C9" s="198">
        <v>6</v>
      </c>
      <c r="D9" s="198" t="s">
        <v>117</v>
      </c>
      <c r="E9" s="11" t="s">
        <v>48</v>
      </c>
      <c r="F9" s="11"/>
      <c r="G9" s="74">
        <v>1193</v>
      </c>
      <c r="H9" s="233"/>
      <c r="I9" s="233"/>
      <c r="J9" s="233"/>
      <c r="K9" s="182"/>
      <c r="L9" s="83">
        <v>600000</v>
      </c>
      <c r="M9" s="105"/>
      <c r="N9" s="74"/>
      <c r="O9" s="74"/>
      <c r="P9" s="116"/>
      <c r="Q9" s="260">
        <f>SUM(L9:P10)</f>
        <v>1350000</v>
      </c>
      <c r="R9" s="183" t="s">
        <v>236</v>
      </c>
      <c r="S9" s="114"/>
    </row>
    <row r="10" spans="1:19" ht="24" customHeight="1">
      <c r="A10" s="257"/>
      <c r="B10" s="257"/>
      <c r="C10" s="198">
        <v>22</v>
      </c>
      <c r="D10" s="198" t="s">
        <v>177</v>
      </c>
      <c r="E10" s="11" t="s">
        <v>66</v>
      </c>
      <c r="F10" s="11"/>
      <c r="G10" s="74"/>
      <c r="H10" s="233">
        <v>9900</v>
      </c>
      <c r="I10" s="223">
        <v>475.2</v>
      </c>
      <c r="J10" s="223"/>
      <c r="K10" s="128"/>
      <c r="L10" s="83"/>
      <c r="M10" s="105">
        <v>750000</v>
      </c>
      <c r="N10" s="129"/>
      <c r="O10" s="129"/>
      <c r="P10" s="75"/>
      <c r="Q10" s="261"/>
      <c r="R10" s="193"/>
    </row>
    <row r="11" spans="1:19" s="76" customFormat="1" ht="23.4" customHeight="1">
      <c r="A11" s="72">
        <v>3</v>
      </c>
      <c r="B11" s="72" t="s">
        <v>192</v>
      </c>
      <c r="C11" s="198">
        <v>20</v>
      </c>
      <c r="D11" s="198" t="s">
        <v>142</v>
      </c>
      <c r="E11" s="11" t="s">
        <v>64</v>
      </c>
      <c r="F11" s="11"/>
      <c r="G11" s="74"/>
      <c r="H11" s="233">
        <v>39000</v>
      </c>
      <c r="I11" s="223">
        <v>886.08</v>
      </c>
      <c r="J11" s="223"/>
      <c r="K11" s="72"/>
      <c r="L11" s="73"/>
      <c r="M11" s="105">
        <v>1000000</v>
      </c>
      <c r="N11" s="73"/>
      <c r="O11" s="73"/>
      <c r="P11" s="75"/>
      <c r="Q11" s="115">
        <f t="shared" ref="Q11:Q46" si="0">SUM(L11:P11)</f>
        <v>1000000</v>
      </c>
      <c r="R11" s="193"/>
      <c r="S11" s="114"/>
    </row>
    <row r="12" spans="1:19" s="76" customFormat="1" ht="22.8" customHeight="1">
      <c r="A12" s="72">
        <v>4</v>
      </c>
      <c r="B12" s="72" t="s">
        <v>193</v>
      </c>
      <c r="C12" s="11" t="s">
        <v>237</v>
      </c>
      <c r="D12" s="198" t="s">
        <v>60</v>
      </c>
      <c r="E12" s="11" t="s">
        <v>84</v>
      </c>
      <c r="F12" s="11"/>
      <c r="G12" s="74"/>
      <c r="H12" s="223">
        <v>66600</v>
      </c>
      <c r="I12" s="223">
        <v>1281.2828</v>
      </c>
      <c r="J12" s="223"/>
      <c r="K12" s="130"/>
      <c r="L12" s="73"/>
      <c r="M12" s="105">
        <v>1100000</v>
      </c>
      <c r="N12" s="75"/>
      <c r="O12" s="75"/>
      <c r="P12" s="75"/>
      <c r="Q12" s="115">
        <f t="shared" si="0"/>
        <v>1100000</v>
      </c>
      <c r="R12" s="183"/>
      <c r="S12" s="114"/>
    </row>
    <row r="13" spans="1:19" s="76" customFormat="1" ht="22.8" customHeight="1">
      <c r="A13" s="72">
        <v>5</v>
      </c>
      <c r="B13" s="72" t="s">
        <v>194</v>
      </c>
      <c r="C13" s="11">
        <v>32</v>
      </c>
      <c r="D13" s="198" t="s">
        <v>47</v>
      </c>
      <c r="E13" s="11" t="s">
        <v>61</v>
      </c>
      <c r="F13" s="11"/>
      <c r="G13" s="74"/>
      <c r="H13" s="223">
        <v>69000</v>
      </c>
      <c r="I13" s="223">
        <v>928.92240000000004</v>
      </c>
      <c r="J13" s="223"/>
      <c r="K13" s="130"/>
      <c r="L13" s="73"/>
      <c r="M13" s="105">
        <v>1100000</v>
      </c>
      <c r="N13" s="75"/>
      <c r="O13" s="73"/>
      <c r="P13" s="75"/>
      <c r="Q13" s="115">
        <f t="shared" si="0"/>
        <v>1100000</v>
      </c>
      <c r="R13" s="73"/>
      <c r="S13" s="114"/>
    </row>
    <row r="14" spans="1:19" s="76" customFormat="1" ht="24.6" customHeight="1">
      <c r="A14" s="256">
        <v>6</v>
      </c>
      <c r="B14" s="256" t="s">
        <v>198</v>
      </c>
      <c r="C14" s="198">
        <v>34</v>
      </c>
      <c r="D14" s="198" t="s">
        <v>238</v>
      </c>
      <c r="E14" s="11" t="s">
        <v>48</v>
      </c>
      <c r="F14" s="11"/>
      <c r="G14" s="74"/>
      <c r="H14" s="233">
        <v>36000</v>
      </c>
      <c r="I14" s="223">
        <v>691.7364</v>
      </c>
      <c r="J14" s="223"/>
      <c r="K14" s="130"/>
      <c r="L14" s="73"/>
      <c r="M14" s="105">
        <v>700000</v>
      </c>
      <c r="N14" s="73"/>
      <c r="O14" s="73">
        <v>50000</v>
      </c>
      <c r="P14" s="75"/>
      <c r="Q14" s="260">
        <f>SUM(L14:P15)</f>
        <v>1250000</v>
      </c>
      <c r="R14" s="183" t="s">
        <v>239</v>
      </c>
      <c r="S14" s="114"/>
    </row>
    <row r="15" spans="1:19" s="76" customFormat="1" ht="22.8" customHeight="1">
      <c r="A15" s="257"/>
      <c r="B15" s="257"/>
      <c r="C15" s="198">
        <v>25</v>
      </c>
      <c r="D15" s="198" t="s">
        <v>99</v>
      </c>
      <c r="E15" s="11" t="s">
        <v>62</v>
      </c>
      <c r="F15" s="11"/>
      <c r="G15" s="74">
        <v>1020</v>
      </c>
      <c r="H15" s="233"/>
      <c r="I15" s="233"/>
      <c r="J15" s="233"/>
      <c r="K15" s="72"/>
      <c r="L15" s="73">
        <v>500000</v>
      </c>
      <c r="M15" s="105"/>
      <c r="N15" s="75"/>
      <c r="O15" s="75"/>
      <c r="P15" s="75"/>
      <c r="Q15" s="261"/>
      <c r="R15" s="73"/>
      <c r="S15" s="114"/>
    </row>
    <row r="16" spans="1:19" s="76" customFormat="1" ht="22.8" customHeight="1">
      <c r="A16" s="256">
        <v>7</v>
      </c>
      <c r="B16" s="256" t="s">
        <v>200</v>
      </c>
      <c r="C16" s="198">
        <v>22</v>
      </c>
      <c r="D16" s="198" t="s">
        <v>113</v>
      </c>
      <c r="E16" s="11" t="s">
        <v>89</v>
      </c>
      <c r="F16" s="11"/>
      <c r="G16" s="74"/>
      <c r="H16" s="233">
        <v>135800</v>
      </c>
      <c r="I16" s="223">
        <v>546.34580000000005</v>
      </c>
      <c r="J16" s="223"/>
      <c r="K16" s="146"/>
      <c r="L16" s="199"/>
      <c r="M16" s="312">
        <v>1150000</v>
      </c>
      <c r="N16" s="73"/>
      <c r="O16" s="73">
        <v>60000</v>
      </c>
      <c r="P16" s="75"/>
      <c r="Q16" s="260">
        <f>SUM(L16:P17)</f>
        <v>1210000</v>
      </c>
      <c r="R16" s="130" t="s">
        <v>240</v>
      </c>
      <c r="S16" s="114"/>
    </row>
    <row r="17" spans="1:19" s="76" customFormat="1" ht="22.8" customHeight="1">
      <c r="A17" s="257"/>
      <c r="B17" s="257"/>
      <c r="C17" s="198">
        <v>21</v>
      </c>
      <c r="D17" s="198" t="s">
        <v>113</v>
      </c>
      <c r="E17" s="11" t="s">
        <v>48</v>
      </c>
      <c r="F17" s="11"/>
      <c r="G17" s="74"/>
      <c r="H17" s="233">
        <v>38400</v>
      </c>
      <c r="I17" s="223">
        <v>500.92599999999999</v>
      </c>
      <c r="J17" s="223"/>
      <c r="K17" s="131"/>
      <c r="L17" s="105"/>
      <c r="M17" s="313"/>
      <c r="N17" s="73"/>
      <c r="O17" s="73"/>
      <c r="P17" s="75"/>
      <c r="Q17" s="261"/>
      <c r="R17" s="216"/>
      <c r="S17" s="114"/>
    </row>
    <row r="18" spans="1:19" s="76" customFormat="1" ht="22.2" customHeight="1">
      <c r="A18" s="72">
        <v>8</v>
      </c>
      <c r="B18" s="72" t="s">
        <v>203</v>
      </c>
      <c r="C18" s="198" t="s">
        <v>241</v>
      </c>
      <c r="D18" s="198" t="s">
        <v>87</v>
      </c>
      <c r="E18" s="11" t="s">
        <v>48</v>
      </c>
      <c r="F18" s="11"/>
      <c r="G18" s="233"/>
      <c r="H18" s="232">
        <v>96196</v>
      </c>
      <c r="I18" s="223">
        <v>1248.7869000000001</v>
      </c>
      <c r="J18" s="223"/>
      <c r="K18" s="182"/>
      <c r="L18" s="105"/>
      <c r="M18" s="105">
        <v>1150000</v>
      </c>
      <c r="N18" s="73"/>
      <c r="O18" s="73"/>
      <c r="P18" s="75"/>
      <c r="Q18" s="115">
        <f t="shared" si="0"/>
        <v>1150000</v>
      </c>
      <c r="R18" s="164" t="s">
        <v>51</v>
      </c>
      <c r="S18" s="114"/>
    </row>
    <row r="19" spans="1:19" s="76" customFormat="1" ht="22.8" customHeight="1">
      <c r="A19" s="72">
        <v>9</v>
      </c>
      <c r="B19" s="72" t="s">
        <v>203</v>
      </c>
      <c r="C19" s="11">
        <v>46</v>
      </c>
      <c r="D19" s="11" t="s">
        <v>150</v>
      </c>
      <c r="E19" s="11" t="s">
        <v>77</v>
      </c>
      <c r="F19" s="11"/>
      <c r="G19" s="74"/>
      <c r="H19" s="233">
        <v>70000</v>
      </c>
      <c r="I19" s="223">
        <v>1050</v>
      </c>
      <c r="J19" s="223"/>
      <c r="K19" s="182"/>
      <c r="L19" s="105"/>
      <c r="M19" s="191">
        <v>1200000</v>
      </c>
      <c r="N19" s="73"/>
      <c r="O19" s="73">
        <v>200000</v>
      </c>
      <c r="P19" s="75"/>
      <c r="Q19" s="115">
        <f t="shared" si="0"/>
        <v>1400000</v>
      </c>
      <c r="R19" s="164" t="s">
        <v>156</v>
      </c>
      <c r="S19" s="114"/>
    </row>
    <row r="20" spans="1:19" s="76" customFormat="1" ht="22.8" customHeight="1">
      <c r="A20" s="256">
        <v>10</v>
      </c>
      <c r="B20" s="256" t="s">
        <v>205</v>
      </c>
      <c r="C20" s="198">
        <v>24</v>
      </c>
      <c r="D20" s="198" t="s">
        <v>113</v>
      </c>
      <c r="E20" s="11" t="s">
        <v>45</v>
      </c>
      <c r="F20" s="11"/>
      <c r="G20" s="74"/>
      <c r="H20" s="233">
        <v>23390</v>
      </c>
      <c r="I20" s="233">
        <v>403.7921</v>
      </c>
      <c r="J20" s="233"/>
      <c r="K20" s="182"/>
      <c r="L20" s="105"/>
      <c r="M20" s="262">
        <v>1200000</v>
      </c>
      <c r="N20" s="73"/>
      <c r="O20" s="73"/>
      <c r="P20" s="75"/>
      <c r="Q20" s="260">
        <f>SUM(L20:P21)</f>
        <v>1200000</v>
      </c>
      <c r="R20" s="183"/>
      <c r="S20" s="114"/>
    </row>
    <row r="21" spans="1:19" s="76" customFormat="1" ht="23.4" customHeight="1">
      <c r="A21" s="257"/>
      <c r="B21" s="257"/>
      <c r="C21" s="198" t="s">
        <v>242</v>
      </c>
      <c r="D21" s="198" t="s">
        <v>243</v>
      </c>
      <c r="E21" s="11" t="s">
        <v>66</v>
      </c>
      <c r="F21" s="11"/>
      <c r="G21" s="74"/>
      <c r="H21" s="233">
        <f>38000+7100+48000</f>
        <v>93100</v>
      </c>
      <c r="I21" s="233">
        <f>418.4712+213.11+287.28</f>
        <v>918.86120000000005</v>
      </c>
      <c r="J21" s="233"/>
      <c r="K21" s="131"/>
      <c r="L21" s="105"/>
      <c r="M21" s="263"/>
      <c r="N21" s="73"/>
      <c r="O21" s="73"/>
      <c r="P21" s="75"/>
      <c r="Q21" s="261"/>
      <c r="R21" s="183"/>
      <c r="S21" s="114"/>
    </row>
    <row r="22" spans="1:19" s="76" customFormat="1" ht="23.4" customHeight="1">
      <c r="A22" s="256">
        <v>11</v>
      </c>
      <c r="B22" s="256" t="s">
        <v>206</v>
      </c>
      <c r="C22" s="198">
        <v>22</v>
      </c>
      <c r="D22" s="198" t="s">
        <v>113</v>
      </c>
      <c r="E22" s="11" t="s">
        <v>48</v>
      </c>
      <c r="F22" s="11"/>
      <c r="G22" s="74"/>
      <c r="H22" s="233">
        <v>82460</v>
      </c>
      <c r="I22" s="223">
        <v>725.85130000000004</v>
      </c>
      <c r="J22" s="223"/>
      <c r="K22" s="131"/>
      <c r="L22" s="105"/>
      <c r="M22" s="262">
        <v>1200000</v>
      </c>
      <c r="N22" s="73"/>
      <c r="O22" s="73"/>
      <c r="P22" s="75"/>
      <c r="Q22" s="260">
        <f>SUM(L22:P23)</f>
        <v>1300000</v>
      </c>
      <c r="R22" s="183" t="s">
        <v>51</v>
      </c>
      <c r="S22" s="114"/>
    </row>
    <row r="23" spans="1:19" s="76" customFormat="1" ht="30.6" customHeight="1">
      <c r="A23" s="257"/>
      <c r="B23" s="257"/>
      <c r="C23" s="198">
        <v>31</v>
      </c>
      <c r="D23" s="198" t="s">
        <v>106</v>
      </c>
      <c r="E23" s="11" t="s">
        <v>48</v>
      </c>
      <c r="F23" s="11"/>
      <c r="G23" s="74"/>
      <c r="H23" s="233">
        <v>31620</v>
      </c>
      <c r="I23" s="223">
        <v>365.59</v>
      </c>
      <c r="J23" s="223"/>
      <c r="K23" s="182"/>
      <c r="L23" s="105"/>
      <c r="M23" s="263"/>
      <c r="N23" s="73"/>
      <c r="O23" s="73">
        <v>100000</v>
      </c>
      <c r="P23" s="75"/>
      <c r="Q23" s="261"/>
      <c r="R23" s="184" t="s">
        <v>244</v>
      </c>
      <c r="S23" s="114">
        <v>1500</v>
      </c>
    </row>
    <row r="24" spans="1:19" s="76" customFormat="1" ht="31.2" customHeight="1">
      <c r="A24" s="256">
        <v>12</v>
      </c>
      <c r="B24" s="256" t="s">
        <v>208</v>
      </c>
      <c r="C24" s="198" t="s">
        <v>245</v>
      </c>
      <c r="D24" s="198" t="s">
        <v>105</v>
      </c>
      <c r="E24" s="11" t="s">
        <v>84</v>
      </c>
      <c r="F24" s="11"/>
      <c r="G24" s="74"/>
      <c r="H24" s="233">
        <v>44620</v>
      </c>
      <c r="I24" s="233">
        <v>391.5333</v>
      </c>
      <c r="J24" s="233"/>
      <c r="K24" s="131"/>
      <c r="L24" s="105"/>
      <c r="M24" s="262">
        <v>1100000</v>
      </c>
      <c r="N24" s="73"/>
      <c r="O24" s="73"/>
      <c r="P24" s="75"/>
      <c r="Q24" s="260">
        <f>SUM(L24:P26)</f>
        <v>1250000</v>
      </c>
      <c r="R24" s="193"/>
      <c r="S24" s="114"/>
    </row>
    <row r="25" spans="1:19" s="76" customFormat="1" ht="22.8" customHeight="1">
      <c r="A25" s="264"/>
      <c r="B25" s="264"/>
      <c r="C25" s="198">
        <v>52</v>
      </c>
      <c r="D25" s="198" t="s">
        <v>246</v>
      </c>
      <c r="E25" s="11" t="s">
        <v>66</v>
      </c>
      <c r="F25" s="11"/>
      <c r="G25" s="74"/>
      <c r="H25" s="233">
        <v>2000</v>
      </c>
      <c r="I25" s="223">
        <v>460</v>
      </c>
      <c r="J25" s="223"/>
      <c r="K25" s="131"/>
      <c r="L25" s="73"/>
      <c r="M25" s="263"/>
      <c r="N25" s="73"/>
      <c r="O25" s="73"/>
      <c r="P25" s="75"/>
      <c r="Q25" s="267"/>
      <c r="R25" s="157"/>
      <c r="S25" s="114"/>
    </row>
    <row r="26" spans="1:19" s="76" customFormat="1" ht="22.8" customHeight="1">
      <c r="A26" s="257"/>
      <c r="B26" s="257"/>
      <c r="C26" s="198">
        <v>21</v>
      </c>
      <c r="D26" s="198" t="s">
        <v>99</v>
      </c>
      <c r="E26" s="11" t="s">
        <v>62</v>
      </c>
      <c r="F26" s="11"/>
      <c r="G26" s="74">
        <v>300</v>
      </c>
      <c r="H26" s="233"/>
      <c r="I26" s="223"/>
      <c r="J26" s="223"/>
      <c r="K26" s="132"/>
      <c r="L26" s="73">
        <v>150000</v>
      </c>
      <c r="M26" s="73"/>
      <c r="N26" s="73"/>
      <c r="O26" s="73"/>
      <c r="P26" s="75"/>
      <c r="Q26" s="261"/>
      <c r="R26" s="183"/>
      <c r="S26" s="114"/>
    </row>
    <row r="27" spans="1:19" s="76" customFormat="1" ht="25.8" customHeight="1">
      <c r="A27" s="256">
        <v>13</v>
      </c>
      <c r="B27" s="256" t="s">
        <v>209</v>
      </c>
      <c r="C27" s="198">
        <v>36</v>
      </c>
      <c r="D27" s="198" t="s">
        <v>67</v>
      </c>
      <c r="E27" s="11" t="s">
        <v>63</v>
      </c>
      <c r="F27" s="11"/>
      <c r="G27" s="74"/>
      <c r="H27" s="233">
        <v>16830</v>
      </c>
      <c r="I27" s="233">
        <v>519.20550000000003</v>
      </c>
      <c r="J27" s="233"/>
      <c r="K27" s="132"/>
      <c r="L27" s="73"/>
      <c r="M27" s="262">
        <v>1050000</v>
      </c>
      <c r="N27" s="73"/>
      <c r="O27" s="73"/>
      <c r="P27" s="75"/>
      <c r="Q27" s="260">
        <f>SUM(L27:P28)</f>
        <v>1050000</v>
      </c>
      <c r="R27" s="157"/>
      <c r="S27" s="114"/>
    </row>
    <row r="28" spans="1:19" s="76" customFormat="1" ht="25.8" customHeight="1">
      <c r="A28" s="257"/>
      <c r="B28" s="257"/>
      <c r="C28" s="198">
        <v>17</v>
      </c>
      <c r="D28" s="198" t="s">
        <v>113</v>
      </c>
      <c r="E28" s="11" t="s">
        <v>89</v>
      </c>
      <c r="F28" s="11"/>
      <c r="G28" s="74"/>
      <c r="H28" s="233">
        <v>29730</v>
      </c>
      <c r="I28" s="223">
        <v>610.08749999999998</v>
      </c>
      <c r="J28" s="223"/>
      <c r="K28" s="131"/>
      <c r="L28" s="73"/>
      <c r="M28" s="263"/>
      <c r="N28" s="73"/>
      <c r="O28" s="73"/>
      <c r="P28" s="75"/>
      <c r="Q28" s="261"/>
      <c r="R28" s="193"/>
      <c r="S28" s="114"/>
    </row>
    <row r="29" spans="1:19" s="76" customFormat="1" ht="25.2" customHeight="1">
      <c r="A29" s="72">
        <v>14</v>
      </c>
      <c r="B29" s="130" t="s">
        <v>211</v>
      </c>
      <c r="C29" s="198" t="s">
        <v>247</v>
      </c>
      <c r="D29" s="198" t="s">
        <v>158</v>
      </c>
      <c r="E29" s="11" t="s">
        <v>95</v>
      </c>
      <c r="F29" s="11"/>
      <c r="G29" s="233"/>
      <c r="H29" s="232">
        <f>46000+71000+48000</f>
        <v>165000</v>
      </c>
      <c r="I29" s="223">
        <f>1095.0865+981.0612</f>
        <v>2076.1477</v>
      </c>
      <c r="J29" s="223"/>
      <c r="K29" s="131"/>
      <c r="L29" s="73"/>
      <c r="M29" s="73">
        <v>1150000</v>
      </c>
      <c r="N29" s="73"/>
      <c r="O29" s="73"/>
      <c r="P29" s="75"/>
      <c r="Q29" s="115">
        <f t="shared" si="0"/>
        <v>1150000</v>
      </c>
      <c r="R29" s="193"/>
      <c r="S29" s="114"/>
    </row>
    <row r="30" spans="1:19" s="76" customFormat="1" ht="25.2" customHeight="1">
      <c r="A30" s="72">
        <v>15</v>
      </c>
      <c r="B30" s="130" t="s">
        <v>248</v>
      </c>
      <c r="C30" s="198" t="s">
        <v>249</v>
      </c>
      <c r="D30" s="198" t="s">
        <v>167</v>
      </c>
      <c r="E30" s="11" t="s">
        <v>45</v>
      </c>
      <c r="F30" s="11"/>
      <c r="G30" s="74"/>
      <c r="H30" s="233">
        <v>45300</v>
      </c>
      <c r="I30" s="233">
        <v>915.06</v>
      </c>
      <c r="J30" s="233"/>
      <c r="K30" s="146"/>
      <c r="L30" s="73"/>
      <c r="M30" s="73">
        <v>1150000</v>
      </c>
      <c r="N30" s="73"/>
      <c r="O30" s="73">
        <v>60000</v>
      </c>
      <c r="P30" s="75"/>
      <c r="Q30" s="115">
        <f t="shared" si="0"/>
        <v>1210000</v>
      </c>
      <c r="R30" s="183" t="s">
        <v>240</v>
      </c>
      <c r="S30" s="114"/>
    </row>
    <row r="31" spans="1:19" s="76" customFormat="1" ht="22.8" customHeight="1">
      <c r="A31" s="72">
        <v>16</v>
      </c>
      <c r="B31" s="130" t="s">
        <v>250</v>
      </c>
      <c r="C31" s="198">
        <v>13</v>
      </c>
      <c r="D31" s="198" t="s">
        <v>80</v>
      </c>
      <c r="E31" s="11" t="s">
        <v>73</v>
      </c>
      <c r="F31" s="11"/>
      <c r="G31" s="74"/>
      <c r="H31" s="233">
        <v>40640</v>
      </c>
      <c r="I31" s="233">
        <v>1061.5804000000001</v>
      </c>
      <c r="J31" s="233"/>
      <c r="K31" s="131"/>
      <c r="L31" s="73"/>
      <c r="M31" s="73">
        <v>1850000</v>
      </c>
      <c r="N31" s="73"/>
      <c r="O31" s="73">
        <v>50000</v>
      </c>
      <c r="P31" s="75"/>
      <c r="Q31" s="115">
        <f t="shared" si="0"/>
        <v>1900000</v>
      </c>
      <c r="R31" s="157" t="s">
        <v>251</v>
      </c>
      <c r="S31" s="114"/>
    </row>
    <row r="32" spans="1:19" s="76" customFormat="1" ht="22.8" customHeight="1">
      <c r="A32" s="72">
        <v>17</v>
      </c>
      <c r="B32" s="130" t="s">
        <v>212</v>
      </c>
      <c r="C32" s="198" t="s">
        <v>252</v>
      </c>
      <c r="D32" s="198" t="s">
        <v>253</v>
      </c>
      <c r="E32" s="11" t="s">
        <v>77</v>
      </c>
      <c r="F32" s="11"/>
      <c r="G32" s="74"/>
      <c r="H32" s="233">
        <v>202750</v>
      </c>
      <c r="I32" s="233">
        <v>1306.9999</v>
      </c>
      <c r="J32" s="233"/>
      <c r="K32" s="131"/>
      <c r="L32" s="73"/>
      <c r="M32" s="73">
        <v>1250000</v>
      </c>
      <c r="N32" s="73"/>
      <c r="O32" s="73"/>
      <c r="P32" s="75"/>
      <c r="Q32" s="115">
        <f t="shared" si="0"/>
        <v>1250000</v>
      </c>
      <c r="R32" s="183"/>
      <c r="S32" s="114"/>
    </row>
    <row r="33" spans="1:19" s="76" customFormat="1" ht="22.2" customHeight="1">
      <c r="A33" s="72">
        <v>18</v>
      </c>
      <c r="B33" s="130" t="s">
        <v>213</v>
      </c>
      <c r="C33" s="198" t="s">
        <v>254</v>
      </c>
      <c r="D33" s="198" t="s">
        <v>160</v>
      </c>
      <c r="E33" s="11" t="s">
        <v>50</v>
      </c>
      <c r="F33" s="11"/>
      <c r="G33" s="74"/>
      <c r="H33" s="233">
        <v>130000</v>
      </c>
      <c r="I33" s="233">
        <v>1102.4849999999999</v>
      </c>
      <c r="J33" s="233"/>
      <c r="K33" s="131"/>
      <c r="L33" s="73"/>
      <c r="M33" s="73">
        <v>750000</v>
      </c>
      <c r="N33" s="73"/>
      <c r="O33" s="73"/>
      <c r="P33" s="75"/>
      <c r="Q33" s="115">
        <f t="shared" si="0"/>
        <v>750000</v>
      </c>
      <c r="R33" s="193"/>
      <c r="S33" s="114"/>
    </row>
    <row r="34" spans="1:19" s="76" customFormat="1" ht="23.4" customHeight="1">
      <c r="A34" s="256">
        <v>19</v>
      </c>
      <c r="B34" s="256" t="s">
        <v>215</v>
      </c>
      <c r="C34" s="198">
        <v>17</v>
      </c>
      <c r="D34" s="198" t="s">
        <v>157</v>
      </c>
      <c r="E34" s="11" t="s">
        <v>48</v>
      </c>
      <c r="F34" s="11"/>
      <c r="G34" s="74">
        <v>1020</v>
      </c>
      <c r="H34" s="233"/>
      <c r="I34" s="233"/>
      <c r="J34" s="233"/>
      <c r="K34" s="182"/>
      <c r="L34" s="262">
        <v>650000</v>
      </c>
      <c r="M34" s="73"/>
      <c r="N34" s="73"/>
      <c r="O34" s="73"/>
      <c r="P34" s="75"/>
      <c r="Q34" s="260">
        <f>SUM(L34:P37)</f>
        <v>1300000</v>
      </c>
      <c r="R34" s="130" t="s">
        <v>51</v>
      </c>
      <c r="S34" s="114"/>
    </row>
    <row r="35" spans="1:19" s="76" customFormat="1" ht="24.6" customHeight="1">
      <c r="A35" s="264"/>
      <c r="B35" s="264"/>
      <c r="C35" s="198">
        <v>29</v>
      </c>
      <c r="D35" s="198" t="s">
        <v>117</v>
      </c>
      <c r="E35" s="11" t="s">
        <v>48</v>
      </c>
      <c r="F35" s="11"/>
      <c r="G35" s="74">
        <v>300</v>
      </c>
      <c r="H35" s="233"/>
      <c r="I35" s="223"/>
      <c r="J35" s="223"/>
      <c r="K35" s="131"/>
      <c r="L35" s="263"/>
      <c r="M35" s="73"/>
      <c r="N35" s="73"/>
      <c r="O35" s="73"/>
      <c r="P35" s="75"/>
      <c r="Q35" s="267"/>
      <c r="R35" s="130"/>
      <c r="S35" s="208"/>
    </row>
    <row r="36" spans="1:19" s="76" customFormat="1" ht="23.4" customHeight="1">
      <c r="A36" s="264"/>
      <c r="B36" s="264"/>
      <c r="C36" s="198">
        <v>31</v>
      </c>
      <c r="D36" s="198" t="s">
        <v>218</v>
      </c>
      <c r="E36" s="11" t="s">
        <v>48</v>
      </c>
      <c r="F36" s="11"/>
      <c r="G36" s="74"/>
      <c r="H36" s="74">
        <v>10000</v>
      </c>
      <c r="I36" s="233">
        <v>260</v>
      </c>
      <c r="J36" s="233"/>
      <c r="K36" s="182"/>
      <c r="L36" s="73"/>
      <c r="M36" s="262">
        <v>650000</v>
      </c>
      <c r="N36" s="73"/>
      <c r="O36" s="73"/>
      <c r="P36" s="75"/>
      <c r="Q36" s="267"/>
      <c r="R36" s="183"/>
      <c r="S36" s="114"/>
    </row>
    <row r="37" spans="1:19" s="76" customFormat="1" ht="22.8" customHeight="1">
      <c r="A37" s="257"/>
      <c r="B37" s="257"/>
      <c r="C37" s="11">
        <v>5</v>
      </c>
      <c r="D37" s="11" t="s">
        <v>113</v>
      </c>
      <c r="E37" s="11" t="s">
        <v>48</v>
      </c>
      <c r="F37" s="11"/>
      <c r="G37" s="74"/>
      <c r="H37" s="74">
        <v>18500</v>
      </c>
      <c r="I37" s="233">
        <v>311.39999999999998</v>
      </c>
      <c r="J37" s="233"/>
      <c r="K37" s="131"/>
      <c r="L37" s="73"/>
      <c r="M37" s="263"/>
      <c r="N37" s="73"/>
      <c r="O37" s="73"/>
      <c r="P37" s="75"/>
      <c r="Q37" s="261"/>
      <c r="R37" s="157"/>
      <c r="S37" s="114"/>
    </row>
    <row r="38" spans="1:19" s="76" customFormat="1" ht="34.200000000000003" customHeight="1">
      <c r="A38" s="72">
        <v>20</v>
      </c>
      <c r="B38" s="72" t="s">
        <v>219</v>
      </c>
      <c r="C38" s="242" t="s">
        <v>255</v>
      </c>
      <c r="D38" s="11" t="s">
        <v>67</v>
      </c>
      <c r="E38" s="11" t="s">
        <v>63</v>
      </c>
      <c r="F38" s="11"/>
      <c r="G38" s="74">
        <v>60</v>
      </c>
      <c r="H38" s="233">
        <f>600+128000+15000</f>
        <v>143600</v>
      </c>
      <c r="I38" s="223">
        <f>44.6982+1176.2606+78</f>
        <v>1298.9588000000001</v>
      </c>
      <c r="J38" s="223"/>
      <c r="K38" s="131"/>
      <c r="L38" s="73"/>
      <c r="M38" s="73">
        <v>1050000</v>
      </c>
      <c r="N38" s="73"/>
      <c r="O38" s="73"/>
      <c r="P38" s="75"/>
      <c r="Q38" s="115">
        <f t="shared" si="0"/>
        <v>1050000</v>
      </c>
      <c r="R38" s="185" t="s">
        <v>51</v>
      </c>
      <c r="S38" s="114"/>
    </row>
    <row r="39" spans="1:19" s="76" customFormat="1" ht="24.6" customHeight="1">
      <c r="A39" s="256">
        <v>21</v>
      </c>
      <c r="B39" s="256" t="s">
        <v>221</v>
      </c>
      <c r="C39" s="198" t="s">
        <v>256</v>
      </c>
      <c r="D39" s="198" t="s">
        <v>58</v>
      </c>
      <c r="E39" s="11" t="s">
        <v>61</v>
      </c>
      <c r="F39" s="11"/>
      <c r="G39" s="74"/>
      <c r="H39" s="233">
        <f>18500+50800</f>
        <v>69300</v>
      </c>
      <c r="I39" s="223">
        <f>311.4+1040.395</f>
        <v>1351.7950000000001</v>
      </c>
      <c r="J39" s="223"/>
      <c r="K39" s="131"/>
      <c r="L39" s="73"/>
      <c r="M39" s="262">
        <v>1150000</v>
      </c>
      <c r="N39" s="73"/>
      <c r="O39" s="73"/>
      <c r="P39" s="75"/>
      <c r="Q39" s="260">
        <f>SUM(L39:P40)</f>
        <v>1150000</v>
      </c>
      <c r="R39" s="127"/>
      <c r="S39" s="114"/>
    </row>
    <row r="40" spans="1:19" s="76" customFormat="1" ht="24.6" customHeight="1">
      <c r="A40" s="257"/>
      <c r="B40" s="257"/>
      <c r="C40" s="198">
        <v>43</v>
      </c>
      <c r="D40" s="198" t="s">
        <v>257</v>
      </c>
      <c r="E40" s="11" t="s">
        <v>183</v>
      </c>
      <c r="F40" s="11"/>
      <c r="G40" s="74"/>
      <c r="H40" s="233">
        <v>33000</v>
      </c>
      <c r="I40" s="223">
        <v>690.45899999999995</v>
      </c>
      <c r="J40" s="223"/>
      <c r="K40" s="131"/>
      <c r="L40" s="73"/>
      <c r="M40" s="263"/>
      <c r="N40" s="73"/>
      <c r="O40" s="73"/>
      <c r="P40" s="75"/>
      <c r="Q40" s="261"/>
      <c r="R40" s="183"/>
      <c r="S40" s="114"/>
    </row>
    <row r="41" spans="1:19" s="76" customFormat="1" ht="25.2" customHeight="1">
      <c r="A41" s="72">
        <v>22</v>
      </c>
      <c r="B41" s="72" t="s">
        <v>221</v>
      </c>
      <c r="C41" s="198">
        <v>16</v>
      </c>
      <c r="D41" s="198" t="s">
        <v>120</v>
      </c>
      <c r="E41" s="11" t="s">
        <v>54</v>
      </c>
      <c r="F41" s="11"/>
      <c r="G41" s="74"/>
      <c r="H41" s="233">
        <v>47850</v>
      </c>
      <c r="I41" s="223">
        <v>550.35</v>
      </c>
      <c r="J41" s="223"/>
      <c r="K41" s="131"/>
      <c r="L41" s="73"/>
      <c r="M41" s="73">
        <v>900000</v>
      </c>
      <c r="N41" s="73"/>
      <c r="O41" s="73">
        <v>475000</v>
      </c>
      <c r="P41" s="75"/>
      <c r="Q41" s="115">
        <f t="shared" si="0"/>
        <v>1375000</v>
      </c>
      <c r="R41" s="193" t="s">
        <v>258</v>
      </c>
      <c r="S41" s="114"/>
    </row>
    <row r="42" spans="1:19" s="76" customFormat="1" ht="22.8" customHeight="1">
      <c r="A42" s="256">
        <v>23</v>
      </c>
      <c r="B42" s="256" t="s">
        <v>225</v>
      </c>
      <c r="C42" s="198">
        <v>3</v>
      </c>
      <c r="D42" s="198" t="s">
        <v>113</v>
      </c>
      <c r="E42" s="11" t="s">
        <v>46</v>
      </c>
      <c r="F42" s="11"/>
      <c r="G42" s="74"/>
      <c r="H42" s="233">
        <v>51000</v>
      </c>
      <c r="I42" s="223">
        <v>561.63239999999996</v>
      </c>
      <c r="J42" s="223"/>
      <c r="K42" s="131"/>
      <c r="L42" s="73"/>
      <c r="M42" s="262">
        <v>1050000</v>
      </c>
      <c r="N42" s="73"/>
      <c r="O42" s="73"/>
      <c r="P42" s="75"/>
      <c r="Q42" s="260">
        <f>SUM(L42:P45)</f>
        <v>1300000</v>
      </c>
      <c r="R42" s="157" t="s">
        <v>51</v>
      </c>
      <c r="S42" s="114"/>
    </row>
    <row r="43" spans="1:19" s="76" customFormat="1" ht="22.8" customHeight="1">
      <c r="A43" s="264"/>
      <c r="B43" s="264"/>
      <c r="C43" s="198">
        <v>23</v>
      </c>
      <c r="D43" s="198" t="s">
        <v>172</v>
      </c>
      <c r="E43" s="11" t="s">
        <v>64</v>
      </c>
      <c r="F43" s="11"/>
      <c r="G43" s="74"/>
      <c r="H43" s="233">
        <v>1040</v>
      </c>
      <c r="I43" s="223">
        <v>17.472000000000001</v>
      </c>
      <c r="J43" s="223"/>
      <c r="K43" s="131"/>
      <c r="L43" s="73"/>
      <c r="M43" s="266"/>
      <c r="N43" s="73"/>
      <c r="O43" s="73"/>
      <c r="P43" s="75"/>
      <c r="Q43" s="267"/>
      <c r="R43" s="157"/>
      <c r="S43" s="114"/>
    </row>
    <row r="44" spans="1:19" s="76" customFormat="1" ht="22.8" customHeight="1">
      <c r="A44" s="264"/>
      <c r="B44" s="264"/>
      <c r="C44" s="198">
        <v>39</v>
      </c>
      <c r="D44" s="198" t="s">
        <v>58</v>
      </c>
      <c r="E44" s="11" t="s">
        <v>46</v>
      </c>
      <c r="F44" s="11"/>
      <c r="G44" s="74"/>
      <c r="H44" s="233">
        <v>31600</v>
      </c>
      <c r="I44" s="223">
        <v>504.09199999999998</v>
      </c>
      <c r="J44" s="223"/>
      <c r="K44" s="131"/>
      <c r="L44" s="73"/>
      <c r="M44" s="263"/>
      <c r="N44" s="73"/>
      <c r="O44" s="73"/>
      <c r="P44" s="75"/>
      <c r="Q44" s="267"/>
      <c r="R44" s="110"/>
      <c r="S44" s="114"/>
    </row>
    <row r="45" spans="1:19" s="76" customFormat="1" ht="22.8" customHeight="1">
      <c r="A45" s="257"/>
      <c r="B45" s="257"/>
      <c r="C45" s="11">
        <v>65</v>
      </c>
      <c r="D45" s="11" t="s">
        <v>99</v>
      </c>
      <c r="E45" s="11" t="s">
        <v>62</v>
      </c>
      <c r="F45" s="11"/>
      <c r="G45" s="74">
        <v>600</v>
      </c>
      <c r="H45" s="74"/>
      <c r="I45" s="233"/>
      <c r="J45" s="233"/>
      <c r="K45" s="131"/>
      <c r="L45" s="73">
        <v>250000</v>
      </c>
      <c r="M45" s="73"/>
      <c r="N45" s="73"/>
      <c r="O45" s="73"/>
      <c r="P45" s="75"/>
      <c r="Q45" s="261"/>
      <c r="R45" s="110"/>
      <c r="S45" s="114"/>
    </row>
    <row r="46" spans="1:19" s="76" customFormat="1" ht="22.8" customHeight="1">
      <c r="A46" s="72">
        <v>24</v>
      </c>
      <c r="B46" s="72" t="s">
        <v>228</v>
      </c>
      <c r="C46" s="198" t="s">
        <v>259</v>
      </c>
      <c r="D46" s="198" t="s">
        <v>47</v>
      </c>
      <c r="E46" s="11" t="s">
        <v>61</v>
      </c>
      <c r="F46" s="11"/>
      <c r="G46" s="74"/>
      <c r="H46" s="233">
        <v>75500</v>
      </c>
      <c r="I46" s="223">
        <v>1512.25</v>
      </c>
      <c r="J46" s="223"/>
      <c r="K46" s="131"/>
      <c r="L46" s="73"/>
      <c r="M46" s="73">
        <v>1150000</v>
      </c>
      <c r="N46" s="73"/>
      <c r="O46" s="73"/>
      <c r="P46" s="75"/>
      <c r="Q46" s="115">
        <f t="shared" si="0"/>
        <v>1150000</v>
      </c>
      <c r="R46" s="110" t="s">
        <v>51</v>
      </c>
      <c r="S46" s="114"/>
    </row>
    <row r="47" spans="1:19" s="76" customFormat="1" ht="22.8" customHeight="1">
      <c r="A47" s="256">
        <v>25</v>
      </c>
      <c r="B47" s="256" t="s">
        <v>232</v>
      </c>
      <c r="C47" s="198">
        <v>15</v>
      </c>
      <c r="D47" s="198" t="s">
        <v>260</v>
      </c>
      <c r="E47" s="11" t="s">
        <v>48</v>
      </c>
      <c r="F47" s="11"/>
      <c r="G47" s="74">
        <v>1020</v>
      </c>
      <c r="H47" s="233"/>
      <c r="I47" s="206"/>
      <c r="J47" s="206"/>
      <c r="K47" s="131"/>
      <c r="L47" s="262">
        <v>800000</v>
      </c>
      <c r="M47" s="73"/>
      <c r="N47" s="73"/>
      <c r="O47" s="73"/>
      <c r="P47" s="75"/>
      <c r="Q47" s="260">
        <f>SUM(L47:P49)</f>
        <v>1550000</v>
      </c>
      <c r="R47" s="110" t="s">
        <v>51</v>
      </c>
      <c r="S47" s="114"/>
    </row>
    <row r="48" spans="1:19" s="76" customFormat="1" ht="22.8" customHeight="1">
      <c r="A48" s="264"/>
      <c r="B48" s="264"/>
      <c r="C48" s="198">
        <v>13</v>
      </c>
      <c r="D48" s="198" t="s">
        <v>99</v>
      </c>
      <c r="E48" s="11" t="s">
        <v>62</v>
      </c>
      <c r="F48" s="11"/>
      <c r="G48" s="74">
        <v>600</v>
      </c>
      <c r="H48" s="233"/>
      <c r="I48" s="223"/>
      <c r="J48" s="223"/>
      <c r="K48" s="131"/>
      <c r="L48" s="263"/>
      <c r="M48" s="73"/>
      <c r="N48" s="73"/>
      <c r="O48" s="73"/>
      <c r="P48" s="75"/>
      <c r="Q48" s="267"/>
      <c r="R48" s="127"/>
      <c r="S48" s="114"/>
    </row>
    <row r="49" spans="1:19" s="76" customFormat="1" ht="32.4" customHeight="1">
      <c r="A49" s="257"/>
      <c r="B49" s="257"/>
      <c r="C49" s="198">
        <v>17</v>
      </c>
      <c r="D49" s="198" t="s">
        <v>113</v>
      </c>
      <c r="E49" s="11" t="s">
        <v>48</v>
      </c>
      <c r="F49" s="11"/>
      <c r="G49" s="74"/>
      <c r="H49" s="233">
        <v>67800</v>
      </c>
      <c r="I49" s="223">
        <v>414.83319999999998</v>
      </c>
      <c r="J49" s="223"/>
      <c r="K49" s="131"/>
      <c r="L49" s="73"/>
      <c r="M49" s="73">
        <v>450000</v>
      </c>
      <c r="N49" s="73"/>
      <c r="O49" s="73">
        <v>300000</v>
      </c>
      <c r="P49" s="73"/>
      <c r="Q49" s="261"/>
      <c r="R49" s="184" t="s">
        <v>261</v>
      </c>
      <c r="S49" s="114"/>
    </row>
    <row r="50" spans="1:19" s="76" customFormat="1" ht="22.8" customHeight="1">
      <c r="A50" s="256">
        <v>26</v>
      </c>
      <c r="B50" s="256" t="s">
        <v>232</v>
      </c>
      <c r="C50" s="198">
        <v>61</v>
      </c>
      <c r="D50" s="198" t="s">
        <v>113</v>
      </c>
      <c r="E50" s="11" t="s">
        <v>46</v>
      </c>
      <c r="F50" s="11"/>
      <c r="G50" s="74"/>
      <c r="H50" s="233">
        <v>21000</v>
      </c>
      <c r="I50" s="223">
        <v>126</v>
      </c>
      <c r="J50" s="223"/>
      <c r="K50" s="131"/>
      <c r="L50" s="73"/>
      <c r="M50" s="262">
        <v>1150000</v>
      </c>
      <c r="N50" s="73"/>
      <c r="O50" s="73">
        <v>65000</v>
      </c>
      <c r="P50" s="73"/>
      <c r="Q50" s="260">
        <f>SUM(L50:P51)</f>
        <v>1215000</v>
      </c>
      <c r="R50" s="127" t="s">
        <v>94</v>
      </c>
      <c r="S50" s="114"/>
    </row>
    <row r="51" spans="1:19" s="76" customFormat="1" ht="25.8" customHeight="1">
      <c r="A51" s="257"/>
      <c r="B51" s="257"/>
      <c r="C51" s="198">
        <v>39</v>
      </c>
      <c r="D51" s="198" t="s">
        <v>113</v>
      </c>
      <c r="E51" s="11" t="s">
        <v>66</v>
      </c>
      <c r="F51" s="11"/>
      <c r="G51" s="74"/>
      <c r="H51" s="233">
        <v>120000</v>
      </c>
      <c r="I51" s="223">
        <v>330</v>
      </c>
      <c r="J51" s="223"/>
      <c r="K51" s="131"/>
      <c r="L51" s="73"/>
      <c r="M51" s="263"/>
      <c r="N51" s="73"/>
      <c r="O51" s="73"/>
      <c r="P51" s="73"/>
      <c r="Q51" s="261"/>
      <c r="R51" s="127" t="s">
        <v>53</v>
      </c>
      <c r="S51" s="114"/>
    </row>
    <row r="52" spans="1:19" s="21" customFormat="1" ht="22.2" customHeight="1">
      <c r="A52" s="315" t="s">
        <v>20</v>
      </c>
      <c r="B52" s="315"/>
      <c r="C52" s="315"/>
      <c r="D52" s="315"/>
      <c r="E52" s="315"/>
      <c r="F52" s="315"/>
      <c r="G52" s="20">
        <f t="shared" ref="G52:P52" si="1">SUM(G8:G51)</f>
        <v>6113</v>
      </c>
      <c r="H52" s="20">
        <f t="shared" si="1"/>
        <v>2220126</v>
      </c>
      <c r="I52" s="20">
        <f t="shared" si="1"/>
        <v>26847.636600000002</v>
      </c>
      <c r="J52" s="20"/>
      <c r="K52" s="20">
        <f t="shared" si="1"/>
        <v>0</v>
      </c>
      <c r="L52" s="77">
        <f t="shared" si="1"/>
        <v>2950000</v>
      </c>
      <c r="M52" s="108">
        <f t="shared" si="1"/>
        <v>27400000</v>
      </c>
      <c r="N52" s="20">
        <f t="shared" si="1"/>
        <v>0</v>
      </c>
      <c r="O52" s="20">
        <f t="shared" si="1"/>
        <v>1460000</v>
      </c>
      <c r="P52" s="20">
        <f t="shared" si="1"/>
        <v>0</v>
      </c>
      <c r="Q52" s="134">
        <f>SUM(Q8:Q51)</f>
        <v>31810000</v>
      </c>
      <c r="R52" s="135"/>
      <c r="S52" s="205"/>
    </row>
    <row r="53" spans="1:19" s="56" customFormat="1" ht="20.399999999999999" customHeight="1">
      <c r="A53" s="316" t="s">
        <v>21</v>
      </c>
      <c r="B53" s="316"/>
      <c r="C53" s="316"/>
      <c r="D53" s="316"/>
      <c r="E53" s="316"/>
      <c r="F53" s="316"/>
      <c r="G53" s="53"/>
      <c r="H53" s="53"/>
      <c r="I53" s="53"/>
      <c r="J53" s="53"/>
      <c r="K53" s="54"/>
      <c r="L53" s="53"/>
      <c r="M53" s="91"/>
      <c r="N53" s="53"/>
      <c r="O53" s="53"/>
      <c r="P53" s="53"/>
      <c r="Q53" s="55">
        <f>8%*Q52</f>
        <v>2544800</v>
      </c>
      <c r="R53" s="79"/>
      <c r="S53" s="171"/>
    </row>
    <row r="54" spans="1:19" s="21" customFormat="1" ht="20.399999999999999" customHeight="1">
      <c r="A54" s="317" t="s">
        <v>22</v>
      </c>
      <c r="B54" s="317"/>
      <c r="C54" s="317"/>
      <c r="D54" s="317"/>
      <c r="E54" s="317"/>
      <c r="F54" s="317"/>
      <c r="G54" s="20"/>
      <c r="H54" s="20"/>
      <c r="I54" s="20"/>
      <c r="J54" s="20"/>
      <c r="K54" s="20"/>
      <c r="L54" s="20"/>
      <c r="M54" s="92"/>
      <c r="N54" s="20"/>
      <c r="O54" s="20"/>
      <c r="P54" s="20"/>
      <c r="Q54" s="57">
        <f>Q53+Q52</f>
        <v>34354800</v>
      </c>
      <c r="R54" s="63"/>
      <c r="S54" s="114"/>
    </row>
    <row r="55" spans="1:19" s="21" customFormat="1" ht="10.8" customHeight="1">
      <c r="A55" s="23"/>
      <c r="B55" s="99"/>
      <c r="C55" s="23"/>
      <c r="D55" s="23"/>
      <c r="E55" s="23"/>
      <c r="F55" s="23"/>
      <c r="G55" s="24"/>
      <c r="H55" s="24"/>
      <c r="I55" s="24"/>
      <c r="J55" s="24"/>
      <c r="K55" s="24"/>
      <c r="L55" s="24"/>
      <c r="M55" s="93"/>
      <c r="N55" s="24"/>
      <c r="O55" s="24"/>
      <c r="P55" s="24"/>
      <c r="Q55" s="58"/>
      <c r="R55" s="48"/>
      <c r="S55" s="172"/>
    </row>
    <row r="56" spans="1:19" s="21" customFormat="1" ht="16.2" customHeight="1">
      <c r="A56" s="314" t="s">
        <v>23</v>
      </c>
      <c r="B56" s="314"/>
      <c r="C56" s="314"/>
      <c r="D56" s="314"/>
      <c r="E56" s="314"/>
      <c r="F56" s="314"/>
      <c r="G56" s="27">
        <f>G52</f>
        <v>6113</v>
      </c>
      <c r="H56" s="27"/>
      <c r="I56" s="27"/>
      <c r="J56" s="27"/>
      <c r="K56" s="28">
        <f>G52+I52</f>
        <v>32960.636599999998</v>
      </c>
      <c r="L56" s="27"/>
      <c r="M56" s="9"/>
      <c r="N56" s="27"/>
      <c r="O56" s="27"/>
      <c r="P56" s="27"/>
      <c r="Q56" s="59">
        <f>L52+N52</f>
        <v>2950000</v>
      </c>
      <c r="R56" s="67">
        <f>Q56/G56</f>
        <v>482.57811221985929</v>
      </c>
      <c r="S56" s="173"/>
    </row>
    <row r="57" spans="1:19" s="21" customFormat="1" ht="16.2" customHeight="1">
      <c r="A57" s="314" t="s">
        <v>24</v>
      </c>
      <c r="B57" s="314"/>
      <c r="C57" s="314"/>
      <c r="D57" s="314"/>
      <c r="E57" s="314"/>
      <c r="F57" s="314"/>
      <c r="G57" s="27"/>
      <c r="H57" s="27"/>
      <c r="I57" s="27">
        <f>I52</f>
        <v>26847.636600000002</v>
      </c>
      <c r="J57" s="27"/>
      <c r="K57" s="27"/>
      <c r="L57" s="27"/>
      <c r="M57" s="9"/>
      <c r="N57" s="27"/>
      <c r="O57" s="27"/>
      <c r="P57" s="27"/>
      <c r="Q57" s="59">
        <f>M52+O52</f>
        <v>28860000</v>
      </c>
      <c r="R57" s="67">
        <f>Q57/I57</f>
        <v>1074.9549552529327</v>
      </c>
      <c r="S57" s="173"/>
    </row>
    <row r="58" spans="1:19" s="21" customFormat="1" ht="16.2" customHeight="1">
      <c r="A58" s="314" t="s">
        <v>25</v>
      </c>
      <c r="B58" s="314"/>
      <c r="C58" s="314"/>
      <c r="D58" s="314"/>
      <c r="E58" s="314"/>
      <c r="F58" s="314"/>
      <c r="G58" s="27"/>
      <c r="H58" s="27"/>
      <c r="I58" s="27"/>
      <c r="J58" s="27"/>
      <c r="K58" s="27"/>
      <c r="L58" s="27"/>
      <c r="M58" s="9"/>
      <c r="N58" s="27"/>
      <c r="O58" s="27"/>
      <c r="P58" s="27">
        <f>S52</f>
        <v>0</v>
      </c>
      <c r="Q58" s="59">
        <f>P52</f>
        <v>0</v>
      </c>
      <c r="R58" s="80" t="e">
        <f>Q58/P58</f>
        <v>#DIV/0!</v>
      </c>
      <c r="S58" s="173"/>
    </row>
    <row r="59" spans="1:19" ht="16.2" customHeight="1">
      <c r="A59" s="31"/>
      <c r="B59" s="100"/>
      <c r="C59" s="3" t="s">
        <v>27</v>
      </c>
      <c r="D59" s="32"/>
      <c r="E59" s="33"/>
      <c r="F59" s="33"/>
      <c r="G59" s="34" t="s">
        <v>163</v>
      </c>
      <c r="I59" s="35"/>
      <c r="J59" s="35"/>
      <c r="K59" s="36"/>
      <c r="L59" s="1"/>
      <c r="M59" s="1"/>
      <c r="N59" s="1"/>
      <c r="O59" s="1"/>
      <c r="P59" s="1"/>
      <c r="Q59" s="136" t="s">
        <v>28</v>
      </c>
    </row>
    <row r="60" spans="1:19" ht="16.2" customHeight="1">
      <c r="B60" s="100"/>
      <c r="D60" s="32"/>
      <c r="E60" s="37"/>
      <c r="F60" s="37"/>
      <c r="G60" s="38"/>
      <c r="H60" s="34"/>
      <c r="I60" s="32"/>
      <c r="J60" s="32"/>
      <c r="K60" s="32"/>
      <c r="Q60" s="137"/>
    </row>
    <row r="61" spans="1:19" s="8" customFormat="1" ht="16.2" customHeight="1">
      <c r="A61" s="1"/>
      <c r="B61" s="100"/>
      <c r="C61" s="3"/>
      <c r="D61" s="3"/>
      <c r="E61" s="3"/>
      <c r="F61" s="3"/>
      <c r="G61" s="39"/>
      <c r="H61" s="4"/>
      <c r="M61" s="1"/>
      <c r="Q61" s="138"/>
      <c r="R61" s="3"/>
      <c r="S61" s="114"/>
    </row>
    <row r="62" spans="1:19" ht="4.2" customHeight="1">
      <c r="B62" s="100"/>
      <c r="E62" s="37"/>
      <c r="F62" s="37"/>
      <c r="G62" s="38"/>
      <c r="H62" s="34"/>
      <c r="I62" s="32"/>
      <c r="J62" s="32"/>
      <c r="K62" s="32"/>
      <c r="Q62" s="137"/>
    </row>
    <row r="63" spans="1:19" ht="7.2" customHeight="1">
      <c r="H63" s="34"/>
      <c r="Q63" s="137"/>
    </row>
    <row r="64" spans="1:19">
      <c r="C64" s="45"/>
      <c r="G64" s="34" t="str">
        <f>'[1]A VIEN'!G68</f>
        <v>Đặng Thị Mỹ Tin</v>
      </c>
      <c r="H64" s="34"/>
      <c r="Q64" s="137" t="s">
        <v>34</v>
      </c>
    </row>
    <row r="67" spans="18:18">
      <c r="R67" s="49" t="e">
        <f>+Q52+#REF!+#REF!+#REF!+#REF!+#REF!+#REF!+#REF!+#REF!</f>
        <v>#REF!</v>
      </c>
    </row>
  </sheetData>
  <mergeCells count="72">
    <mergeCell ref="A58:F58"/>
    <mergeCell ref="A52:F52"/>
    <mergeCell ref="A53:F53"/>
    <mergeCell ref="A54:F54"/>
    <mergeCell ref="A56:F56"/>
    <mergeCell ref="A57:F57"/>
    <mergeCell ref="A9:A10"/>
    <mergeCell ref="B9:B10"/>
    <mergeCell ref="A14:A15"/>
    <mergeCell ref="B14:B15"/>
    <mergeCell ref="A16:A17"/>
    <mergeCell ref="B16:B17"/>
    <mergeCell ref="A20:A21"/>
    <mergeCell ref="B20:B21"/>
    <mergeCell ref="M20:M21"/>
    <mergeCell ref="M24:M25"/>
    <mergeCell ref="A22:A23"/>
    <mergeCell ref="B22:B23"/>
    <mergeCell ref="M22:M23"/>
    <mergeCell ref="A39:A40"/>
    <mergeCell ref="B39:B40"/>
    <mergeCell ref="M39:M40"/>
    <mergeCell ref="Q39:Q40"/>
    <mergeCell ref="A42:A45"/>
    <mergeCell ref="B42:B45"/>
    <mergeCell ref="A34:A37"/>
    <mergeCell ref="B34:B37"/>
    <mergeCell ref="L34:L35"/>
    <mergeCell ref="Q34:Q37"/>
    <mergeCell ref="M36:M37"/>
    <mergeCell ref="Q9:Q10"/>
    <mergeCell ref="Q20:Q21"/>
    <mergeCell ref="H6:I6"/>
    <mergeCell ref="N5:O6"/>
    <mergeCell ref="P5:P7"/>
    <mergeCell ref="Q5:Q7"/>
    <mergeCell ref="Q14:Q15"/>
    <mergeCell ref="M16:M17"/>
    <mergeCell ref="Q16:Q17"/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E6:E7"/>
    <mergeCell ref="F6:F7"/>
    <mergeCell ref="R5:R7"/>
    <mergeCell ref="Q22:Q23"/>
    <mergeCell ref="A24:A26"/>
    <mergeCell ref="B24:B26"/>
    <mergeCell ref="Q24:Q26"/>
    <mergeCell ref="A27:A28"/>
    <mergeCell ref="B27:B28"/>
    <mergeCell ref="M27:M28"/>
    <mergeCell ref="Q27:Q28"/>
    <mergeCell ref="A50:A51"/>
    <mergeCell ref="B50:B51"/>
    <mergeCell ref="M50:M51"/>
    <mergeCell ref="Q50:Q51"/>
    <mergeCell ref="M42:M44"/>
    <mergeCell ref="Q42:Q45"/>
    <mergeCell ref="A47:A49"/>
    <mergeCell ref="B47:B49"/>
    <mergeCell ref="L47:L48"/>
    <mergeCell ref="Q47:Q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topLeftCell="A28" zoomScale="70" zoomScaleNormal="70" workbookViewId="0">
      <selection activeCell="K11" sqref="K11"/>
    </sheetView>
  </sheetViews>
  <sheetFormatPr defaultColWidth="9.109375" defaultRowHeight="13.8"/>
  <cols>
    <col min="1" max="1" width="8.109375" style="1" customWidth="1"/>
    <col min="2" max="2" width="14.33203125" style="101" customWidth="1"/>
    <col min="3" max="3" width="14.33203125" style="3" customWidth="1"/>
    <col min="4" max="4" width="23.109375" style="3" customWidth="1"/>
    <col min="5" max="5" width="17.109375" style="41" customWidth="1"/>
    <col min="6" max="6" width="14.33203125" style="42" customWidth="1"/>
    <col min="7" max="7" width="16.44140625" style="35" customWidth="1"/>
    <col min="8" max="8" width="16.88671875" style="35" customWidth="1"/>
    <col min="9" max="10" width="12.33203125" style="44" customWidth="1"/>
    <col min="11" max="11" width="17.109375" style="7" customWidth="1"/>
    <col min="12" max="13" width="16.44140625" style="7" customWidth="1"/>
    <col min="14" max="15" width="16.88671875" style="7" customWidth="1"/>
    <col min="16" max="16" width="14.6640625" style="7" customWidth="1"/>
    <col min="17" max="17" width="19.44140625" style="113" customWidth="1"/>
    <col min="18" max="18" width="44.21875" style="8" customWidth="1"/>
    <col min="19" max="19" width="16.5546875" style="1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9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9">
      <c r="A4" s="50" t="s">
        <v>171</v>
      </c>
      <c r="B4" s="139"/>
      <c r="C4" s="2"/>
      <c r="D4" s="2"/>
      <c r="E4" s="3"/>
      <c r="F4" s="3"/>
      <c r="G4" s="4"/>
      <c r="H4" s="4"/>
      <c r="I4" s="6"/>
      <c r="J4" s="6"/>
    </row>
    <row r="5" spans="1:19" ht="29.25" customHeight="1">
      <c r="A5" s="279" t="s">
        <v>1</v>
      </c>
      <c r="B5" s="303" t="s">
        <v>2</v>
      </c>
      <c r="C5" s="270" t="s">
        <v>3</v>
      </c>
      <c r="D5" s="270" t="s">
        <v>4</v>
      </c>
      <c r="E5" s="280" t="s">
        <v>5</v>
      </c>
      <c r="F5" s="281"/>
      <c r="G5" s="282" t="s">
        <v>6</v>
      </c>
      <c r="H5" s="283"/>
      <c r="I5" s="284"/>
      <c r="J5" s="253"/>
      <c r="K5" s="285" t="s">
        <v>7</v>
      </c>
      <c r="L5" s="287" t="s">
        <v>8</v>
      </c>
      <c r="M5" s="288"/>
      <c r="N5" s="287" t="s">
        <v>9</v>
      </c>
      <c r="O5" s="288"/>
      <c r="P5" s="268" t="s">
        <v>10</v>
      </c>
      <c r="Q5" s="268" t="s">
        <v>11</v>
      </c>
      <c r="R5" s="330" t="s">
        <v>12</v>
      </c>
    </row>
    <row r="6" spans="1:19" ht="23.25" customHeight="1">
      <c r="A6" s="279"/>
      <c r="B6" s="303"/>
      <c r="C6" s="271"/>
      <c r="D6" s="271"/>
      <c r="E6" s="270" t="s">
        <v>13</v>
      </c>
      <c r="F6" s="270" t="s">
        <v>14</v>
      </c>
      <c r="G6" s="227" t="s">
        <v>15</v>
      </c>
      <c r="H6" s="282" t="s">
        <v>16</v>
      </c>
      <c r="I6" s="284"/>
      <c r="J6" s="254"/>
      <c r="K6" s="286"/>
      <c r="L6" s="289"/>
      <c r="M6" s="290"/>
      <c r="N6" s="289"/>
      <c r="O6" s="290"/>
      <c r="P6" s="269"/>
      <c r="Q6" s="269"/>
      <c r="R6" s="331"/>
    </row>
    <row r="7" spans="1:19" ht="22.5" customHeight="1">
      <c r="A7" s="279"/>
      <c r="B7" s="303"/>
      <c r="C7" s="328"/>
      <c r="D7" s="328"/>
      <c r="E7" s="328"/>
      <c r="F7" s="328"/>
      <c r="G7" s="227" t="s">
        <v>18</v>
      </c>
      <c r="H7" s="227" t="s">
        <v>19</v>
      </c>
      <c r="I7" s="226" t="s">
        <v>18</v>
      </c>
      <c r="J7" s="255"/>
      <c r="K7" s="329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10"/>
      <c r="R7" s="332"/>
    </row>
    <row r="8" spans="1:19" ht="24.6" customHeight="1">
      <c r="A8" s="256">
        <v>1</v>
      </c>
      <c r="B8" s="321" t="s">
        <v>190</v>
      </c>
      <c r="C8" s="198" t="s">
        <v>262</v>
      </c>
      <c r="D8" s="198" t="s">
        <v>119</v>
      </c>
      <c r="E8" s="11" t="s">
        <v>62</v>
      </c>
      <c r="F8" s="11"/>
      <c r="G8" s="74"/>
      <c r="H8" s="233">
        <v>69100</v>
      </c>
      <c r="I8" s="223">
        <v>869.24210000000005</v>
      </c>
      <c r="J8" s="223"/>
      <c r="K8" s="182"/>
      <c r="L8" s="73"/>
      <c r="M8" s="262">
        <v>1150000</v>
      </c>
      <c r="N8" s="73"/>
      <c r="O8" s="73"/>
      <c r="P8" s="75"/>
      <c r="Q8" s="260">
        <f>SUM(L8:P9)</f>
        <v>1150000</v>
      </c>
      <c r="R8" s="157"/>
    </row>
    <row r="9" spans="1:19" ht="24.6" customHeight="1">
      <c r="A9" s="257"/>
      <c r="B9" s="322"/>
      <c r="C9" s="198">
        <v>22</v>
      </c>
      <c r="D9" s="198" t="s">
        <v>113</v>
      </c>
      <c r="E9" s="11" t="s">
        <v>100</v>
      </c>
      <c r="F9" s="11"/>
      <c r="G9" s="74"/>
      <c r="H9" s="233">
        <v>32000</v>
      </c>
      <c r="I9" s="233">
        <v>444.05110000000002</v>
      </c>
      <c r="J9" s="233"/>
      <c r="K9" s="130"/>
      <c r="L9" s="73"/>
      <c r="M9" s="263"/>
      <c r="N9" s="73"/>
      <c r="O9" s="73"/>
      <c r="P9" s="75"/>
      <c r="Q9" s="261"/>
      <c r="R9" s="183"/>
    </row>
    <row r="10" spans="1:19" ht="24.6" customHeight="1">
      <c r="A10" s="72">
        <v>2</v>
      </c>
      <c r="B10" s="128" t="s">
        <v>191</v>
      </c>
      <c r="C10" s="11">
        <v>10</v>
      </c>
      <c r="D10" s="198" t="s">
        <v>60</v>
      </c>
      <c r="E10" s="11" t="s">
        <v>84</v>
      </c>
      <c r="F10" s="11"/>
      <c r="G10" s="74"/>
      <c r="H10" s="223">
        <v>100800</v>
      </c>
      <c r="I10" s="223">
        <v>1966.9450999999999</v>
      </c>
      <c r="J10" s="223"/>
      <c r="K10" s="156"/>
      <c r="L10" s="73"/>
      <c r="M10" s="73">
        <v>1100000</v>
      </c>
      <c r="N10" s="73"/>
      <c r="O10" s="73"/>
      <c r="P10" s="75"/>
      <c r="Q10" s="115">
        <f t="shared" ref="Q10:Q35" si="0">SUM(L10:P10)</f>
        <v>1100000</v>
      </c>
      <c r="R10" s="183"/>
      <c r="S10" s="204"/>
    </row>
    <row r="11" spans="1:19" ht="24.6" customHeight="1">
      <c r="A11" s="72">
        <v>3</v>
      </c>
      <c r="B11" s="128" t="s">
        <v>192</v>
      </c>
      <c r="C11" s="11">
        <v>13</v>
      </c>
      <c r="D11" s="198" t="s">
        <v>136</v>
      </c>
      <c r="E11" s="11" t="s">
        <v>48</v>
      </c>
      <c r="F11" s="11"/>
      <c r="G11" s="74"/>
      <c r="H11" s="223">
        <v>96000</v>
      </c>
      <c r="I11" s="223">
        <v>835.2</v>
      </c>
      <c r="J11" s="223"/>
      <c r="K11" s="156"/>
      <c r="L11" s="73"/>
      <c r="M11" s="73">
        <v>1100000</v>
      </c>
      <c r="N11" s="73"/>
      <c r="O11" s="73"/>
      <c r="P11" s="75"/>
      <c r="Q11" s="115">
        <f t="shared" si="0"/>
        <v>1100000</v>
      </c>
      <c r="R11" s="157"/>
    </row>
    <row r="12" spans="1:19" ht="24.6" customHeight="1">
      <c r="A12" s="72">
        <v>4</v>
      </c>
      <c r="B12" s="128" t="s">
        <v>193</v>
      </c>
      <c r="C12" s="198" t="s">
        <v>263</v>
      </c>
      <c r="D12" s="198" t="s">
        <v>58</v>
      </c>
      <c r="E12" s="11" t="s">
        <v>61</v>
      </c>
      <c r="F12" s="11"/>
      <c r="G12" s="74"/>
      <c r="H12" s="233">
        <f>31250+16000</f>
        <v>47250</v>
      </c>
      <c r="I12" s="233">
        <f>635.4092+228.3772</f>
        <v>863.78640000000007</v>
      </c>
      <c r="J12" s="233"/>
      <c r="K12" s="158"/>
      <c r="L12" s="73"/>
      <c r="M12" s="73">
        <v>1150000</v>
      </c>
      <c r="N12" s="73"/>
      <c r="O12" s="73"/>
      <c r="P12" s="75"/>
      <c r="Q12" s="115">
        <f t="shared" si="0"/>
        <v>1150000</v>
      </c>
      <c r="R12" s="243" t="s">
        <v>51</v>
      </c>
    </row>
    <row r="13" spans="1:19" ht="24.6" customHeight="1">
      <c r="A13" s="72">
        <v>5</v>
      </c>
      <c r="B13" s="128" t="s">
        <v>194</v>
      </c>
      <c r="C13" s="198">
        <v>14</v>
      </c>
      <c r="D13" s="198" t="s">
        <v>60</v>
      </c>
      <c r="E13" s="11" t="s">
        <v>84</v>
      </c>
      <c r="F13" s="11"/>
      <c r="G13" s="74"/>
      <c r="H13" s="233">
        <v>105400</v>
      </c>
      <c r="I13" s="223">
        <v>1674.422</v>
      </c>
      <c r="J13" s="223"/>
      <c r="K13" s="158"/>
      <c r="L13" s="73"/>
      <c r="M13" s="73">
        <v>1100000</v>
      </c>
      <c r="N13" s="155"/>
      <c r="O13" s="155">
        <v>300000</v>
      </c>
      <c r="P13" s="155"/>
      <c r="Q13" s="115">
        <f t="shared" si="0"/>
        <v>1400000</v>
      </c>
      <c r="R13" s="208" t="s">
        <v>264</v>
      </c>
    </row>
    <row r="14" spans="1:19" ht="24.6" customHeight="1">
      <c r="A14" s="72">
        <v>6</v>
      </c>
      <c r="B14" s="128" t="s">
        <v>196</v>
      </c>
      <c r="C14" s="198">
        <v>19</v>
      </c>
      <c r="D14" s="198" t="s">
        <v>113</v>
      </c>
      <c r="E14" s="11" t="s">
        <v>48</v>
      </c>
      <c r="F14" s="11"/>
      <c r="G14" s="74"/>
      <c r="H14" s="233">
        <v>124000</v>
      </c>
      <c r="I14" s="223">
        <v>1210.3922</v>
      </c>
      <c r="J14" s="223"/>
      <c r="K14" s="156"/>
      <c r="L14" s="199"/>
      <c r="M14" s="73">
        <v>1100000</v>
      </c>
      <c r="N14" s="199"/>
      <c r="O14" s="73"/>
      <c r="P14" s="73"/>
      <c r="Q14" s="115">
        <f t="shared" si="0"/>
        <v>1100000</v>
      </c>
      <c r="R14" s="130"/>
    </row>
    <row r="15" spans="1:19" ht="24.6" customHeight="1">
      <c r="A15" s="72">
        <v>7</v>
      </c>
      <c r="B15" s="128" t="s">
        <v>198</v>
      </c>
      <c r="C15" s="198">
        <v>45</v>
      </c>
      <c r="D15" s="198" t="s">
        <v>116</v>
      </c>
      <c r="E15" s="11" t="s">
        <v>63</v>
      </c>
      <c r="F15" s="11"/>
      <c r="G15" s="74"/>
      <c r="H15" s="233">
        <v>90000</v>
      </c>
      <c r="I15" s="223">
        <v>726.76800000000003</v>
      </c>
      <c r="J15" s="223"/>
      <c r="K15" s="73"/>
      <c r="L15" s="199"/>
      <c r="M15" s="73">
        <v>1000000</v>
      </c>
      <c r="N15" s="73"/>
      <c r="O15" s="73"/>
      <c r="P15" s="75"/>
      <c r="Q15" s="115">
        <f t="shared" si="0"/>
        <v>1000000</v>
      </c>
      <c r="R15" s="130"/>
    </row>
    <row r="16" spans="1:19" ht="23.4" customHeight="1">
      <c r="A16" s="72">
        <v>8</v>
      </c>
      <c r="B16" s="128" t="s">
        <v>198</v>
      </c>
      <c r="C16" s="198" t="s">
        <v>265</v>
      </c>
      <c r="D16" s="198" t="s">
        <v>116</v>
      </c>
      <c r="E16" s="11" t="s">
        <v>63</v>
      </c>
      <c r="F16" s="11"/>
      <c r="G16" s="74"/>
      <c r="H16" s="233">
        <f>90000+8000</f>
        <v>98000</v>
      </c>
      <c r="I16" s="223">
        <f>726.768+48</f>
        <v>774.76800000000003</v>
      </c>
      <c r="J16" s="223"/>
      <c r="K16" s="177"/>
      <c r="L16" s="81"/>
      <c r="M16" s="73">
        <v>950000</v>
      </c>
      <c r="N16" s="73"/>
      <c r="O16" s="73"/>
      <c r="P16" s="75"/>
      <c r="Q16" s="115">
        <f t="shared" si="0"/>
        <v>950000</v>
      </c>
      <c r="R16" s="183" t="s">
        <v>53</v>
      </c>
    </row>
    <row r="17" spans="1:18" ht="23.4" customHeight="1">
      <c r="A17" s="72">
        <v>9</v>
      </c>
      <c r="B17" s="128" t="s">
        <v>200</v>
      </c>
      <c r="C17" s="198" t="s">
        <v>101</v>
      </c>
      <c r="D17" s="198" t="s">
        <v>160</v>
      </c>
      <c r="E17" s="11" t="s">
        <v>50</v>
      </c>
      <c r="F17" s="11"/>
      <c r="G17" s="74"/>
      <c r="H17" s="233">
        <v>60000</v>
      </c>
      <c r="I17" s="223">
        <v>523.00199999999995</v>
      </c>
      <c r="J17" s="223"/>
      <c r="K17" s="177"/>
      <c r="L17" s="81"/>
      <c r="M17" s="73">
        <v>600000</v>
      </c>
      <c r="N17" s="73"/>
      <c r="O17" s="73"/>
      <c r="P17" s="75"/>
      <c r="Q17" s="115">
        <f t="shared" si="0"/>
        <v>600000</v>
      </c>
      <c r="R17" s="183" t="s">
        <v>266</v>
      </c>
    </row>
    <row r="18" spans="1:18" ht="23.4" customHeight="1">
      <c r="A18" s="72">
        <v>10</v>
      </c>
      <c r="B18" s="128" t="s">
        <v>200</v>
      </c>
      <c r="C18" s="198">
        <v>3</v>
      </c>
      <c r="D18" s="198" t="s">
        <v>135</v>
      </c>
      <c r="E18" s="11" t="s">
        <v>89</v>
      </c>
      <c r="F18" s="11"/>
      <c r="G18" s="74"/>
      <c r="H18" s="233">
        <v>300000</v>
      </c>
      <c r="I18" s="223">
        <v>1470.3743999999999</v>
      </c>
      <c r="J18" s="223"/>
      <c r="K18" s="177"/>
      <c r="L18" s="81"/>
      <c r="M18" s="73">
        <v>1000000</v>
      </c>
      <c r="N18" s="73"/>
      <c r="O18" s="73"/>
      <c r="P18" s="75"/>
      <c r="Q18" s="115">
        <f t="shared" si="0"/>
        <v>1000000</v>
      </c>
      <c r="R18" s="239"/>
    </row>
    <row r="19" spans="1:18" ht="23.4" customHeight="1">
      <c r="A19" s="256">
        <v>11</v>
      </c>
      <c r="B19" s="321" t="s">
        <v>203</v>
      </c>
      <c r="C19" s="198" t="s">
        <v>267</v>
      </c>
      <c r="D19" s="198" t="s">
        <v>268</v>
      </c>
      <c r="E19" s="11" t="s">
        <v>63</v>
      </c>
      <c r="F19" s="11"/>
      <c r="G19" s="74"/>
      <c r="H19" s="233">
        <v>20000</v>
      </c>
      <c r="I19" s="223">
        <v>368.4</v>
      </c>
      <c r="J19" s="223"/>
      <c r="K19" s="177"/>
      <c r="L19" s="81"/>
      <c r="M19" s="262">
        <v>1100000</v>
      </c>
      <c r="N19" s="73"/>
      <c r="O19" s="73"/>
      <c r="P19" s="75"/>
      <c r="Q19" s="260">
        <f>SUM(L19:P21)</f>
        <v>1100000</v>
      </c>
      <c r="R19" s="183"/>
    </row>
    <row r="20" spans="1:18" ht="23.4" customHeight="1">
      <c r="A20" s="264"/>
      <c r="B20" s="333"/>
      <c r="C20" s="198" t="s">
        <v>269</v>
      </c>
      <c r="D20" s="198" t="s">
        <v>67</v>
      </c>
      <c r="E20" s="11" t="s">
        <v>63</v>
      </c>
      <c r="F20" s="11"/>
      <c r="G20" s="74"/>
      <c r="H20" s="233">
        <v>29000</v>
      </c>
      <c r="I20" s="223">
        <v>398.63830000000002</v>
      </c>
      <c r="J20" s="223"/>
      <c r="K20" s="177"/>
      <c r="L20" s="81"/>
      <c r="M20" s="266"/>
      <c r="N20" s="73"/>
      <c r="O20" s="73"/>
      <c r="P20" s="75"/>
      <c r="Q20" s="267"/>
      <c r="R20" s="183"/>
    </row>
    <row r="21" spans="1:18" ht="23.4" customHeight="1">
      <c r="A21" s="257"/>
      <c r="B21" s="322"/>
      <c r="C21" s="198" t="s">
        <v>127</v>
      </c>
      <c r="D21" s="198" t="s">
        <v>227</v>
      </c>
      <c r="E21" s="11" t="s">
        <v>63</v>
      </c>
      <c r="F21" s="11"/>
      <c r="G21" s="74"/>
      <c r="H21" s="233">
        <v>40000</v>
      </c>
      <c r="I21" s="223">
        <v>426.76799999999997</v>
      </c>
      <c r="J21" s="223"/>
      <c r="K21" s="177"/>
      <c r="L21" s="81"/>
      <c r="M21" s="263"/>
      <c r="N21" s="73"/>
      <c r="O21" s="73"/>
      <c r="P21" s="75"/>
      <c r="Q21" s="261"/>
      <c r="R21" s="183"/>
    </row>
    <row r="22" spans="1:18" ht="23.4" customHeight="1">
      <c r="A22" s="72">
        <v>12</v>
      </c>
      <c r="B22" s="128" t="s">
        <v>205</v>
      </c>
      <c r="C22" s="198" t="s">
        <v>140</v>
      </c>
      <c r="D22" s="198" t="s">
        <v>270</v>
      </c>
      <c r="E22" s="11" t="s">
        <v>64</v>
      </c>
      <c r="F22" s="11"/>
      <c r="G22" s="74"/>
      <c r="H22" s="233">
        <v>87400</v>
      </c>
      <c r="I22" s="223">
        <v>1229.2575999999999</v>
      </c>
      <c r="J22" s="223"/>
      <c r="K22" s="177"/>
      <c r="L22" s="81"/>
      <c r="M22" s="73">
        <v>1000000</v>
      </c>
      <c r="N22" s="73"/>
      <c r="O22" s="73"/>
      <c r="P22" s="75"/>
      <c r="Q22" s="115">
        <f t="shared" si="0"/>
        <v>1000000</v>
      </c>
      <c r="R22" s="183"/>
    </row>
    <row r="23" spans="1:18" ht="23.4" customHeight="1">
      <c r="A23" s="72">
        <v>13</v>
      </c>
      <c r="B23" s="128" t="s">
        <v>205</v>
      </c>
      <c r="C23" s="198" t="s">
        <v>271</v>
      </c>
      <c r="D23" s="198" t="s">
        <v>272</v>
      </c>
      <c r="E23" s="11" t="s">
        <v>71</v>
      </c>
      <c r="F23" s="11"/>
      <c r="G23" s="74"/>
      <c r="H23" s="233">
        <v>144550</v>
      </c>
      <c r="I23" s="223">
        <v>1547.3438000000001</v>
      </c>
      <c r="J23" s="223"/>
      <c r="K23" s="177"/>
      <c r="L23" s="81"/>
      <c r="M23" s="73">
        <v>1100000</v>
      </c>
      <c r="N23" s="73"/>
      <c r="O23" s="73"/>
      <c r="P23" s="75"/>
      <c r="Q23" s="115">
        <f t="shared" si="0"/>
        <v>1100000</v>
      </c>
      <c r="R23" s="183" t="s">
        <v>102</v>
      </c>
    </row>
    <row r="24" spans="1:18" ht="23.4" customHeight="1">
      <c r="A24" s="72">
        <v>14</v>
      </c>
      <c r="B24" s="128" t="s">
        <v>206</v>
      </c>
      <c r="C24" s="198" t="s">
        <v>273</v>
      </c>
      <c r="D24" s="198" t="s">
        <v>60</v>
      </c>
      <c r="E24" s="11" t="s">
        <v>84</v>
      </c>
      <c r="F24" s="11"/>
      <c r="G24" s="233"/>
      <c r="H24" s="232">
        <v>69320</v>
      </c>
      <c r="I24" s="223">
        <v>1293.4100000000001</v>
      </c>
      <c r="J24" s="223"/>
      <c r="K24" s="177"/>
      <c r="L24" s="81"/>
      <c r="M24" s="73">
        <v>1150000</v>
      </c>
      <c r="N24" s="73"/>
      <c r="O24" s="73"/>
      <c r="P24" s="75"/>
      <c r="Q24" s="115">
        <f t="shared" si="0"/>
        <v>1150000</v>
      </c>
      <c r="R24" s="208" t="s">
        <v>274</v>
      </c>
    </row>
    <row r="25" spans="1:18" ht="23.4" customHeight="1">
      <c r="A25" s="256">
        <v>15</v>
      </c>
      <c r="B25" s="321" t="s">
        <v>208</v>
      </c>
      <c r="C25" s="198" t="s">
        <v>275</v>
      </c>
      <c r="D25" s="198" t="s">
        <v>67</v>
      </c>
      <c r="E25" s="11" t="s">
        <v>63</v>
      </c>
      <c r="F25" s="11"/>
      <c r="G25" s="74"/>
      <c r="H25" s="233">
        <f>4000+900+68850+15000</f>
        <v>88750</v>
      </c>
      <c r="I25" s="233">
        <f>32.8+28.2461+872.097+303.9866</f>
        <v>1237.1297</v>
      </c>
      <c r="J25" s="233"/>
      <c r="K25" s="177"/>
      <c r="L25" s="81"/>
      <c r="M25" s="262">
        <v>1100000</v>
      </c>
      <c r="N25" s="73"/>
      <c r="O25" s="73"/>
      <c r="P25" s="75"/>
      <c r="Q25" s="260">
        <f>SUM(L25:P26)</f>
        <v>1100000</v>
      </c>
      <c r="R25" s="183" t="s">
        <v>51</v>
      </c>
    </row>
    <row r="26" spans="1:18" ht="23.4" customHeight="1">
      <c r="A26" s="257"/>
      <c r="B26" s="322"/>
      <c r="C26" s="198">
        <v>60</v>
      </c>
      <c r="D26" s="198" t="s">
        <v>116</v>
      </c>
      <c r="E26" s="11" t="s">
        <v>63</v>
      </c>
      <c r="F26" s="11"/>
      <c r="G26" s="74"/>
      <c r="H26" s="233">
        <v>10000</v>
      </c>
      <c r="I26" s="223">
        <v>110.124</v>
      </c>
      <c r="J26" s="223"/>
      <c r="K26" s="177"/>
      <c r="L26" s="81"/>
      <c r="M26" s="263"/>
      <c r="N26" s="73"/>
      <c r="O26" s="73"/>
      <c r="P26" s="75"/>
      <c r="Q26" s="261"/>
      <c r="R26" s="183"/>
    </row>
    <row r="27" spans="1:18" ht="23.4" customHeight="1">
      <c r="A27" s="72">
        <v>16</v>
      </c>
      <c r="B27" s="128" t="s">
        <v>209</v>
      </c>
      <c r="C27" s="198" t="s">
        <v>276</v>
      </c>
      <c r="D27" s="198" t="s">
        <v>116</v>
      </c>
      <c r="E27" s="11" t="s">
        <v>63</v>
      </c>
      <c r="F27" s="11"/>
      <c r="G27" s="74"/>
      <c r="H27" s="233">
        <f>28000+45200</f>
        <v>73200</v>
      </c>
      <c r="I27" s="223">
        <f>394.6092+831.5012</f>
        <v>1226.1104</v>
      </c>
      <c r="J27" s="223"/>
      <c r="K27" s="177"/>
      <c r="L27" s="81"/>
      <c r="M27" s="73">
        <v>1050000</v>
      </c>
      <c r="N27" s="73"/>
      <c r="O27" s="73"/>
      <c r="P27" s="75"/>
      <c r="Q27" s="115">
        <f t="shared" si="0"/>
        <v>1050000</v>
      </c>
      <c r="R27" s="183" t="s">
        <v>51</v>
      </c>
    </row>
    <row r="28" spans="1:18" ht="23.4" customHeight="1">
      <c r="A28" s="72">
        <v>17</v>
      </c>
      <c r="B28" s="128" t="s">
        <v>211</v>
      </c>
      <c r="C28" s="198" t="s">
        <v>188</v>
      </c>
      <c r="D28" s="198" t="s">
        <v>160</v>
      </c>
      <c r="E28" s="11" t="s">
        <v>50</v>
      </c>
      <c r="F28" s="11"/>
      <c r="G28" s="74"/>
      <c r="H28" s="233">
        <v>130000</v>
      </c>
      <c r="I28" s="233">
        <v>1102.4849999999999</v>
      </c>
      <c r="J28" s="233"/>
      <c r="K28" s="177"/>
      <c r="L28" s="81"/>
      <c r="M28" s="73">
        <v>800000</v>
      </c>
      <c r="N28" s="73"/>
      <c r="O28" s="73"/>
      <c r="P28" s="75"/>
      <c r="Q28" s="115">
        <f t="shared" si="0"/>
        <v>800000</v>
      </c>
      <c r="R28" s="183" t="s">
        <v>277</v>
      </c>
    </row>
    <row r="29" spans="1:18" ht="23.4" customHeight="1">
      <c r="A29" s="72">
        <v>18</v>
      </c>
      <c r="B29" s="128" t="s">
        <v>248</v>
      </c>
      <c r="C29" s="198">
        <v>23</v>
      </c>
      <c r="D29" s="198" t="s">
        <v>120</v>
      </c>
      <c r="E29" s="11" t="s">
        <v>54</v>
      </c>
      <c r="F29" s="11"/>
      <c r="G29" s="74"/>
      <c r="H29" s="233">
        <v>106920</v>
      </c>
      <c r="I29" s="233">
        <v>1154.7360000000001</v>
      </c>
      <c r="J29" s="233"/>
      <c r="K29" s="177"/>
      <c r="L29" s="81"/>
      <c r="M29" s="73">
        <v>950000</v>
      </c>
      <c r="N29" s="73"/>
      <c r="O29" s="73"/>
      <c r="P29" s="75"/>
      <c r="Q29" s="115">
        <f t="shared" si="0"/>
        <v>950000</v>
      </c>
      <c r="R29" s="208"/>
    </row>
    <row r="30" spans="1:18" ht="23.4" customHeight="1">
      <c r="A30" s="72">
        <v>19</v>
      </c>
      <c r="B30" s="128" t="s">
        <v>248</v>
      </c>
      <c r="C30" s="198">
        <v>36</v>
      </c>
      <c r="D30" s="198" t="s">
        <v>135</v>
      </c>
      <c r="E30" s="11" t="s">
        <v>89</v>
      </c>
      <c r="F30" s="11"/>
      <c r="G30" s="74"/>
      <c r="H30" s="233">
        <v>310000</v>
      </c>
      <c r="I30" s="233">
        <v>1519.3869</v>
      </c>
      <c r="J30" s="233"/>
      <c r="K30" s="177"/>
      <c r="L30" s="81"/>
      <c r="M30" s="73">
        <v>950000</v>
      </c>
      <c r="N30" s="73"/>
      <c r="O30" s="73"/>
      <c r="P30" s="75"/>
      <c r="Q30" s="115">
        <f t="shared" si="0"/>
        <v>950000</v>
      </c>
      <c r="R30" s="183" t="s">
        <v>53</v>
      </c>
    </row>
    <row r="31" spans="1:18" ht="23.4" customHeight="1">
      <c r="A31" s="72">
        <v>20</v>
      </c>
      <c r="B31" s="128" t="s">
        <v>250</v>
      </c>
      <c r="C31" s="198">
        <v>11</v>
      </c>
      <c r="D31" s="198" t="s">
        <v>126</v>
      </c>
      <c r="E31" s="11" t="s">
        <v>48</v>
      </c>
      <c r="F31" s="11"/>
      <c r="G31" s="74"/>
      <c r="H31" s="233">
        <v>254000</v>
      </c>
      <c r="I31" s="233">
        <v>604</v>
      </c>
      <c r="J31" s="233"/>
      <c r="K31" s="177"/>
      <c r="L31" s="81"/>
      <c r="M31" s="73">
        <v>1100000</v>
      </c>
      <c r="N31" s="73"/>
      <c r="O31" s="73"/>
      <c r="P31" s="75"/>
      <c r="Q31" s="115">
        <f t="shared" si="0"/>
        <v>1100000</v>
      </c>
      <c r="R31" s="183"/>
    </row>
    <row r="32" spans="1:18" ht="23.4" customHeight="1">
      <c r="A32" s="200">
        <v>21</v>
      </c>
      <c r="B32" s="128" t="s">
        <v>213</v>
      </c>
      <c r="C32" s="244" t="s">
        <v>278</v>
      </c>
      <c r="D32" s="198" t="s">
        <v>58</v>
      </c>
      <c r="E32" s="11" t="s">
        <v>61</v>
      </c>
      <c r="F32" s="11"/>
      <c r="G32" s="74"/>
      <c r="H32" s="233">
        <f>7300+160250+30000+3000+18000</f>
        <v>218550</v>
      </c>
      <c r="I32" s="223">
        <f>188.605+1023.4364+330.372+57.6447+367.29</f>
        <v>1967.3481000000002</v>
      </c>
      <c r="J32" s="223"/>
      <c r="K32" s="177"/>
      <c r="L32" s="191"/>
      <c r="M32" s="73">
        <v>1100000</v>
      </c>
      <c r="N32" s="73"/>
      <c r="O32" s="73"/>
      <c r="P32" s="75"/>
      <c r="Q32" s="115">
        <f t="shared" si="0"/>
        <v>1100000</v>
      </c>
      <c r="R32" s="193"/>
    </row>
    <row r="33" spans="1:20" ht="24.6" customHeight="1">
      <c r="A33" s="326">
        <v>22</v>
      </c>
      <c r="B33" s="321" t="s">
        <v>215</v>
      </c>
      <c r="C33" s="198">
        <v>35</v>
      </c>
      <c r="D33" s="198" t="s">
        <v>279</v>
      </c>
      <c r="E33" s="11" t="s">
        <v>280</v>
      </c>
      <c r="F33" s="11"/>
      <c r="G33" s="74"/>
      <c r="H33" s="233">
        <v>10000</v>
      </c>
      <c r="I33" s="233">
        <v>110</v>
      </c>
      <c r="J33" s="233"/>
      <c r="K33" s="177"/>
      <c r="L33" s="81"/>
      <c r="M33" s="262">
        <v>1150000</v>
      </c>
      <c r="N33" s="73"/>
      <c r="O33" s="73"/>
      <c r="P33" s="75"/>
      <c r="Q33" s="260">
        <f>SUM(L33:P34)</f>
        <v>1150000</v>
      </c>
      <c r="R33" s="183"/>
      <c r="S33" s="209"/>
    </row>
    <row r="34" spans="1:20" ht="24" customHeight="1">
      <c r="A34" s="327"/>
      <c r="B34" s="322"/>
      <c r="C34" s="198">
        <v>6</v>
      </c>
      <c r="D34" s="198" t="s">
        <v>113</v>
      </c>
      <c r="E34" s="11" t="s">
        <v>48</v>
      </c>
      <c r="F34" s="11"/>
      <c r="G34" s="74"/>
      <c r="H34" s="233">
        <v>170000</v>
      </c>
      <c r="I34" s="223">
        <v>632.74800000000005</v>
      </c>
      <c r="J34" s="223"/>
      <c r="K34" s="74"/>
      <c r="L34" s="129"/>
      <c r="M34" s="263"/>
      <c r="N34" s="73"/>
      <c r="O34" s="73"/>
      <c r="P34" s="75"/>
      <c r="Q34" s="261"/>
      <c r="R34" s="183"/>
      <c r="S34" s="209"/>
    </row>
    <row r="35" spans="1:20" ht="24.6" customHeight="1">
      <c r="A35" s="72">
        <v>23</v>
      </c>
      <c r="B35" s="128" t="s">
        <v>219</v>
      </c>
      <c r="C35" s="198">
        <v>17</v>
      </c>
      <c r="D35" s="198" t="s">
        <v>122</v>
      </c>
      <c r="E35" s="11" t="s">
        <v>62</v>
      </c>
      <c r="F35" s="11"/>
      <c r="G35" s="74"/>
      <c r="H35" s="233">
        <v>320000</v>
      </c>
      <c r="I35" s="233">
        <v>1842.9760000000001</v>
      </c>
      <c r="J35" s="233"/>
      <c r="K35" s="74"/>
      <c r="L35" s="81"/>
      <c r="M35" s="73">
        <v>1100000</v>
      </c>
      <c r="N35" s="73"/>
      <c r="O35" s="73"/>
      <c r="P35" s="75"/>
      <c r="Q35" s="115">
        <f t="shared" si="0"/>
        <v>1100000</v>
      </c>
      <c r="R35" s="183"/>
    </row>
    <row r="36" spans="1:20" ht="24.6" customHeight="1">
      <c r="A36" s="256">
        <v>24</v>
      </c>
      <c r="B36" s="321" t="s">
        <v>221</v>
      </c>
      <c r="C36" s="198">
        <v>2</v>
      </c>
      <c r="D36" s="198" t="s">
        <v>142</v>
      </c>
      <c r="E36" s="11" t="s">
        <v>64</v>
      </c>
      <c r="F36" s="11"/>
      <c r="G36" s="74"/>
      <c r="H36" s="233">
        <v>50000</v>
      </c>
      <c r="I36" s="223">
        <v>300</v>
      </c>
      <c r="J36" s="223"/>
      <c r="K36" s="153"/>
      <c r="L36" s="81"/>
      <c r="M36" s="262">
        <v>1050000</v>
      </c>
      <c r="N36" s="73"/>
      <c r="O36" s="73"/>
      <c r="P36" s="75"/>
      <c r="Q36" s="260">
        <f>SUM(L36:P37)</f>
        <v>1050000</v>
      </c>
      <c r="R36" s="159"/>
    </row>
    <row r="37" spans="1:20" ht="24.6" customHeight="1">
      <c r="A37" s="257"/>
      <c r="B37" s="322"/>
      <c r="C37" s="198">
        <v>15</v>
      </c>
      <c r="D37" s="198" t="s">
        <v>113</v>
      </c>
      <c r="E37" s="11" t="s">
        <v>89</v>
      </c>
      <c r="F37" s="11"/>
      <c r="G37" s="74"/>
      <c r="H37" s="233">
        <v>221000</v>
      </c>
      <c r="I37" s="223">
        <v>496.43079999999998</v>
      </c>
      <c r="J37" s="223"/>
      <c r="K37" s="153"/>
      <c r="L37" s="81"/>
      <c r="M37" s="263"/>
      <c r="N37" s="73"/>
      <c r="O37" s="73"/>
      <c r="P37" s="75"/>
      <c r="Q37" s="261"/>
      <c r="R37" s="159"/>
    </row>
    <row r="38" spans="1:20" ht="24.6" customHeight="1">
      <c r="A38" s="72">
        <v>25</v>
      </c>
      <c r="B38" s="128" t="s">
        <v>225</v>
      </c>
      <c r="C38" s="198" t="s">
        <v>141</v>
      </c>
      <c r="D38" s="198" t="s">
        <v>116</v>
      </c>
      <c r="E38" s="11" t="s">
        <v>63</v>
      </c>
      <c r="F38" s="11"/>
      <c r="G38" s="74"/>
      <c r="H38" s="233">
        <v>81120</v>
      </c>
      <c r="I38" s="233">
        <v>1180.8009</v>
      </c>
      <c r="J38" s="233"/>
      <c r="K38" s="153"/>
      <c r="L38" s="81"/>
      <c r="M38" s="73">
        <v>1050000</v>
      </c>
      <c r="N38" s="73"/>
      <c r="O38" s="73"/>
      <c r="P38" s="75"/>
      <c r="Q38" s="115">
        <f t="shared" ref="Q38:Q45" si="1">SUM(L38:P38)</f>
        <v>1050000</v>
      </c>
      <c r="R38" s="130" t="s">
        <v>51</v>
      </c>
      <c r="T38" s="203"/>
    </row>
    <row r="39" spans="1:20" ht="24.6" customHeight="1">
      <c r="A39" s="72">
        <v>26</v>
      </c>
      <c r="B39" s="128" t="s">
        <v>225</v>
      </c>
      <c r="C39" s="198">
        <v>51</v>
      </c>
      <c r="D39" s="198" t="s">
        <v>116</v>
      </c>
      <c r="E39" s="11" t="s">
        <v>63</v>
      </c>
      <c r="F39" s="11"/>
      <c r="G39" s="74"/>
      <c r="H39" s="233">
        <v>82800</v>
      </c>
      <c r="I39" s="223">
        <v>770.4</v>
      </c>
      <c r="J39" s="223"/>
      <c r="K39" s="153"/>
      <c r="L39" s="81"/>
      <c r="M39" s="73">
        <v>950000</v>
      </c>
      <c r="N39" s="73"/>
      <c r="O39" s="73"/>
      <c r="P39" s="75"/>
      <c r="Q39" s="115">
        <f t="shared" si="1"/>
        <v>950000</v>
      </c>
      <c r="R39" s="183" t="s">
        <v>53</v>
      </c>
    </row>
    <row r="40" spans="1:20" ht="24" customHeight="1">
      <c r="A40" s="72">
        <v>27</v>
      </c>
      <c r="B40" s="128" t="s">
        <v>225</v>
      </c>
      <c r="C40" s="198">
        <v>2</v>
      </c>
      <c r="D40" s="198" t="s">
        <v>113</v>
      </c>
      <c r="E40" s="11" t="s">
        <v>50</v>
      </c>
      <c r="F40" s="11"/>
      <c r="G40" s="74"/>
      <c r="H40" s="233">
        <v>253050</v>
      </c>
      <c r="I40" s="223">
        <v>1452.9005</v>
      </c>
      <c r="J40" s="223"/>
      <c r="K40" s="153"/>
      <c r="L40" s="81"/>
      <c r="M40" s="73">
        <v>700000</v>
      </c>
      <c r="N40" s="73"/>
      <c r="O40" s="73"/>
      <c r="P40" s="75"/>
      <c r="Q40" s="115">
        <f t="shared" si="1"/>
        <v>700000</v>
      </c>
      <c r="R40" s="210" t="s">
        <v>281</v>
      </c>
    </row>
    <row r="41" spans="1:20" ht="24.6" customHeight="1">
      <c r="A41" s="256">
        <v>28</v>
      </c>
      <c r="B41" s="321" t="s">
        <v>228</v>
      </c>
      <c r="C41" s="198" t="s">
        <v>282</v>
      </c>
      <c r="D41" s="198" t="s">
        <v>58</v>
      </c>
      <c r="E41" s="11" t="s">
        <v>61</v>
      </c>
      <c r="F41" s="11"/>
      <c r="G41" s="74"/>
      <c r="H41" s="233">
        <f>18000+18000</f>
        <v>36000</v>
      </c>
      <c r="I41" s="223">
        <f>306.0499+367.29</f>
        <v>673.33989999999994</v>
      </c>
      <c r="J41" s="223"/>
      <c r="K41" s="153"/>
      <c r="L41" s="81"/>
      <c r="M41" s="262">
        <v>1150000</v>
      </c>
      <c r="N41" s="73"/>
      <c r="O41" s="73"/>
      <c r="P41" s="75"/>
      <c r="Q41" s="260">
        <f>SUM(L41:P42)</f>
        <v>1168000</v>
      </c>
      <c r="R41" s="183"/>
    </row>
    <row r="42" spans="1:20" ht="24.6" customHeight="1">
      <c r="A42" s="257"/>
      <c r="B42" s="322"/>
      <c r="C42" s="198">
        <v>13</v>
      </c>
      <c r="D42" s="198" t="s">
        <v>60</v>
      </c>
      <c r="E42" s="11" t="s">
        <v>283</v>
      </c>
      <c r="F42" s="11"/>
      <c r="G42" s="74"/>
      <c r="H42" s="233">
        <v>28000</v>
      </c>
      <c r="I42" s="223">
        <v>607.6</v>
      </c>
      <c r="J42" s="223"/>
      <c r="K42" s="153"/>
      <c r="L42" s="81"/>
      <c r="M42" s="263"/>
      <c r="N42" s="73"/>
      <c r="O42" s="73">
        <v>18000</v>
      </c>
      <c r="P42" s="75"/>
      <c r="Q42" s="261"/>
      <c r="R42" s="159" t="s">
        <v>284</v>
      </c>
    </row>
    <row r="43" spans="1:20" ht="24.6" customHeight="1">
      <c r="A43" s="72">
        <v>29</v>
      </c>
      <c r="B43" s="128" t="s">
        <v>232</v>
      </c>
      <c r="C43" s="198">
        <v>5</v>
      </c>
      <c r="D43" s="198" t="s">
        <v>80</v>
      </c>
      <c r="E43" s="11" t="s">
        <v>73</v>
      </c>
      <c r="F43" s="11"/>
      <c r="G43" s="233"/>
      <c r="H43" s="233">
        <v>28760</v>
      </c>
      <c r="I43" s="223">
        <v>658.98400000000004</v>
      </c>
      <c r="J43" s="223"/>
      <c r="K43" s="153"/>
      <c r="L43" s="81"/>
      <c r="M43" s="73">
        <v>1850000</v>
      </c>
      <c r="N43" s="73"/>
      <c r="O43" s="73"/>
      <c r="P43" s="75"/>
      <c r="Q43" s="115">
        <f t="shared" si="1"/>
        <v>1850000</v>
      </c>
      <c r="R43" s="183"/>
    </row>
    <row r="44" spans="1:20" ht="24.6" customHeight="1">
      <c r="A44" s="72">
        <v>30</v>
      </c>
      <c r="B44" s="128" t="s">
        <v>232</v>
      </c>
      <c r="C44" s="198">
        <v>6</v>
      </c>
      <c r="D44" s="198" t="s">
        <v>155</v>
      </c>
      <c r="E44" s="11" t="s">
        <v>46</v>
      </c>
      <c r="F44" s="11"/>
      <c r="G44" s="74"/>
      <c r="H44" s="233">
        <v>97000</v>
      </c>
      <c r="I44" s="223">
        <v>824.5</v>
      </c>
      <c r="J44" s="223"/>
      <c r="K44" s="153"/>
      <c r="L44" s="81"/>
      <c r="M44" s="73">
        <v>950000</v>
      </c>
      <c r="N44" s="73"/>
      <c r="O44" s="73"/>
      <c r="P44" s="75"/>
      <c r="Q44" s="115">
        <f t="shared" si="1"/>
        <v>950000</v>
      </c>
      <c r="R44" s="183" t="s">
        <v>53</v>
      </c>
    </row>
    <row r="45" spans="1:20" ht="24.6" customHeight="1">
      <c r="A45" s="72">
        <v>31</v>
      </c>
      <c r="B45" s="128" t="s">
        <v>233</v>
      </c>
      <c r="C45" s="198" t="s">
        <v>285</v>
      </c>
      <c r="D45" s="198" t="s">
        <v>67</v>
      </c>
      <c r="E45" s="11" t="s">
        <v>63</v>
      </c>
      <c r="F45" s="11"/>
      <c r="G45" s="74"/>
      <c r="H45" s="233">
        <f>64900+11050</f>
        <v>75950</v>
      </c>
      <c r="I45" s="223">
        <f>916.9188+325.95</f>
        <v>1242.8688</v>
      </c>
      <c r="J45" s="223"/>
      <c r="K45" s="153"/>
      <c r="L45" s="81"/>
      <c r="M45" s="73">
        <v>1000000</v>
      </c>
      <c r="N45" s="73"/>
      <c r="O45" s="73"/>
      <c r="P45" s="75"/>
      <c r="Q45" s="115">
        <f t="shared" si="1"/>
        <v>1000000</v>
      </c>
      <c r="R45" s="183"/>
    </row>
    <row r="46" spans="1:20" s="21" customFormat="1" ht="24.6" customHeight="1">
      <c r="A46" s="323" t="s">
        <v>20</v>
      </c>
      <c r="B46" s="324"/>
      <c r="C46" s="324"/>
      <c r="D46" s="324"/>
      <c r="E46" s="324"/>
      <c r="F46" s="325"/>
      <c r="G46" s="20">
        <f t="shared" ref="G46:P46" si="2">SUM(G8:G45)</f>
        <v>0</v>
      </c>
      <c r="H46" s="20">
        <f t="shared" si="2"/>
        <v>4157920</v>
      </c>
      <c r="I46" s="20">
        <f t="shared" si="2"/>
        <v>36337.637999999999</v>
      </c>
      <c r="J46" s="20"/>
      <c r="K46" s="20">
        <f t="shared" si="2"/>
        <v>0</v>
      </c>
      <c r="L46" s="20">
        <f t="shared" si="2"/>
        <v>0</v>
      </c>
      <c r="M46" s="20">
        <f t="shared" si="2"/>
        <v>32600000</v>
      </c>
      <c r="N46" s="20">
        <f t="shared" si="2"/>
        <v>0</v>
      </c>
      <c r="O46" s="20">
        <f t="shared" si="2"/>
        <v>318000</v>
      </c>
      <c r="P46" s="20">
        <f t="shared" si="2"/>
        <v>0</v>
      </c>
      <c r="Q46" s="140">
        <f>SUM(Q8:Q45)</f>
        <v>32918000</v>
      </c>
      <c r="R46" s="107"/>
      <c r="S46" s="217"/>
    </row>
    <row r="47" spans="1:20" s="21" customFormat="1" ht="24.6" customHeight="1">
      <c r="A47" s="318" t="s">
        <v>21</v>
      </c>
      <c r="B47" s="319"/>
      <c r="C47" s="319"/>
      <c r="D47" s="319"/>
      <c r="E47" s="319"/>
      <c r="F47" s="3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f>8%*Q46</f>
        <v>2633440</v>
      </c>
      <c r="R47" s="22"/>
      <c r="S47" s="228"/>
    </row>
    <row r="48" spans="1:20" s="21" customFormat="1" ht="24.6" customHeight="1">
      <c r="A48" s="318" t="s">
        <v>22</v>
      </c>
      <c r="B48" s="319"/>
      <c r="C48" s="319"/>
      <c r="D48" s="319"/>
      <c r="E48" s="319"/>
      <c r="F48" s="3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f>Q47+Q46</f>
        <v>35551440</v>
      </c>
      <c r="R48" s="20"/>
    </row>
    <row r="49" spans="1:19" s="21" customFormat="1" ht="24.6" customHeight="1">
      <c r="A49" s="23"/>
      <c r="B49" s="99"/>
      <c r="C49" s="23"/>
      <c r="D49" s="23"/>
      <c r="E49" s="23"/>
      <c r="F49" s="2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5"/>
      <c r="S49" s="26"/>
    </row>
    <row r="50" spans="1:19" s="21" customFormat="1" ht="24.6" customHeight="1">
      <c r="A50" s="291" t="s">
        <v>23</v>
      </c>
      <c r="B50" s="292"/>
      <c r="C50" s="292"/>
      <c r="D50" s="292"/>
      <c r="E50" s="292"/>
      <c r="F50" s="293"/>
      <c r="G50" s="27">
        <f>G46</f>
        <v>0</v>
      </c>
      <c r="H50" s="27"/>
      <c r="I50" s="27"/>
      <c r="J50" s="27"/>
      <c r="K50" s="28">
        <f>G46+I46</f>
        <v>36337.637999999999</v>
      </c>
      <c r="L50" s="27"/>
      <c r="M50" s="27"/>
      <c r="N50" s="27"/>
      <c r="O50" s="27"/>
      <c r="P50" s="27"/>
      <c r="Q50" s="27">
        <f>L46+N46</f>
        <v>0</v>
      </c>
      <c r="R50" s="29"/>
      <c r="S50" s="30"/>
    </row>
    <row r="51" spans="1:19" s="21" customFormat="1" ht="24.6" customHeight="1">
      <c r="A51" s="291" t="s">
        <v>24</v>
      </c>
      <c r="B51" s="292"/>
      <c r="C51" s="292"/>
      <c r="D51" s="292"/>
      <c r="E51" s="292"/>
      <c r="F51" s="293"/>
      <c r="G51" s="27"/>
      <c r="H51" s="27"/>
      <c r="I51" s="27">
        <f>I46</f>
        <v>36337.637999999999</v>
      </c>
      <c r="J51" s="27"/>
      <c r="K51" s="27"/>
      <c r="L51" s="27"/>
      <c r="M51" s="27"/>
      <c r="N51" s="27"/>
      <c r="O51" s="27"/>
      <c r="P51" s="27"/>
      <c r="Q51" s="27">
        <f>M46+O46</f>
        <v>32918000</v>
      </c>
      <c r="R51" s="29"/>
      <c r="S51" s="30"/>
    </row>
    <row r="52" spans="1:19" s="21" customFormat="1" ht="24.6" customHeight="1">
      <c r="A52" s="291" t="s">
        <v>25</v>
      </c>
      <c r="B52" s="292"/>
      <c r="C52" s="292"/>
      <c r="D52" s="292"/>
      <c r="E52" s="292"/>
      <c r="F52" s="293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>
        <f>P46</f>
        <v>0</v>
      </c>
      <c r="R52" s="106"/>
      <c r="S52" s="30"/>
    </row>
    <row r="53" spans="1:19" ht="22.95" customHeight="1">
      <c r="A53" s="31"/>
      <c r="B53" s="100"/>
      <c r="C53" s="3" t="s">
        <v>27</v>
      </c>
      <c r="D53" s="32"/>
      <c r="E53" s="33"/>
      <c r="F53" s="33"/>
      <c r="G53" s="34" t="s">
        <v>163</v>
      </c>
      <c r="I53" s="35"/>
      <c r="J53" s="35"/>
      <c r="K53" s="36"/>
      <c r="L53" s="1"/>
      <c r="M53" s="1"/>
      <c r="N53" s="1"/>
      <c r="O53" s="1"/>
      <c r="P53" s="1"/>
      <c r="Q53" s="141" t="s">
        <v>28</v>
      </c>
    </row>
    <row r="54" spans="1:19" ht="24.6" customHeight="1">
      <c r="B54" s="100"/>
      <c r="D54" s="32"/>
      <c r="E54" s="37"/>
      <c r="F54" s="37"/>
      <c r="G54" s="38"/>
      <c r="H54" s="34"/>
      <c r="I54" s="32"/>
      <c r="J54" s="32"/>
      <c r="K54" s="32"/>
    </row>
    <row r="55" spans="1:19" s="8" customFormat="1" ht="24.6" customHeight="1">
      <c r="A55" s="1"/>
      <c r="B55" s="100"/>
      <c r="C55" s="3"/>
      <c r="D55" s="3"/>
      <c r="E55" s="3"/>
      <c r="F55" s="3"/>
      <c r="G55" s="39"/>
      <c r="H55" s="4"/>
      <c r="Q55" s="124"/>
    </row>
    <row r="56" spans="1:19" ht="24.6" customHeight="1">
      <c r="B56" s="100"/>
      <c r="E56" s="37"/>
      <c r="F56" s="37"/>
      <c r="G56" s="38"/>
      <c r="H56" s="34"/>
      <c r="I56" s="32"/>
      <c r="J56" s="32"/>
      <c r="K56" s="32"/>
    </row>
    <row r="57" spans="1:19">
      <c r="H57" s="34"/>
      <c r="Q57" s="21"/>
    </row>
    <row r="58" spans="1:19" ht="18" customHeight="1">
      <c r="C58" s="45"/>
      <c r="G58" s="34" t="str">
        <f>'[1]A VIEN'!G68</f>
        <v>Đặng Thị Mỹ Tin</v>
      </c>
      <c r="H58" s="34"/>
      <c r="Q58" s="142" t="s">
        <v>174</v>
      </c>
    </row>
    <row r="59" spans="1:19" ht="18" customHeight="1"/>
    <row r="61" spans="1:19">
      <c r="R61" s="39" t="e">
        <f>+Q46+#REF!+#REF!+#REF!+#REF!+#REF!+#REF!+#REF!+#REF!</f>
        <v>#REF!</v>
      </c>
    </row>
  </sheetData>
  <mergeCells count="48">
    <mergeCell ref="Q8:Q9"/>
    <mergeCell ref="A51:F51"/>
    <mergeCell ref="A52:F52"/>
    <mergeCell ref="A50:F50"/>
    <mergeCell ref="E6:E7"/>
    <mergeCell ref="H6:I6"/>
    <mergeCell ref="A8:A9"/>
    <mergeCell ref="B8:B9"/>
    <mergeCell ref="M8:M9"/>
    <mergeCell ref="A19:A21"/>
    <mergeCell ref="B19:B21"/>
    <mergeCell ref="M19:M21"/>
    <mergeCell ref="Q19:Q21"/>
    <mergeCell ref="A25:A26"/>
    <mergeCell ref="B25:B26"/>
    <mergeCell ref="M25:M26"/>
    <mergeCell ref="A1:R1"/>
    <mergeCell ref="A2:R2"/>
    <mergeCell ref="A3:R3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F6:F7"/>
    <mergeCell ref="P5:P7"/>
    <mergeCell ref="Q5:Q7"/>
    <mergeCell ref="R5:R7"/>
    <mergeCell ref="Q25:Q26"/>
    <mergeCell ref="Q41:Q42"/>
    <mergeCell ref="A46:F46"/>
    <mergeCell ref="A33:A34"/>
    <mergeCell ref="B33:B34"/>
    <mergeCell ref="M33:M34"/>
    <mergeCell ref="Q33:Q34"/>
    <mergeCell ref="A36:A37"/>
    <mergeCell ref="B36:B37"/>
    <mergeCell ref="M36:M37"/>
    <mergeCell ref="Q36:Q37"/>
    <mergeCell ref="A47:F47"/>
    <mergeCell ref="A48:F48"/>
    <mergeCell ref="A41:A42"/>
    <mergeCell ref="B41:B42"/>
    <mergeCell ref="M41:M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5"/>
  <sheetViews>
    <sheetView topLeftCell="A46" zoomScale="70" zoomScaleNormal="70" workbookViewId="0">
      <selection activeCell="J10" sqref="J10"/>
    </sheetView>
  </sheetViews>
  <sheetFormatPr defaultColWidth="9.109375" defaultRowHeight="13.8"/>
  <cols>
    <col min="1" max="1" width="8.77734375" style="1" customWidth="1"/>
    <col min="2" max="2" width="14.109375" style="101" customWidth="1"/>
    <col min="3" max="3" width="15.88671875" style="3" customWidth="1"/>
    <col min="4" max="4" width="22.33203125" style="3" customWidth="1"/>
    <col min="5" max="5" width="17.21875" style="41" customWidth="1"/>
    <col min="6" max="6" width="17.88671875" style="42" customWidth="1"/>
    <col min="7" max="7" width="15.88671875" style="35" customWidth="1"/>
    <col min="8" max="8" width="14.21875" style="46" customWidth="1"/>
    <col min="9" max="9" width="12.44140625" style="44" customWidth="1"/>
    <col min="10" max="10" width="11.33203125" style="44" customWidth="1"/>
    <col min="11" max="11" width="12.88671875" style="7" customWidth="1"/>
    <col min="12" max="13" width="15.88671875" style="7" customWidth="1"/>
    <col min="14" max="15" width="15" style="7" customWidth="1"/>
    <col min="16" max="16" width="14.33203125" style="7" customWidth="1"/>
    <col min="17" max="17" width="17" style="113" customWidth="1"/>
    <col min="18" max="18" width="40.21875" style="8" customWidth="1"/>
    <col min="19" max="19" width="21.6640625" style="3" customWidth="1"/>
    <col min="20" max="16384" width="9.109375" style="1"/>
  </cols>
  <sheetData>
    <row r="1" spans="1:18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8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8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8">
      <c r="A4" s="334" t="s">
        <v>175</v>
      </c>
      <c r="B4" s="334"/>
      <c r="C4" s="334"/>
      <c r="D4" s="2"/>
      <c r="E4" s="3"/>
      <c r="F4" s="3"/>
      <c r="G4" s="4"/>
      <c r="H4" s="5"/>
      <c r="I4" s="6"/>
      <c r="J4" s="6"/>
    </row>
    <row r="5" spans="1:18" ht="21" customHeight="1">
      <c r="A5" s="279" t="s">
        <v>1</v>
      </c>
      <c r="B5" s="303" t="s">
        <v>2</v>
      </c>
      <c r="C5" s="279" t="s">
        <v>3</v>
      </c>
      <c r="D5" s="279" t="s">
        <v>4</v>
      </c>
      <c r="E5" s="279" t="s">
        <v>5</v>
      </c>
      <c r="F5" s="279"/>
      <c r="G5" s="304" t="s">
        <v>6</v>
      </c>
      <c r="H5" s="304"/>
      <c r="I5" s="304"/>
      <c r="J5" s="304"/>
      <c r="K5" s="305" t="s">
        <v>7</v>
      </c>
      <c r="L5" s="287" t="s">
        <v>8</v>
      </c>
      <c r="M5" s="288"/>
      <c r="N5" s="309" t="s">
        <v>9</v>
      </c>
      <c r="O5" s="309"/>
      <c r="P5" s="268" t="s">
        <v>10</v>
      </c>
      <c r="Q5" s="309" t="s">
        <v>11</v>
      </c>
      <c r="R5" s="335" t="s">
        <v>12</v>
      </c>
    </row>
    <row r="6" spans="1:18" ht="21" customHeight="1">
      <c r="A6" s="279"/>
      <c r="B6" s="303"/>
      <c r="C6" s="279"/>
      <c r="D6" s="279"/>
      <c r="E6" s="279" t="s">
        <v>13</v>
      </c>
      <c r="F6" s="279" t="s">
        <v>14</v>
      </c>
      <c r="G6" s="227" t="s">
        <v>15</v>
      </c>
      <c r="H6" s="304" t="s">
        <v>16</v>
      </c>
      <c r="I6" s="304"/>
      <c r="J6" s="226" t="s">
        <v>17</v>
      </c>
      <c r="K6" s="305"/>
      <c r="L6" s="306"/>
      <c r="M6" s="307"/>
      <c r="N6" s="309"/>
      <c r="O6" s="309"/>
      <c r="P6" s="269"/>
      <c r="Q6" s="309"/>
      <c r="R6" s="335"/>
    </row>
    <row r="7" spans="1:18" ht="21" customHeight="1">
      <c r="A7" s="279"/>
      <c r="B7" s="303"/>
      <c r="C7" s="279"/>
      <c r="D7" s="279"/>
      <c r="E7" s="279"/>
      <c r="F7" s="279"/>
      <c r="G7" s="227" t="s">
        <v>18</v>
      </c>
      <c r="H7" s="225" t="s">
        <v>19</v>
      </c>
      <c r="I7" s="226" t="s">
        <v>18</v>
      </c>
      <c r="J7" s="226" t="s">
        <v>18</v>
      </c>
      <c r="K7" s="305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09"/>
      <c r="R7" s="335"/>
    </row>
    <row r="8" spans="1:18" ht="25.2" customHeight="1">
      <c r="A8" s="200">
        <v>1</v>
      </c>
      <c r="B8" s="201" t="s">
        <v>190</v>
      </c>
      <c r="C8" s="198">
        <v>26</v>
      </c>
      <c r="D8" s="198" t="s">
        <v>113</v>
      </c>
      <c r="E8" s="11"/>
      <c r="F8" s="11" t="s">
        <v>66</v>
      </c>
      <c r="G8" s="74"/>
      <c r="H8" s="233">
        <v>1045000</v>
      </c>
      <c r="I8" s="223">
        <v>1472</v>
      </c>
      <c r="J8" s="9"/>
      <c r="K8" s="230"/>
      <c r="L8" s="13"/>
      <c r="M8" s="13">
        <v>1350000</v>
      </c>
      <c r="N8" s="13"/>
      <c r="O8" s="13"/>
      <c r="P8" s="16"/>
      <c r="Q8" s="115">
        <f>SUM(L8:P8)</f>
        <v>1350000</v>
      </c>
      <c r="R8" s="127"/>
    </row>
    <row r="9" spans="1:18" ht="25.2" customHeight="1">
      <c r="A9" s="200">
        <v>2</v>
      </c>
      <c r="B9" s="201" t="s">
        <v>191</v>
      </c>
      <c r="C9" s="198">
        <v>14</v>
      </c>
      <c r="D9" s="198" t="s">
        <v>131</v>
      </c>
      <c r="E9" s="11"/>
      <c r="F9" s="11" t="s">
        <v>132</v>
      </c>
      <c r="G9" s="74">
        <v>3991</v>
      </c>
      <c r="H9" s="233"/>
      <c r="I9" s="206"/>
      <c r="J9" s="9"/>
      <c r="K9" s="230"/>
      <c r="L9" s="13">
        <v>2000000</v>
      </c>
      <c r="M9" s="13"/>
      <c r="N9" s="13"/>
      <c r="O9" s="13"/>
      <c r="P9" s="16"/>
      <c r="Q9" s="115">
        <f t="shared" ref="Q9:Q51" si="0">SUM(L9:P9)</f>
        <v>2000000</v>
      </c>
      <c r="R9" s="78"/>
    </row>
    <row r="10" spans="1:18" ht="25.2" customHeight="1">
      <c r="A10" s="326">
        <v>3</v>
      </c>
      <c r="B10" s="258" t="s">
        <v>191</v>
      </c>
      <c r="C10" s="198" t="s">
        <v>286</v>
      </c>
      <c r="D10" s="198" t="s">
        <v>287</v>
      </c>
      <c r="E10" s="11"/>
      <c r="F10" s="11" t="s">
        <v>63</v>
      </c>
      <c r="G10" s="233"/>
      <c r="H10" s="233">
        <f>24445+1885</f>
        <v>26330</v>
      </c>
      <c r="I10" s="223">
        <f>854.0526+140.4268</f>
        <v>994.47939999999994</v>
      </c>
      <c r="J10" s="109"/>
      <c r="K10" s="230"/>
      <c r="L10" s="13"/>
      <c r="M10" s="336">
        <v>1280000</v>
      </c>
      <c r="N10" s="13"/>
      <c r="O10" s="13"/>
      <c r="P10" s="19"/>
      <c r="Q10" s="260">
        <f>SUM(L10:P11)</f>
        <v>1280000</v>
      </c>
      <c r="R10" s="127" t="s">
        <v>170</v>
      </c>
    </row>
    <row r="11" spans="1:18" ht="25.2" customHeight="1">
      <c r="A11" s="327"/>
      <c r="B11" s="259"/>
      <c r="C11" s="198">
        <v>7</v>
      </c>
      <c r="D11" s="198" t="s">
        <v>56</v>
      </c>
      <c r="E11" s="11"/>
      <c r="F11" s="11" t="s">
        <v>33</v>
      </c>
      <c r="G11" s="74"/>
      <c r="H11" s="233">
        <v>500000</v>
      </c>
      <c r="I11" s="223">
        <v>975</v>
      </c>
      <c r="J11" s="109"/>
      <c r="K11" s="230"/>
      <c r="L11" s="13"/>
      <c r="M11" s="337"/>
      <c r="N11" s="13"/>
      <c r="O11" s="13"/>
      <c r="P11" s="16"/>
      <c r="Q11" s="261"/>
      <c r="R11" s="127"/>
    </row>
    <row r="12" spans="1:18" ht="25.2" customHeight="1">
      <c r="A12" s="326">
        <v>4</v>
      </c>
      <c r="B12" s="258" t="s">
        <v>192</v>
      </c>
      <c r="C12" s="198">
        <v>6</v>
      </c>
      <c r="D12" s="198" t="s">
        <v>96</v>
      </c>
      <c r="E12" s="11"/>
      <c r="F12" s="11" t="s">
        <v>46</v>
      </c>
      <c r="G12" s="233">
        <v>2700</v>
      </c>
      <c r="H12" s="233"/>
      <c r="I12" s="223"/>
      <c r="J12" s="109"/>
      <c r="K12" s="230"/>
      <c r="L12" s="18">
        <v>350000</v>
      </c>
      <c r="M12" s="13"/>
      <c r="N12" s="13"/>
      <c r="O12" s="13"/>
      <c r="P12" s="16"/>
      <c r="Q12" s="260">
        <f>SUM(L12:P14)</f>
        <v>1400000</v>
      </c>
      <c r="R12" s="195"/>
    </row>
    <row r="13" spans="1:18" ht="25.2" customHeight="1">
      <c r="A13" s="338"/>
      <c r="B13" s="265"/>
      <c r="C13" s="198" t="s">
        <v>288</v>
      </c>
      <c r="D13" s="198" t="s">
        <v>58</v>
      </c>
      <c r="E13" s="11"/>
      <c r="F13" s="11" t="s">
        <v>46</v>
      </c>
      <c r="G13" s="74"/>
      <c r="H13" s="233">
        <v>29900</v>
      </c>
      <c r="I13" s="223">
        <v>579.98</v>
      </c>
      <c r="J13" s="9"/>
      <c r="K13" s="200"/>
      <c r="L13" s="15"/>
      <c r="M13" s="336">
        <v>1010000</v>
      </c>
      <c r="N13" s="13"/>
      <c r="O13" s="13"/>
      <c r="P13" s="16"/>
      <c r="Q13" s="267"/>
      <c r="R13" s="127"/>
    </row>
    <row r="14" spans="1:18" ht="25.2" customHeight="1">
      <c r="A14" s="327"/>
      <c r="B14" s="259"/>
      <c r="C14" s="198">
        <v>28</v>
      </c>
      <c r="D14" s="198" t="s">
        <v>113</v>
      </c>
      <c r="E14" s="11"/>
      <c r="F14" s="11" t="s">
        <v>46</v>
      </c>
      <c r="G14" s="74"/>
      <c r="H14" s="233">
        <v>25200</v>
      </c>
      <c r="I14" s="233">
        <v>365.8023</v>
      </c>
      <c r="J14" s="9"/>
      <c r="K14" s="13"/>
      <c r="L14" s="18"/>
      <c r="M14" s="337"/>
      <c r="N14" s="13"/>
      <c r="O14" s="13">
        <v>40000</v>
      </c>
      <c r="P14" s="16"/>
      <c r="Q14" s="261"/>
      <c r="R14" s="127" t="s">
        <v>94</v>
      </c>
    </row>
    <row r="15" spans="1:18" ht="25.2" customHeight="1">
      <c r="A15" s="326">
        <v>5</v>
      </c>
      <c r="B15" s="258" t="s">
        <v>193</v>
      </c>
      <c r="C15" s="198">
        <v>23</v>
      </c>
      <c r="D15" s="198" t="s">
        <v>72</v>
      </c>
      <c r="E15" s="11"/>
      <c r="F15" s="11" t="s">
        <v>77</v>
      </c>
      <c r="G15" s="74">
        <v>2000</v>
      </c>
      <c r="H15" s="233"/>
      <c r="I15" s="74"/>
      <c r="J15" s="9"/>
      <c r="K15" s="13"/>
      <c r="L15" s="339">
        <v>1680000</v>
      </c>
      <c r="M15" s="13"/>
      <c r="N15" s="17"/>
      <c r="O15" s="17"/>
      <c r="P15" s="17"/>
      <c r="Q15" s="260">
        <f>SUM(L15:P16)</f>
        <v>1680000</v>
      </c>
      <c r="R15" s="185"/>
    </row>
    <row r="16" spans="1:18" ht="25.2" customHeight="1">
      <c r="A16" s="327"/>
      <c r="B16" s="259"/>
      <c r="C16" s="198">
        <v>36</v>
      </c>
      <c r="D16" s="198" t="s">
        <v>79</v>
      </c>
      <c r="E16" s="11"/>
      <c r="F16" s="11" t="s">
        <v>77</v>
      </c>
      <c r="G16" s="74">
        <v>2100</v>
      </c>
      <c r="H16" s="233"/>
      <c r="I16" s="74"/>
      <c r="J16" s="9"/>
      <c r="K16" s="200"/>
      <c r="L16" s="340"/>
      <c r="M16" s="13"/>
      <c r="N16" s="13"/>
      <c r="O16" s="13"/>
      <c r="P16" s="16"/>
      <c r="Q16" s="261"/>
      <c r="R16" s="110"/>
    </row>
    <row r="17" spans="1:19" ht="25.8" customHeight="1">
      <c r="A17" s="200">
        <v>6</v>
      </c>
      <c r="B17" s="201" t="s">
        <v>194</v>
      </c>
      <c r="C17" s="198">
        <v>43</v>
      </c>
      <c r="D17" s="198" t="s">
        <v>113</v>
      </c>
      <c r="E17" s="11"/>
      <c r="F17" s="11" t="s">
        <v>107</v>
      </c>
      <c r="G17" s="74"/>
      <c r="H17" s="233">
        <v>1035940</v>
      </c>
      <c r="I17" s="223">
        <v>1625.249</v>
      </c>
      <c r="J17" s="9"/>
      <c r="K17" s="200"/>
      <c r="L17" s="13"/>
      <c r="M17" s="13">
        <v>1750000</v>
      </c>
      <c r="N17" s="13"/>
      <c r="O17" s="13"/>
      <c r="P17" s="16"/>
      <c r="Q17" s="115">
        <f t="shared" si="0"/>
        <v>1750000</v>
      </c>
      <c r="R17" s="185"/>
    </row>
    <row r="18" spans="1:19" ht="25.2" customHeight="1">
      <c r="A18" s="200">
        <v>7</v>
      </c>
      <c r="B18" s="201" t="s">
        <v>196</v>
      </c>
      <c r="C18" s="198">
        <v>5</v>
      </c>
      <c r="D18" s="198" t="s">
        <v>72</v>
      </c>
      <c r="E18" s="11"/>
      <c r="F18" s="11" t="s">
        <v>77</v>
      </c>
      <c r="G18" s="74">
        <v>3000</v>
      </c>
      <c r="H18" s="129"/>
      <c r="I18" s="129"/>
      <c r="J18" s="9"/>
      <c r="K18" s="174"/>
      <c r="L18" s="13">
        <v>1350000</v>
      </c>
      <c r="M18" s="13"/>
      <c r="N18" s="13"/>
      <c r="O18" s="13"/>
      <c r="P18" s="16"/>
      <c r="Q18" s="115">
        <f t="shared" si="0"/>
        <v>1350000</v>
      </c>
      <c r="R18" s="185"/>
    </row>
    <row r="19" spans="1:19" ht="25.2" customHeight="1">
      <c r="A19" s="200">
        <v>8</v>
      </c>
      <c r="B19" s="201" t="s">
        <v>198</v>
      </c>
      <c r="C19" s="198">
        <v>15</v>
      </c>
      <c r="D19" s="198" t="s">
        <v>289</v>
      </c>
      <c r="E19" s="11"/>
      <c r="F19" s="11" t="s">
        <v>75</v>
      </c>
      <c r="G19" s="74"/>
      <c r="H19" s="233">
        <v>140000</v>
      </c>
      <c r="I19" s="223">
        <v>1218</v>
      </c>
      <c r="J19" s="167"/>
      <c r="K19" s="11"/>
      <c r="L19" s="83"/>
      <c r="M19" s="13">
        <v>1200000</v>
      </c>
      <c r="N19" s="74"/>
      <c r="O19" s="13"/>
      <c r="P19" s="16"/>
      <c r="Q19" s="115">
        <f t="shared" si="0"/>
        <v>1200000</v>
      </c>
      <c r="R19" s="127"/>
    </row>
    <row r="20" spans="1:19" ht="27.6" customHeight="1">
      <c r="A20" s="200">
        <v>9</v>
      </c>
      <c r="B20" s="201" t="s">
        <v>200</v>
      </c>
      <c r="C20" s="198">
        <v>4</v>
      </c>
      <c r="D20" s="198" t="s">
        <v>290</v>
      </c>
      <c r="E20" s="11"/>
      <c r="F20" s="11" t="s">
        <v>46</v>
      </c>
      <c r="G20" s="74"/>
      <c r="H20" s="233">
        <v>119000</v>
      </c>
      <c r="I20" s="223">
        <v>1011.5</v>
      </c>
      <c r="J20" s="109"/>
      <c r="K20" s="230"/>
      <c r="L20" s="83"/>
      <c r="M20" s="13">
        <v>1200000</v>
      </c>
      <c r="N20" s="19"/>
      <c r="O20" s="17"/>
      <c r="P20" s="17"/>
      <c r="Q20" s="115">
        <f t="shared" si="0"/>
        <v>1200000</v>
      </c>
      <c r="R20" s="185"/>
    </row>
    <row r="21" spans="1:19" ht="25.2" customHeight="1">
      <c r="A21" s="200">
        <v>10</v>
      </c>
      <c r="B21" s="201" t="s">
        <v>203</v>
      </c>
      <c r="C21" s="198">
        <v>17</v>
      </c>
      <c r="D21" s="198" t="s">
        <v>113</v>
      </c>
      <c r="E21" s="11"/>
      <c r="F21" s="11" t="s">
        <v>107</v>
      </c>
      <c r="G21" s="74"/>
      <c r="H21" s="233">
        <v>164800</v>
      </c>
      <c r="I21" s="223">
        <v>2378.5992000000001</v>
      </c>
      <c r="J21" s="109"/>
      <c r="K21" s="230"/>
      <c r="L21" s="83"/>
      <c r="M21" s="13">
        <v>1750000</v>
      </c>
      <c r="N21" s="10"/>
      <c r="O21" s="17"/>
      <c r="P21" s="17"/>
      <c r="Q21" s="115">
        <f t="shared" si="0"/>
        <v>1750000</v>
      </c>
      <c r="R21" s="127"/>
    </row>
    <row r="22" spans="1:19" ht="25.2" customHeight="1">
      <c r="A22" s="326">
        <v>11</v>
      </c>
      <c r="B22" s="258" t="s">
        <v>203</v>
      </c>
      <c r="C22" s="198">
        <v>40</v>
      </c>
      <c r="D22" s="198" t="s">
        <v>68</v>
      </c>
      <c r="E22" s="11"/>
      <c r="F22" s="11" t="s">
        <v>61</v>
      </c>
      <c r="G22" s="74">
        <v>2000</v>
      </c>
      <c r="H22" s="233"/>
      <c r="I22" s="206"/>
      <c r="J22" s="9">
        <v>1019</v>
      </c>
      <c r="K22" s="230"/>
      <c r="L22" s="13">
        <v>400000</v>
      </c>
      <c r="M22" s="13"/>
      <c r="N22" s="13"/>
      <c r="O22" s="13"/>
      <c r="P22" s="16">
        <f>J22*400</f>
        <v>407600</v>
      </c>
      <c r="Q22" s="260">
        <f>SUM(L22:P24)</f>
        <v>1817600</v>
      </c>
      <c r="R22" s="127" t="s">
        <v>130</v>
      </c>
    </row>
    <row r="23" spans="1:19" ht="25.2" customHeight="1">
      <c r="A23" s="338"/>
      <c r="B23" s="265"/>
      <c r="C23" s="198">
        <v>23</v>
      </c>
      <c r="D23" s="198" t="s">
        <v>291</v>
      </c>
      <c r="E23" s="11"/>
      <c r="F23" s="11" t="s">
        <v>54</v>
      </c>
      <c r="G23" s="74"/>
      <c r="H23" s="233">
        <v>20000</v>
      </c>
      <c r="I23" s="223">
        <v>466</v>
      </c>
      <c r="J23" s="9"/>
      <c r="K23" s="230"/>
      <c r="L23" s="13"/>
      <c r="M23" s="336">
        <v>1010000</v>
      </c>
      <c r="N23" s="13"/>
      <c r="O23" s="13"/>
      <c r="P23" s="16"/>
      <c r="Q23" s="267"/>
      <c r="R23" s="127" t="s">
        <v>53</v>
      </c>
    </row>
    <row r="24" spans="1:19" ht="25.2" customHeight="1">
      <c r="A24" s="327"/>
      <c r="B24" s="259"/>
      <c r="C24" s="198">
        <v>16</v>
      </c>
      <c r="D24" s="198" t="s">
        <v>129</v>
      </c>
      <c r="E24" s="11"/>
      <c r="F24" s="11" t="s">
        <v>54</v>
      </c>
      <c r="G24" s="74"/>
      <c r="H24" s="233">
        <v>30600</v>
      </c>
      <c r="I24" s="223">
        <v>624.39300000000003</v>
      </c>
      <c r="J24" s="9"/>
      <c r="K24" s="143"/>
      <c r="L24" s="13"/>
      <c r="M24" s="337"/>
      <c r="N24" s="13"/>
      <c r="O24" s="13"/>
      <c r="P24" s="16"/>
      <c r="Q24" s="261"/>
      <c r="R24" s="127"/>
    </row>
    <row r="25" spans="1:19" ht="25.2" customHeight="1">
      <c r="A25" s="200">
        <v>12</v>
      </c>
      <c r="B25" s="245" t="s">
        <v>205</v>
      </c>
      <c r="C25" s="198">
        <v>14</v>
      </c>
      <c r="D25" s="198" t="s">
        <v>74</v>
      </c>
      <c r="E25" s="11"/>
      <c r="F25" s="11" t="s">
        <v>75</v>
      </c>
      <c r="G25" s="74">
        <v>4000</v>
      </c>
      <c r="H25" s="74"/>
      <c r="I25" s="74"/>
      <c r="J25" s="9"/>
      <c r="K25" s="143"/>
      <c r="L25" s="13">
        <v>1300000</v>
      </c>
      <c r="M25" s="18"/>
      <c r="N25" s="11"/>
      <c r="O25" s="11"/>
      <c r="P25" s="74"/>
      <c r="Q25" s="115">
        <f t="shared" si="0"/>
        <v>1300000</v>
      </c>
      <c r="R25" s="127"/>
      <c r="S25" s="218"/>
    </row>
    <row r="26" spans="1:19" ht="25.2" customHeight="1">
      <c r="A26" s="200">
        <v>13</v>
      </c>
      <c r="B26" s="201" t="s">
        <v>205</v>
      </c>
      <c r="C26" s="198">
        <v>61</v>
      </c>
      <c r="D26" s="198" t="s">
        <v>68</v>
      </c>
      <c r="E26" s="11"/>
      <c r="F26" s="11" t="s">
        <v>61</v>
      </c>
      <c r="G26" s="74">
        <v>3500</v>
      </c>
      <c r="H26" s="74"/>
      <c r="I26" s="129"/>
      <c r="J26" s="9"/>
      <c r="K26" s="82"/>
      <c r="L26" s="83">
        <v>1250000</v>
      </c>
      <c r="M26" s="18"/>
      <c r="N26" s="13"/>
      <c r="O26" s="13"/>
      <c r="P26" s="16"/>
      <c r="Q26" s="115">
        <f t="shared" si="0"/>
        <v>1250000</v>
      </c>
      <c r="R26" s="202" t="s">
        <v>53</v>
      </c>
    </row>
    <row r="27" spans="1:19" ht="25.2" customHeight="1">
      <c r="A27" s="326">
        <v>14</v>
      </c>
      <c r="B27" s="258" t="s">
        <v>206</v>
      </c>
      <c r="C27" s="198">
        <v>47</v>
      </c>
      <c r="D27" s="198" t="s">
        <v>56</v>
      </c>
      <c r="E27" s="11"/>
      <c r="F27" s="11" t="s">
        <v>33</v>
      </c>
      <c r="G27" s="74"/>
      <c r="H27" s="233">
        <v>49000</v>
      </c>
      <c r="I27" s="223">
        <v>736.47</v>
      </c>
      <c r="J27" s="9"/>
      <c r="K27" s="82"/>
      <c r="L27" s="82"/>
      <c r="M27" s="13">
        <v>680000</v>
      </c>
      <c r="N27" s="13"/>
      <c r="O27" s="13"/>
      <c r="P27" s="13"/>
      <c r="Q27" s="260">
        <f>SUM(L27:P28)</f>
        <v>1971600</v>
      </c>
      <c r="R27" s="196"/>
    </row>
    <row r="28" spans="1:19" ht="25.2" customHeight="1">
      <c r="A28" s="327"/>
      <c r="B28" s="259"/>
      <c r="C28" s="198">
        <v>44</v>
      </c>
      <c r="D28" s="198" t="s">
        <v>68</v>
      </c>
      <c r="E28" s="11"/>
      <c r="F28" s="11" t="s">
        <v>61</v>
      </c>
      <c r="G28" s="74">
        <v>3500</v>
      </c>
      <c r="H28" s="233"/>
      <c r="I28" s="223"/>
      <c r="J28" s="9">
        <v>1479</v>
      </c>
      <c r="K28" s="143"/>
      <c r="L28" s="143">
        <v>700000</v>
      </c>
      <c r="M28" s="13"/>
      <c r="N28" s="13"/>
      <c r="O28" s="13"/>
      <c r="P28" s="16">
        <f>J28*400</f>
        <v>591600</v>
      </c>
      <c r="Q28" s="261"/>
      <c r="R28" s="78" t="s">
        <v>130</v>
      </c>
    </row>
    <row r="29" spans="1:19" ht="25.2" customHeight="1">
      <c r="A29" s="326">
        <v>15</v>
      </c>
      <c r="B29" s="258" t="s">
        <v>208</v>
      </c>
      <c r="C29" s="198">
        <v>33</v>
      </c>
      <c r="D29" s="198" t="s">
        <v>56</v>
      </c>
      <c r="E29" s="11"/>
      <c r="F29" s="11" t="s">
        <v>33</v>
      </c>
      <c r="G29" s="74"/>
      <c r="H29" s="233">
        <v>16830</v>
      </c>
      <c r="I29" s="223">
        <v>519.20550000000003</v>
      </c>
      <c r="J29" s="9"/>
      <c r="K29" s="143"/>
      <c r="L29" s="82"/>
      <c r="M29" s="13">
        <v>680000</v>
      </c>
      <c r="N29" s="13"/>
      <c r="O29" s="13"/>
      <c r="P29" s="16"/>
      <c r="Q29" s="260">
        <f>SUM(L29:P30)</f>
        <v>1969200</v>
      </c>
      <c r="R29" s="110"/>
    </row>
    <row r="30" spans="1:19" ht="25.2" customHeight="1">
      <c r="A30" s="327"/>
      <c r="B30" s="259"/>
      <c r="C30" s="198" t="s">
        <v>147</v>
      </c>
      <c r="D30" s="198" t="s">
        <v>68</v>
      </c>
      <c r="E30" s="11"/>
      <c r="F30" s="11" t="s">
        <v>61</v>
      </c>
      <c r="G30" s="74">
        <v>3500</v>
      </c>
      <c r="H30" s="233"/>
      <c r="I30" s="223"/>
      <c r="J30" s="9">
        <v>1473</v>
      </c>
      <c r="K30" s="143"/>
      <c r="L30" s="143">
        <v>700000</v>
      </c>
      <c r="M30" s="13"/>
      <c r="N30" s="13"/>
      <c r="O30" s="13"/>
      <c r="P30" s="16">
        <f>J30*400</f>
        <v>589200</v>
      </c>
      <c r="Q30" s="261"/>
      <c r="R30" s="78" t="s">
        <v>130</v>
      </c>
    </row>
    <row r="31" spans="1:19" ht="25.2" customHeight="1">
      <c r="A31" s="326">
        <v>16</v>
      </c>
      <c r="B31" s="258" t="s">
        <v>209</v>
      </c>
      <c r="C31" s="198" t="s">
        <v>237</v>
      </c>
      <c r="D31" s="198" t="s">
        <v>292</v>
      </c>
      <c r="E31" s="11"/>
      <c r="F31" s="11" t="s">
        <v>52</v>
      </c>
      <c r="G31" s="74"/>
      <c r="H31" s="233">
        <v>48863</v>
      </c>
      <c r="I31" s="223">
        <v>1348.8714</v>
      </c>
      <c r="J31" s="167"/>
      <c r="K31" s="52"/>
      <c r="L31" s="13"/>
      <c r="M31" s="312">
        <v>1130000</v>
      </c>
      <c r="N31" s="83"/>
      <c r="O31" s="74"/>
      <c r="P31" s="94"/>
      <c r="Q31" s="260">
        <f>SUM(L31:P32)</f>
        <v>1130000</v>
      </c>
      <c r="R31" s="194" t="s">
        <v>51</v>
      </c>
    </row>
    <row r="32" spans="1:19" ht="25.2" customHeight="1">
      <c r="A32" s="327"/>
      <c r="B32" s="259"/>
      <c r="C32" s="198">
        <v>9</v>
      </c>
      <c r="D32" s="198" t="s">
        <v>173</v>
      </c>
      <c r="E32" s="11"/>
      <c r="F32" s="11" t="s">
        <v>86</v>
      </c>
      <c r="G32" s="74"/>
      <c r="H32" s="233">
        <v>4500</v>
      </c>
      <c r="I32" s="223">
        <v>535.5</v>
      </c>
      <c r="J32" s="109"/>
      <c r="K32" s="230"/>
      <c r="L32" s="13"/>
      <c r="M32" s="313"/>
      <c r="N32" s="83"/>
      <c r="O32" s="83"/>
      <c r="P32" s="94"/>
      <c r="Q32" s="261"/>
      <c r="R32" s="183"/>
    </row>
    <row r="33" spans="1:18" ht="25.2" customHeight="1">
      <c r="A33" s="200">
        <v>17</v>
      </c>
      <c r="B33" s="201" t="s">
        <v>211</v>
      </c>
      <c r="C33" s="198">
        <v>20</v>
      </c>
      <c r="D33" s="198" t="s">
        <v>134</v>
      </c>
      <c r="E33" s="11"/>
      <c r="F33" s="11" t="s">
        <v>54</v>
      </c>
      <c r="G33" s="74"/>
      <c r="H33" s="233">
        <v>200000</v>
      </c>
      <c r="I33" s="223">
        <v>550</v>
      </c>
      <c r="J33" s="109"/>
      <c r="K33" s="230"/>
      <c r="L33" s="13"/>
      <c r="M33" s="95">
        <v>1100000</v>
      </c>
      <c r="N33" s="83"/>
      <c r="O33" s="83"/>
      <c r="P33" s="94"/>
      <c r="Q33" s="115">
        <f t="shared" si="0"/>
        <v>1100000</v>
      </c>
      <c r="R33" s="183"/>
    </row>
    <row r="34" spans="1:18" ht="33" customHeight="1">
      <c r="A34" s="326">
        <v>18</v>
      </c>
      <c r="B34" s="258" t="s">
        <v>248</v>
      </c>
      <c r="C34" s="198">
        <v>14</v>
      </c>
      <c r="D34" s="198" t="s">
        <v>155</v>
      </c>
      <c r="E34" s="11"/>
      <c r="F34" s="11" t="s">
        <v>46</v>
      </c>
      <c r="G34" s="74"/>
      <c r="H34" s="233">
        <v>50000</v>
      </c>
      <c r="I34" s="223">
        <v>425</v>
      </c>
      <c r="J34" s="109"/>
      <c r="K34" s="230"/>
      <c r="L34" s="13"/>
      <c r="M34" s="341">
        <v>1460000</v>
      </c>
      <c r="N34" s="83"/>
      <c r="O34" s="83">
        <v>200000</v>
      </c>
      <c r="P34" s="94"/>
      <c r="Q34" s="260">
        <f>SUM(L34:P36)</f>
        <v>1660000</v>
      </c>
      <c r="R34" s="207" t="s">
        <v>293</v>
      </c>
    </row>
    <row r="35" spans="1:18" ht="25.2" customHeight="1">
      <c r="A35" s="338"/>
      <c r="B35" s="265"/>
      <c r="C35" s="198">
        <v>19</v>
      </c>
      <c r="D35" s="198" t="s">
        <v>113</v>
      </c>
      <c r="E35" s="11"/>
      <c r="F35" s="11" t="s">
        <v>46</v>
      </c>
      <c r="G35" s="74"/>
      <c r="H35" s="233">
        <v>54600</v>
      </c>
      <c r="I35" s="223">
        <v>663.9248</v>
      </c>
      <c r="J35" s="109"/>
      <c r="K35" s="230"/>
      <c r="L35" s="13"/>
      <c r="M35" s="342"/>
      <c r="N35" s="83"/>
      <c r="O35" s="83"/>
      <c r="P35" s="94"/>
      <c r="Q35" s="267"/>
      <c r="R35" s="130"/>
    </row>
    <row r="36" spans="1:18" ht="25.2" customHeight="1">
      <c r="A36" s="327"/>
      <c r="B36" s="259"/>
      <c r="C36" s="198">
        <v>18</v>
      </c>
      <c r="D36" s="198" t="s">
        <v>106</v>
      </c>
      <c r="E36" s="11"/>
      <c r="F36" s="11" t="s">
        <v>48</v>
      </c>
      <c r="G36" s="74"/>
      <c r="H36" s="233">
        <v>63800</v>
      </c>
      <c r="I36" s="223">
        <v>785.72</v>
      </c>
      <c r="J36" s="109"/>
      <c r="K36" s="230"/>
      <c r="L36" s="13"/>
      <c r="M36" s="343"/>
      <c r="N36" s="83"/>
      <c r="O36" s="83"/>
      <c r="P36" s="94"/>
      <c r="Q36" s="261"/>
      <c r="R36" s="130"/>
    </row>
    <row r="37" spans="1:18" ht="25.2" customHeight="1">
      <c r="A37" s="326">
        <v>19</v>
      </c>
      <c r="B37" s="258" t="s">
        <v>250</v>
      </c>
      <c r="C37" s="198">
        <v>9</v>
      </c>
      <c r="D37" s="198" t="s">
        <v>294</v>
      </c>
      <c r="E37" s="11"/>
      <c r="F37" s="11" t="s">
        <v>66</v>
      </c>
      <c r="G37" s="74">
        <v>2492</v>
      </c>
      <c r="H37" s="233"/>
      <c r="I37" s="206"/>
      <c r="J37" s="109"/>
      <c r="K37" s="230"/>
      <c r="L37" s="13">
        <v>550000</v>
      </c>
      <c r="M37" s="95"/>
      <c r="N37" s="83"/>
      <c r="O37" s="83"/>
      <c r="P37" s="94"/>
      <c r="Q37" s="260">
        <f>SUM(L37:P39)</f>
        <v>1660000</v>
      </c>
      <c r="R37" s="130" t="s">
        <v>51</v>
      </c>
    </row>
    <row r="38" spans="1:18" ht="25.2" customHeight="1">
      <c r="A38" s="338"/>
      <c r="B38" s="265"/>
      <c r="C38" s="198" t="s">
        <v>295</v>
      </c>
      <c r="D38" s="198" t="s">
        <v>104</v>
      </c>
      <c r="E38" s="11"/>
      <c r="F38" s="11" t="s">
        <v>77</v>
      </c>
      <c r="G38" s="74"/>
      <c r="H38" s="233">
        <v>98000</v>
      </c>
      <c r="I38" s="223">
        <v>490</v>
      </c>
      <c r="J38" s="109"/>
      <c r="K38" s="230"/>
      <c r="L38" s="13"/>
      <c r="M38" s="341">
        <v>1110000</v>
      </c>
      <c r="N38" s="83"/>
      <c r="O38" s="83"/>
      <c r="P38" s="94"/>
      <c r="Q38" s="267"/>
      <c r="R38" s="130"/>
    </row>
    <row r="39" spans="1:18" ht="25.2" customHeight="1">
      <c r="A39" s="327"/>
      <c r="B39" s="259"/>
      <c r="C39" s="198" t="s">
        <v>296</v>
      </c>
      <c r="D39" s="198" t="s">
        <v>150</v>
      </c>
      <c r="E39" s="11"/>
      <c r="F39" s="11" t="s">
        <v>77</v>
      </c>
      <c r="G39" s="74"/>
      <c r="H39" s="233">
        <f>38000+8500</f>
        <v>46500</v>
      </c>
      <c r="I39" s="223">
        <f>482.6+120.6</f>
        <v>603.20000000000005</v>
      </c>
      <c r="J39" s="109"/>
      <c r="K39" s="230"/>
      <c r="L39" s="13"/>
      <c r="M39" s="343"/>
      <c r="N39" s="10"/>
      <c r="O39" s="83"/>
      <c r="P39" s="94"/>
      <c r="Q39" s="261"/>
      <c r="R39" s="183"/>
    </row>
    <row r="40" spans="1:18" ht="25.2" customHeight="1">
      <c r="A40" s="326">
        <v>20</v>
      </c>
      <c r="B40" s="258" t="s">
        <v>212</v>
      </c>
      <c r="C40" s="198">
        <v>7</v>
      </c>
      <c r="D40" s="198" t="s">
        <v>297</v>
      </c>
      <c r="E40" s="11"/>
      <c r="F40" s="11" t="s">
        <v>128</v>
      </c>
      <c r="G40" s="74"/>
      <c r="H40" s="233">
        <v>160000</v>
      </c>
      <c r="I40" s="233">
        <v>1635</v>
      </c>
      <c r="J40" s="109"/>
      <c r="K40" s="230"/>
      <c r="L40" s="13"/>
      <c r="M40" s="341">
        <v>1530000</v>
      </c>
      <c r="N40" s="83"/>
      <c r="O40" s="83"/>
      <c r="P40" s="94"/>
      <c r="Q40" s="260">
        <f>SUM(L40:P41)</f>
        <v>1530000</v>
      </c>
      <c r="R40" s="183"/>
    </row>
    <row r="41" spans="1:18" ht="25.2" customHeight="1">
      <c r="A41" s="327"/>
      <c r="B41" s="259"/>
      <c r="C41" s="198">
        <v>17</v>
      </c>
      <c r="D41" s="198" t="s">
        <v>161</v>
      </c>
      <c r="E41" s="11"/>
      <c r="F41" s="11" t="s">
        <v>66</v>
      </c>
      <c r="G41" s="74"/>
      <c r="H41" s="233">
        <v>20000</v>
      </c>
      <c r="I41" s="223">
        <v>378</v>
      </c>
      <c r="J41" s="9"/>
      <c r="K41" s="230"/>
      <c r="L41" s="13"/>
      <c r="M41" s="343"/>
      <c r="N41" s="83"/>
      <c r="O41" s="83"/>
      <c r="P41" s="94"/>
      <c r="Q41" s="261"/>
      <c r="R41" s="246"/>
    </row>
    <row r="42" spans="1:18" ht="25.2" customHeight="1">
      <c r="A42" s="326">
        <v>21</v>
      </c>
      <c r="B42" s="258" t="s">
        <v>212</v>
      </c>
      <c r="C42" s="198" t="s">
        <v>298</v>
      </c>
      <c r="D42" s="198" t="s">
        <v>68</v>
      </c>
      <c r="E42" s="11"/>
      <c r="F42" s="11" t="s">
        <v>61</v>
      </c>
      <c r="G42" s="74">
        <v>3500</v>
      </c>
      <c r="H42" s="233"/>
      <c r="I42" s="206"/>
      <c r="J42" s="109"/>
      <c r="K42" s="230"/>
      <c r="L42" s="13">
        <v>1200000</v>
      </c>
      <c r="M42" s="247"/>
      <c r="N42" s="83"/>
      <c r="O42" s="83"/>
      <c r="P42" s="94"/>
      <c r="Q42" s="260">
        <f>SUM(L42:P43)</f>
        <v>1380000</v>
      </c>
      <c r="R42" s="193"/>
    </row>
    <row r="43" spans="1:18" ht="25.2" customHeight="1">
      <c r="A43" s="327"/>
      <c r="B43" s="259"/>
      <c r="C43" s="198" t="s">
        <v>299</v>
      </c>
      <c r="D43" s="198" t="s">
        <v>300</v>
      </c>
      <c r="E43" s="11"/>
      <c r="F43" s="11" t="s">
        <v>63</v>
      </c>
      <c r="G43" s="74"/>
      <c r="H43" s="233">
        <v>12100</v>
      </c>
      <c r="I43" s="223">
        <v>313.93349999999998</v>
      </c>
      <c r="J43" s="109"/>
      <c r="K43" s="230"/>
      <c r="L43" s="13"/>
      <c r="M43" s="83">
        <v>180000</v>
      </c>
      <c r="N43" s="83"/>
      <c r="O43" s="83"/>
      <c r="P43" s="94"/>
      <c r="Q43" s="261"/>
      <c r="R43" s="183"/>
    </row>
    <row r="44" spans="1:18" ht="25.2" customHeight="1">
      <c r="A44" s="326">
        <v>22</v>
      </c>
      <c r="B44" s="258" t="s">
        <v>213</v>
      </c>
      <c r="C44" s="198">
        <v>44</v>
      </c>
      <c r="D44" s="198" t="s">
        <v>180</v>
      </c>
      <c r="E44" s="11"/>
      <c r="F44" s="11" t="s">
        <v>181</v>
      </c>
      <c r="G44" s="74">
        <v>500</v>
      </c>
      <c r="H44" s="74"/>
      <c r="I44" s="129"/>
      <c r="J44" s="109"/>
      <c r="K44" s="230"/>
      <c r="L44" s="336">
        <v>980000</v>
      </c>
      <c r="M44" s="83"/>
      <c r="N44" s="83"/>
      <c r="O44" s="83"/>
      <c r="P44" s="94"/>
      <c r="Q44" s="260">
        <f>SUM(L44:P45)</f>
        <v>980000</v>
      </c>
      <c r="R44" s="209" t="s">
        <v>51</v>
      </c>
    </row>
    <row r="45" spans="1:18" ht="25.2" customHeight="1">
      <c r="A45" s="327"/>
      <c r="B45" s="259"/>
      <c r="C45" s="198">
        <v>17</v>
      </c>
      <c r="D45" s="198" t="s">
        <v>70</v>
      </c>
      <c r="E45" s="11"/>
      <c r="F45" s="11" t="s">
        <v>76</v>
      </c>
      <c r="G45" s="74">
        <v>4250</v>
      </c>
      <c r="H45" s="129"/>
      <c r="I45" s="129"/>
      <c r="J45" s="192"/>
      <c r="K45" s="200"/>
      <c r="L45" s="337"/>
      <c r="M45" s="13"/>
      <c r="N45" s="13"/>
      <c r="O45" s="13"/>
      <c r="P45" s="16"/>
      <c r="Q45" s="261"/>
      <c r="R45" s="183"/>
    </row>
    <row r="46" spans="1:18" ht="25.2" customHeight="1">
      <c r="A46" s="200">
        <v>23</v>
      </c>
      <c r="B46" s="201" t="s">
        <v>213</v>
      </c>
      <c r="C46" s="198">
        <v>4</v>
      </c>
      <c r="D46" s="198" t="s">
        <v>123</v>
      </c>
      <c r="E46" s="11"/>
      <c r="F46" s="11" t="s">
        <v>71</v>
      </c>
      <c r="G46" s="74">
        <v>3000</v>
      </c>
      <c r="H46" s="129"/>
      <c r="I46" s="129"/>
      <c r="J46" s="192"/>
      <c r="K46" s="200"/>
      <c r="L46" s="10">
        <v>1150000</v>
      </c>
      <c r="M46" s="13"/>
      <c r="N46" s="13"/>
      <c r="O46" s="13"/>
      <c r="P46" s="16"/>
      <c r="Q46" s="115">
        <f t="shared" si="0"/>
        <v>1150000</v>
      </c>
      <c r="R46" s="183" t="s">
        <v>53</v>
      </c>
    </row>
    <row r="47" spans="1:18" ht="25.2" customHeight="1">
      <c r="A47" s="326">
        <v>24</v>
      </c>
      <c r="B47" s="258" t="s">
        <v>215</v>
      </c>
      <c r="C47" s="198">
        <v>33</v>
      </c>
      <c r="D47" s="198" t="s">
        <v>65</v>
      </c>
      <c r="E47" s="11"/>
      <c r="F47" s="11" t="s">
        <v>66</v>
      </c>
      <c r="G47" s="74">
        <v>486</v>
      </c>
      <c r="H47" s="233"/>
      <c r="I47" s="223"/>
      <c r="J47" s="192"/>
      <c r="K47" s="200"/>
      <c r="L47" s="10">
        <v>250000</v>
      </c>
      <c r="M47" s="13"/>
      <c r="N47" s="13"/>
      <c r="O47" s="13"/>
      <c r="P47" s="16"/>
      <c r="Q47" s="260">
        <f>SUM(L47:P49)</f>
        <v>1560000</v>
      </c>
      <c r="R47" s="183" t="s">
        <v>51</v>
      </c>
    </row>
    <row r="48" spans="1:18" ht="22.2" customHeight="1">
      <c r="A48" s="338"/>
      <c r="B48" s="265"/>
      <c r="C48" s="198">
        <v>10</v>
      </c>
      <c r="D48" s="198" t="s">
        <v>60</v>
      </c>
      <c r="E48" s="11"/>
      <c r="F48" s="11" t="s">
        <v>66</v>
      </c>
      <c r="G48" s="74"/>
      <c r="H48" s="233">
        <v>22500</v>
      </c>
      <c r="I48" s="223">
        <v>600.75</v>
      </c>
      <c r="J48" s="192"/>
      <c r="K48" s="200"/>
      <c r="L48" s="10"/>
      <c r="M48" s="336">
        <v>1310000</v>
      </c>
      <c r="N48" s="13"/>
      <c r="O48" s="13"/>
      <c r="P48" s="16"/>
      <c r="Q48" s="267"/>
      <c r="R48" s="193"/>
    </row>
    <row r="49" spans="1:19" ht="22.8" customHeight="1">
      <c r="A49" s="327"/>
      <c r="B49" s="259"/>
      <c r="C49" s="198" t="s">
        <v>301</v>
      </c>
      <c r="D49" s="198" t="s">
        <v>106</v>
      </c>
      <c r="E49" s="11"/>
      <c r="F49" s="11" t="s">
        <v>48</v>
      </c>
      <c r="G49" s="74"/>
      <c r="H49" s="233">
        <f>25500+91000</f>
        <v>116500</v>
      </c>
      <c r="I49" s="233">
        <f>459.2547+888</f>
        <v>1347.2547</v>
      </c>
      <c r="J49" s="192"/>
      <c r="K49" s="200"/>
      <c r="L49" s="10"/>
      <c r="M49" s="337"/>
      <c r="N49" s="13"/>
      <c r="O49" s="13"/>
      <c r="P49" s="16"/>
      <c r="Q49" s="261"/>
      <c r="R49" s="183"/>
      <c r="S49" s="208"/>
    </row>
    <row r="50" spans="1:19" ht="25.2" customHeight="1">
      <c r="A50" s="200">
        <v>25</v>
      </c>
      <c r="B50" s="201" t="s">
        <v>219</v>
      </c>
      <c r="C50" s="198">
        <v>42</v>
      </c>
      <c r="D50" s="198" t="s">
        <v>81</v>
      </c>
      <c r="E50" s="11"/>
      <c r="F50" s="11" t="s">
        <v>66</v>
      </c>
      <c r="G50" s="74"/>
      <c r="H50" s="233">
        <v>83000</v>
      </c>
      <c r="I50" s="223">
        <v>2103.0500000000002</v>
      </c>
      <c r="J50" s="192"/>
      <c r="K50" s="200"/>
      <c r="L50" s="10"/>
      <c r="M50" s="13">
        <v>1350000</v>
      </c>
      <c r="N50" s="13"/>
      <c r="O50" s="13"/>
      <c r="P50" s="16"/>
      <c r="Q50" s="115">
        <f t="shared" si="0"/>
        <v>1350000</v>
      </c>
      <c r="R50" s="183"/>
    </row>
    <row r="51" spans="1:19" ht="25.2" customHeight="1">
      <c r="A51" s="200">
        <v>26</v>
      </c>
      <c r="B51" s="201" t="s">
        <v>221</v>
      </c>
      <c r="C51" s="198" t="s">
        <v>302</v>
      </c>
      <c r="D51" s="198" t="s">
        <v>303</v>
      </c>
      <c r="E51" s="11"/>
      <c r="F51" s="11" t="s">
        <v>54</v>
      </c>
      <c r="G51" s="74"/>
      <c r="H51" s="233">
        <v>81380</v>
      </c>
      <c r="I51" s="223">
        <v>2100.6783999999998</v>
      </c>
      <c r="J51" s="192">
        <v>545</v>
      </c>
      <c r="K51" s="13"/>
      <c r="L51" s="13"/>
      <c r="M51" s="13">
        <v>1100000</v>
      </c>
      <c r="N51" s="16"/>
      <c r="O51" s="16"/>
      <c r="P51" s="16">
        <f>J51*500+80000</f>
        <v>352500</v>
      </c>
      <c r="Q51" s="115">
        <f t="shared" si="0"/>
        <v>1452500</v>
      </c>
      <c r="R51" s="209" t="s">
        <v>304</v>
      </c>
    </row>
    <row r="52" spans="1:19" ht="25.2" customHeight="1">
      <c r="A52" s="326">
        <v>27</v>
      </c>
      <c r="B52" s="258" t="s">
        <v>225</v>
      </c>
      <c r="C52" s="198">
        <v>2</v>
      </c>
      <c r="D52" s="198" t="s">
        <v>104</v>
      </c>
      <c r="E52" s="11"/>
      <c r="F52" s="11" t="s">
        <v>48</v>
      </c>
      <c r="G52" s="74"/>
      <c r="H52" s="233">
        <v>90000</v>
      </c>
      <c r="I52" s="223">
        <v>605</v>
      </c>
      <c r="J52" s="192"/>
      <c r="K52" s="200"/>
      <c r="L52" s="13"/>
      <c r="M52" s="336">
        <v>1110000</v>
      </c>
      <c r="N52" s="13"/>
      <c r="O52" s="13"/>
      <c r="P52" s="16"/>
      <c r="Q52" s="260">
        <f>SUM(L52:P54)</f>
        <v>1560000</v>
      </c>
      <c r="R52" s="183" t="s">
        <v>51</v>
      </c>
    </row>
    <row r="53" spans="1:19" ht="25.2" customHeight="1">
      <c r="A53" s="338"/>
      <c r="B53" s="265"/>
      <c r="C53" s="198">
        <v>30</v>
      </c>
      <c r="D53" s="198" t="s">
        <v>58</v>
      </c>
      <c r="E53" s="11"/>
      <c r="F53" s="11" t="s">
        <v>66</v>
      </c>
      <c r="G53" s="74"/>
      <c r="H53" s="233">
        <v>40600</v>
      </c>
      <c r="I53" s="223">
        <v>731.08500000000004</v>
      </c>
      <c r="J53" s="197"/>
      <c r="K53" s="230"/>
      <c r="L53" s="13"/>
      <c r="M53" s="337"/>
      <c r="N53" s="13"/>
      <c r="O53" s="13"/>
      <c r="P53" s="16"/>
      <c r="Q53" s="267"/>
      <c r="R53" s="193"/>
    </row>
    <row r="54" spans="1:19" ht="25.2" customHeight="1">
      <c r="A54" s="327"/>
      <c r="B54" s="259"/>
      <c r="C54" s="198">
        <v>30</v>
      </c>
      <c r="D54" s="198" t="s">
        <v>65</v>
      </c>
      <c r="E54" s="11"/>
      <c r="F54" s="11" t="s">
        <v>66</v>
      </c>
      <c r="G54" s="74">
        <v>1490</v>
      </c>
      <c r="H54" s="233"/>
      <c r="I54" s="223"/>
      <c r="J54" s="197"/>
      <c r="K54" s="230"/>
      <c r="L54" s="13">
        <v>450000</v>
      </c>
      <c r="M54" s="13"/>
      <c r="N54" s="13"/>
      <c r="O54" s="13"/>
      <c r="P54" s="16"/>
      <c r="Q54" s="261"/>
      <c r="R54" s="193"/>
    </row>
    <row r="55" spans="1:19" ht="31.8" customHeight="1">
      <c r="A55" s="326">
        <v>28</v>
      </c>
      <c r="B55" s="258" t="s">
        <v>228</v>
      </c>
      <c r="C55" s="198" t="s">
        <v>151</v>
      </c>
      <c r="D55" s="198" t="s">
        <v>305</v>
      </c>
      <c r="E55" s="11"/>
      <c r="F55" s="11" t="s">
        <v>64</v>
      </c>
      <c r="G55" s="74"/>
      <c r="H55" s="233">
        <v>35100</v>
      </c>
      <c r="I55" s="223">
        <v>1074.7550000000001</v>
      </c>
      <c r="J55" s="192"/>
      <c r="K55" s="230"/>
      <c r="L55" s="13"/>
      <c r="M55" s="336">
        <v>1050000</v>
      </c>
      <c r="N55" s="13"/>
      <c r="O55" s="13">
        <v>300000</v>
      </c>
      <c r="P55" s="16"/>
      <c r="Q55" s="260">
        <f>SUM(L55:P56)</f>
        <v>1350000</v>
      </c>
      <c r="R55" s="184" t="s">
        <v>306</v>
      </c>
    </row>
    <row r="56" spans="1:19" ht="25.2" customHeight="1">
      <c r="A56" s="327"/>
      <c r="B56" s="259"/>
      <c r="C56" s="198" t="s">
        <v>307</v>
      </c>
      <c r="D56" s="198" t="s">
        <v>308</v>
      </c>
      <c r="E56" s="11"/>
      <c r="F56" s="11" t="s">
        <v>64</v>
      </c>
      <c r="G56" s="233"/>
      <c r="H56" s="233">
        <v>103000</v>
      </c>
      <c r="I56" s="223">
        <v>1022.6</v>
      </c>
      <c r="J56" s="197"/>
      <c r="K56" s="230"/>
      <c r="L56" s="13"/>
      <c r="M56" s="337"/>
      <c r="N56" s="13"/>
      <c r="O56" s="13"/>
      <c r="P56" s="16"/>
      <c r="Q56" s="261"/>
      <c r="R56" s="202"/>
    </row>
    <row r="57" spans="1:19" ht="25.2" customHeight="1">
      <c r="A57" s="326">
        <v>29</v>
      </c>
      <c r="B57" s="258" t="s">
        <v>232</v>
      </c>
      <c r="C57" s="198">
        <v>19</v>
      </c>
      <c r="D57" s="198" t="s">
        <v>72</v>
      </c>
      <c r="E57" s="11"/>
      <c r="F57" s="11" t="s">
        <v>77</v>
      </c>
      <c r="G57" s="74">
        <v>2993</v>
      </c>
      <c r="H57" s="233"/>
      <c r="I57" s="223"/>
      <c r="J57" s="197"/>
      <c r="K57" s="230"/>
      <c r="L57" s="336">
        <v>1730000</v>
      </c>
      <c r="M57" s="13"/>
      <c r="N57" s="13"/>
      <c r="O57" s="13"/>
      <c r="P57" s="16"/>
      <c r="Q57" s="260">
        <f>SUM(L57:P58)</f>
        <v>1730000</v>
      </c>
      <c r="R57" s="202" t="s">
        <v>51</v>
      </c>
    </row>
    <row r="58" spans="1:19" ht="25.2" customHeight="1">
      <c r="A58" s="327"/>
      <c r="B58" s="259"/>
      <c r="C58" s="198">
        <v>31</v>
      </c>
      <c r="D58" s="198" t="s">
        <v>65</v>
      </c>
      <c r="E58" s="11"/>
      <c r="F58" s="11" t="s">
        <v>66</v>
      </c>
      <c r="G58" s="233">
        <v>1008</v>
      </c>
      <c r="H58" s="233"/>
      <c r="I58" s="223"/>
      <c r="J58" s="197"/>
      <c r="K58" s="230"/>
      <c r="L58" s="337"/>
      <c r="M58" s="13"/>
      <c r="N58" s="13"/>
      <c r="O58" s="13"/>
      <c r="P58" s="16"/>
      <c r="Q58" s="261"/>
      <c r="R58" s="202"/>
    </row>
    <row r="59" spans="1:19" ht="25.2" customHeight="1">
      <c r="A59" s="326">
        <v>30</v>
      </c>
      <c r="B59" s="258" t="s">
        <v>232</v>
      </c>
      <c r="C59" s="198">
        <v>44</v>
      </c>
      <c r="D59" s="198" t="s">
        <v>134</v>
      </c>
      <c r="E59" s="11"/>
      <c r="F59" s="11" t="s">
        <v>54</v>
      </c>
      <c r="G59" s="74"/>
      <c r="H59" s="233">
        <v>20400</v>
      </c>
      <c r="I59" s="223">
        <v>442.68</v>
      </c>
      <c r="J59" s="197"/>
      <c r="K59" s="230"/>
      <c r="L59" s="13"/>
      <c r="M59" s="13">
        <v>350000</v>
      </c>
      <c r="N59" s="13"/>
      <c r="O59" s="13"/>
      <c r="P59" s="16"/>
      <c r="Q59" s="260">
        <f>SUM(L59:P60)</f>
        <v>1966000</v>
      </c>
      <c r="R59" s="202" t="s">
        <v>53</v>
      </c>
    </row>
    <row r="60" spans="1:19" ht="25.2" customHeight="1">
      <c r="A60" s="327"/>
      <c r="B60" s="259"/>
      <c r="C60" s="198" t="s">
        <v>309</v>
      </c>
      <c r="D60" s="198" t="s">
        <v>68</v>
      </c>
      <c r="E60" s="11"/>
      <c r="F60" s="11" t="s">
        <v>61</v>
      </c>
      <c r="G60" s="74">
        <v>3500</v>
      </c>
      <c r="H60" s="233"/>
      <c r="I60" s="233"/>
      <c r="J60" s="192">
        <v>1590</v>
      </c>
      <c r="K60" s="230"/>
      <c r="L60" s="13">
        <v>980000</v>
      </c>
      <c r="M60" s="13"/>
      <c r="N60" s="13"/>
      <c r="O60" s="13"/>
      <c r="P60" s="16">
        <f>J60*400</f>
        <v>636000</v>
      </c>
      <c r="Q60" s="261"/>
      <c r="R60" s="202" t="s">
        <v>130</v>
      </c>
    </row>
    <row r="61" spans="1:19" s="21" customFormat="1" ht="22.8" customHeight="1">
      <c r="A61" s="315" t="s">
        <v>20</v>
      </c>
      <c r="B61" s="315"/>
      <c r="C61" s="315"/>
      <c r="D61" s="315"/>
      <c r="E61" s="315"/>
      <c r="F61" s="315"/>
      <c r="G61" s="20">
        <f t="shared" ref="G61:Q61" si="1">SUM(G8:G60)</f>
        <v>53510</v>
      </c>
      <c r="H61" s="20">
        <f t="shared" si="1"/>
        <v>4553443</v>
      </c>
      <c r="I61" s="20">
        <f t="shared" si="1"/>
        <v>30723.681199999999</v>
      </c>
      <c r="J61" s="20">
        <f t="shared" si="1"/>
        <v>6106</v>
      </c>
      <c r="K61" s="20">
        <f t="shared" si="1"/>
        <v>0</v>
      </c>
      <c r="L61" s="20">
        <f t="shared" si="1"/>
        <v>17020000</v>
      </c>
      <c r="M61" s="20">
        <f t="shared" si="1"/>
        <v>24690000</v>
      </c>
      <c r="N61" s="20">
        <f t="shared" si="1"/>
        <v>0</v>
      </c>
      <c r="O61" s="20">
        <f t="shared" si="1"/>
        <v>540000</v>
      </c>
      <c r="P61" s="20">
        <f t="shared" si="1"/>
        <v>2576900</v>
      </c>
      <c r="Q61" s="140">
        <f t="shared" si="1"/>
        <v>44826900</v>
      </c>
      <c r="R61" s="166"/>
      <c r="S61" s="219"/>
    </row>
    <row r="62" spans="1:19" s="21" customFormat="1" ht="19.2" customHeight="1">
      <c r="A62" s="317" t="s">
        <v>21</v>
      </c>
      <c r="B62" s="317"/>
      <c r="C62" s="317"/>
      <c r="D62" s="317"/>
      <c r="E62" s="317"/>
      <c r="F62" s="317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f>8%*Q61</f>
        <v>3586152</v>
      </c>
      <c r="R62" s="22"/>
      <c r="S62" s="228"/>
    </row>
    <row r="63" spans="1:19" s="21" customFormat="1" ht="19.2" customHeight="1">
      <c r="A63" s="317" t="s">
        <v>22</v>
      </c>
      <c r="B63" s="317"/>
      <c r="C63" s="317"/>
      <c r="D63" s="317"/>
      <c r="E63" s="317"/>
      <c r="F63" s="317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>
        <f>Q62+Q61</f>
        <v>48413052</v>
      </c>
      <c r="R63" s="166"/>
      <c r="S63" s="26"/>
    </row>
    <row r="64" spans="1:19" s="21" customFormat="1" ht="19.2" customHeight="1">
      <c r="A64" s="23"/>
      <c r="B64" s="144"/>
      <c r="C64" s="23"/>
      <c r="D64" s="23"/>
      <c r="E64" s="23"/>
      <c r="F64" s="2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5"/>
      <c r="S64" s="26"/>
    </row>
    <row r="65" spans="1:19" s="21" customFormat="1" ht="19.2" customHeight="1">
      <c r="A65" s="314" t="s">
        <v>23</v>
      </c>
      <c r="B65" s="314"/>
      <c r="C65" s="314"/>
      <c r="D65" s="314"/>
      <c r="E65" s="314"/>
      <c r="F65" s="314"/>
      <c r="G65" s="27">
        <f>G61</f>
        <v>53510</v>
      </c>
      <c r="H65" s="27"/>
      <c r="I65" s="27"/>
      <c r="J65" s="27"/>
      <c r="K65" s="28">
        <f>G61+J61</f>
        <v>59616</v>
      </c>
      <c r="L65" s="27"/>
      <c r="M65" s="27"/>
      <c r="N65" s="27"/>
      <c r="O65" s="27"/>
      <c r="P65" s="27"/>
      <c r="Q65" s="27">
        <f>L61+N61</f>
        <v>17020000</v>
      </c>
      <c r="R65" s="29">
        <f>Q65/G65</f>
        <v>318.07138852550924</v>
      </c>
      <c r="S65" s="215"/>
    </row>
    <row r="66" spans="1:19" s="21" customFormat="1" ht="19.2" customHeight="1">
      <c r="A66" s="314" t="s">
        <v>24</v>
      </c>
      <c r="B66" s="314"/>
      <c r="C66" s="314"/>
      <c r="D66" s="314"/>
      <c r="E66" s="314"/>
      <c r="F66" s="314"/>
      <c r="G66" s="27"/>
      <c r="H66" s="27"/>
      <c r="I66" s="27">
        <f>I61</f>
        <v>30723.681199999999</v>
      </c>
      <c r="J66" s="27"/>
      <c r="K66" s="27"/>
      <c r="L66" s="27"/>
      <c r="M66" s="27"/>
      <c r="N66" s="27"/>
      <c r="O66" s="27"/>
      <c r="P66" s="27"/>
      <c r="Q66" s="27">
        <f>M61+O61</f>
        <v>25230000</v>
      </c>
      <c r="R66" s="29">
        <f>Q66/I66</f>
        <v>821.19065862459217</v>
      </c>
      <c r="S66" s="215"/>
    </row>
    <row r="67" spans="1:19" s="21" customFormat="1" ht="19.2" customHeight="1">
      <c r="A67" s="314" t="s">
        <v>25</v>
      </c>
      <c r="B67" s="314"/>
      <c r="C67" s="314"/>
      <c r="D67" s="314"/>
      <c r="E67" s="314"/>
      <c r="F67" s="314"/>
      <c r="G67" s="27"/>
      <c r="H67" s="27"/>
      <c r="I67" s="27"/>
      <c r="J67" s="27"/>
      <c r="K67" s="27"/>
      <c r="L67" s="27"/>
      <c r="M67" s="27"/>
      <c r="N67" s="27"/>
      <c r="O67" s="27"/>
      <c r="P67" s="27">
        <f>J61</f>
        <v>6106</v>
      </c>
      <c r="Q67" s="27">
        <f>P61</f>
        <v>2576900</v>
      </c>
      <c r="R67" s="29">
        <f>Q67/P67</f>
        <v>422.02751392073372</v>
      </c>
      <c r="S67" s="215"/>
    </row>
    <row r="68" spans="1:19">
      <c r="A68" s="31"/>
      <c r="B68" s="100"/>
      <c r="C68" s="3" t="s">
        <v>27</v>
      </c>
      <c r="D68" s="32"/>
      <c r="E68" s="33"/>
      <c r="F68" s="33"/>
      <c r="G68" s="34" t="s">
        <v>163</v>
      </c>
      <c r="H68" s="35"/>
      <c r="I68" s="35"/>
      <c r="J68" s="35"/>
      <c r="K68" s="36"/>
      <c r="L68" s="1"/>
      <c r="M68" s="1"/>
      <c r="N68" s="1"/>
      <c r="O68" s="1"/>
      <c r="P68" s="1"/>
      <c r="Q68" s="141" t="s">
        <v>28</v>
      </c>
    </row>
    <row r="69" spans="1:19" ht="18" customHeight="1">
      <c r="B69" s="100"/>
      <c r="D69" s="32"/>
      <c r="E69" s="37"/>
      <c r="F69" s="37"/>
      <c r="G69" s="38"/>
      <c r="H69" s="31"/>
      <c r="I69" s="32"/>
      <c r="J69" s="32"/>
      <c r="K69" s="32"/>
    </row>
    <row r="70" spans="1:19" s="8" customFormat="1" ht="18" customHeight="1">
      <c r="A70" s="1"/>
      <c r="B70" s="100"/>
      <c r="C70" s="3"/>
      <c r="D70" s="3"/>
      <c r="E70" s="3"/>
      <c r="F70" s="3"/>
      <c r="G70" s="39"/>
      <c r="Q70" s="124"/>
      <c r="S70" s="3"/>
    </row>
    <row r="71" spans="1:19">
      <c r="B71" s="100"/>
      <c r="E71" s="37"/>
      <c r="F71" s="37"/>
      <c r="G71" s="38"/>
      <c r="H71" s="31"/>
      <c r="I71" s="32"/>
      <c r="J71" s="32"/>
      <c r="K71" s="32"/>
    </row>
    <row r="72" spans="1:19">
      <c r="C72" s="45"/>
      <c r="G72" s="34" t="str">
        <f>'[1]A VIEN'!G68</f>
        <v>Đặng Thị Mỹ Tin</v>
      </c>
      <c r="H72" s="43"/>
      <c r="Q72" s="113" t="s">
        <v>112</v>
      </c>
    </row>
    <row r="75" spans="1:19">
      <c r="R75" s="39" t="e">
        <f>+Q61+#REF!+#REF!+#REF!+#REF!+#REF!+#REF!+#REF!+#REF!</f>
        <v>#REF!</v>
      </c>
    </row>
  </sheetData>
  <mergeCells count="89">
    <mergeCell ref="Q57:Q58"/>
    <mergeCell ref="B52:B54"/>
    <mergeCell ref="M52:M53"/>
    <mergeCell ref="Q52:Q54"/>
    <mergeCell ref="A55:A56"/>
    <mergeCell ref="B55:B56"/>
    <mergeCell ref="M55:M56"/>
    <mergeCell ref="Q55:Q56"/>
    <mergeCell ref="L57:L58"/>
    <mergeCell ref="Q47:Q49"/>
    <mergeCell ref="A29:A30"/>
    <mergeCell ref="B29:B30"/>
    <mergeCell ref="Q29:Q30"/>
    <mergeCell ref="A27:A28"/>
    <mergeCell ref="B27:B28"/>
    <mergeCell ref="Q27:Q28"/>
    <mergeCell ref="A42:A43"/>
    <mergeCell ref="B42:B43"/>
    <mergeCell ref="Q42:Q43"/>
    <mergeCell ref="A44:A45"/>
    <mergeCell ref="B44:B45"/>
    <mergeCell ref="L44:L45"/>
    <mergeCell ref="Q44:Q45"/>
    <mergeCell ref="A37:A39"/>
    <mergeCell ref="B37:B39"/>
    <mergeCell ref="Q37:Q39"/>
    <mergeCell ref="M38:M39"/>
    <mergeCell ref="A40:A41"/>
    <mergeCell ref="B40:B41"/>
    <mergeCell ref="M40:M41"/>
    <mergeCell ref="Q40:Q41"/>
    <mergeCell ref="M48:M49"/>
    <mergeCell ref="A61:F61"/>
    <mergeCell ref="A57:A58"/>
    <mergeCell ref="B57:B58"/>
    <mergeCell ref="A47:A49"/>
    <mergeCell ref="B47:B49"/>
    <mergeCell ref="A52:A54"/>
    <mergeCell ref="A31:A32"/>
    <mergeCell ref="B31:B32"/>
    <mergeCell ref="M31:M32"/>
    <mergeCell ref="Q31:Q32"/>
    <mergeCell ref="A34:A36"/>
    <mergeCell ref="B34:B36"/>
    <mergeCell ref="M34:M36"/>
    <mergeCell ref="Q34:Q36"/>
    <mergeCell ref="Q10:Q11"/>
    <mergeCell ref="A22:A24"/>
    <mergeCell ref="B22:B24"/>
    <mergeCell ref="Q22:Q24"/>
    <mergeCell ref="M23:M24"/>
    <mergeCell ref="A12:A14"/>
    <mergeCell ref="B12:B14"/>
    <mergeCell ref="Q12:Q14"/>
    <mergeCell ref="M13:M14"/>
    <mergeCell ref="A15:A16"/>
    <mergeCell ref="B15:B16"/>
    <mergeCell ref="L15:L16"/>
    <mergeCell ref="Q15:Q16"/>
    <mergeCell ref="N5:O6"/>
    <mergeCell ref="P5:P7"/>
    <mergeCell ref="H6:I6"/>
    <mergeCell ref="A10:A11"/>
    <mergeCell ref="B10:B11"/>
    <mergeCell ref="M10:M11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K5:K7"/>
    <mergeCell ref="L5:M6"/>
    <mergeCell ref="Q5:Q7"/>
    <mergeCell ref="A67:F67"/>
    <mergeCell ref="A59:A60"/>
    <mergeCell ref="B59:B60"/>
    <mergeCell ref="Q59:Q60"/>
    <mergeCell ref="A62:F62"/>
    <mergeCell ref="A66:F66"/>
    <mergeCell ref="A65:F65"/>
    <mergeCell ref="A63:F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3"/>
  <sheetViews>
    <sheetView topLeftCell="A37" zoomScale="70" zoomScaleNormal="70" workbookViewId="0">
      <selection activeCell="Q54" sqref="Q54"/>
    </sheetView>
  </sheetViews>
  <sheetFormatPr defaultColWidth="9.109375" defaultRowHeight="13.8"/>
  <cols>
    <col min="1" max="1" width="8.44140625" style="1" customWidth="1"/>
    <col min="2" max="2" width="12.6640625" style="101" customWidth="1"/>
    <col min="3" max="3" width="12.21875" style="3" customWidth="1"/>
    <col min="4" max="4" width="21.77734375" style="3" customWidth="1"/>
    <col min="5" max="5" width="14.5546875" style="41" customWidth="1"/>
    <col min="6" max="6" width="17.33203125" style="42" customWidth="1"/>
    <col min="7" max="7" width="13.109375" style="35" customWidth="1"/>
    <col min="8" max="8" width="14.109375" style="46" customWidth="1"/>
    <col min="9" max="9" width="11.33203125" style="44" customWidth="1"/>
    <col min="10" max="10" width="13.5546875" style="44" customWidth="1"/>
    <col min="11" max="11" width="13.109375" style="7" customWidth="1"/>
    <col min="12" max="12" width="17.33203125" style="7" customWidth="1"/>
    <col min="13" max="13" width="15.88671875" style="7" customWidth="1"/>
    <col min="14" max="14" width="13.5546875" style="7" customWidth="1"/>
    <col min="15" max="15" width="13.77734375" style="7" customWidth="1"/>
    <col min="16" max="16" width="11" style="7" customWidth="1"/>
    <col min="17" max="17" width="15.33203125" style="113" customWidth="1"/>
    <col min="18" max="18" width="41.21875" style="3" customWidth="1"/>
    <col min="19" max="19" width="16" style="1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9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9">
      <c r="A4" s="351" t="s">
        <v>179</v>
      </c>
      <c r="B4" s="351"/>
      <c r="C4" s="351"/>
      <c r="D4" s="2"/>
      <c r="E4" s="3"/>
      <c r="F4" s="3"/>
      <c r="G4" s="4"/>
      <c r="H4" s="5"/>
      <c r="I4" s="6"/>
      <c r="J4" s="6"/>
    </row>
    <row r="5" spans="1:19" ht="29.25" customHeight="1">
      <c r="A5" s="270" t="s">
        <v>1</v>
      </c>
      <c r="B5" s="352" t="s">
        <v>2</v>
      </c>
      <c r="C5" s="270" t="s">
        <v>3</v>
      </c>
      <c r="D5" s="270" t="s">
        <v>4</v>
      </c>
      <c r="E5" s="280" t="s">
        <v>5</v>
      </c>
      <c r="F5" s="281"/>
      <c r="G5" s="282" t="s">
        <v>6</v>
      </c>
      <c r="H5" s="283"/>
      <c r="I5" s="283"/>
      <c r="J5" s="284"/>
      <c r="K5" s="285" t="s">
        <v>7</v>
      </c>
      <c r="L5" s="287" t="s">
        <v>8</v>
      </c>
      <c r="M5" s="288"/>
      <c r="N5" s="287" t="s">
        <v>9</v>
      </c>
      <c r="O5" s="288"/>
      <c r="P5" s="268" t="s">
        <v>10</v>
      </c>
      <c r="Q5" s="268" t="s">
        <v>11</v>
      </c>
      <c r="R5" s="355" t="s">
        <v>12</v>
      </c>
    </row>
    <row r="6" spans="1:19" ht="23.25" customHeight="1">
      <c r="A6" s="271"/>
      <c r="B6" s="353"/>
      <c r="C6" s="271"/>
      <c r="D6" s="271"/>
      <c r="E6" s="270" t="s">
        <v>13</v>
      </c>
      <c r="F6" s="270" t="s">
        <v>14</v>
      </c>
      <c r="G6" s="227" t="s">
        <v>15</v>
      </c>
      <c r="H6" s="282" t="s">
        <v>16</v>
      </c>
      <c r="I6" s="284"/>
      <c r="J6" s="226" t="s">
        <v>17</v>
      </c>
      <c r="K6" s="286"/>
      <c r="L6" s="289"/>
      <c r="M6" s="290"/>
      <c r="N6" s="289"/>
      <c r="O6" s="290"/>
      <c r="P6" s="269"/>
      <c r="Q6" s="269"/>
      <c r="R6" s="356"/>
    </row>
    <row r="7" spans="1:19" ht="25.8" customHeight="1">
      <c r="A7" s="328"/>
      <c r="B7" s="354"/>
      <c r="C7" s="328"/>
      <c r="D7" s="328"/>
      <c r="E7" s="328"/>
      <c r="F7" s="328"/>
      <c r="G7" s="227" t="s">
        <v>18</v>
      </c>
      <c r="H7" s="225" t="s">
        <v>19</v>
      </c>
      <c r="I7" s="226" t="s">
        <v>18</v>
      </c>
      <c r="J7" s="226" t="s">
        <v>18</v>
      </c>
      <c r="K7" s="329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10"/>
      <c r="R7" s="357"/>
    </row>
    <row r="8" spans="1:19" s="97" customFormat="1" ht="23.4" customHeight="1">
      <c r="A8" s="200">
        <v>1</v>
      </c>
      <c r="B8" s="190" t="s">
        <v>190</v>
      </c>
      <c r="C8" s="198">
        <v>13</v>
      </c>
      <c r="D8" s="198" t="s">
        <v>80</v>
      </c>
      <c r="E8" s="11"/>
      <c r="F8" s="11" t="s">
        <v>73</v>
      </c>
      <c r="G8" s="233"/>
      <c r="H8" s="223">
        <v>54700</v>
      </c>
      <c r="I8" s="223">
        <v>1635.7883999999999</v>
      </c>
      <c r="J8" s="112"/>
      <c r="K8" s="112"/>
      <c r="L8" s="105"/>
      <c r="M8" s="18">
        <v>2200000</v>
      </c>
      <c r="N8" s="12"/>
      <c r="O8" s="12">
        <f>170*500</f>
        <v>85000</v>
      </c>
      <c r="P8" s="12"/>
      <c r="Q8" s="145">
        <f>SUM(L8:P8)</f>
        <v>2285000</v>
      </c>
      <c r="R8" s="127" t="s">
        <v>310</v>
      </c>
      <c r="S8" s="127"/>
    </row>
    <row r="9" spans="1:19" s="97" customFormat="1" ht="23.4" customHeight="1">
      <c r="A9" s="200">
        <v>2</v>
      </c>
      <c r="B9" s="190" t="s">
        <v>192</v>
      </c>
      <c r="C9" s="198" t="s">
        <v>295</v>
      </c>
      <c r="D9" s="198" t="s">
        <v>137</v>
      </c>
      <c r="E9" s="11"/>
      <c r="F9" s="11" t="s">
        <v>77</v>
      </c>
      <c r="G9" s="233"/>
      <c r="H9" s="223">
        <v>123000</v>
      </c>
      <c r="I9" s="223">
        <v>2139.3062</v>
      </c>
      <c r="J9" s="129"/>
      <c r="K9" s="153"/>
      <c r="L9" s="105"/>
      <c r="M9" s="18">
        <v>1750000</v>
      </c>
      <c r="N9" s="10"/>
      <c r="O9" s="10"/>
      <c r="P9" s="10"/>
      <c r="Q9" s="145">
        <f t="shared" ref="Q9:Q52" si="0">SUM(L9:P9)</f>
        <v>1750000</v>
      </c>
      <c r="R9" s="127" t="s">
        <v>51</v>
      </c>
    </row>
    <row r="10" spans="1:19" ht="23.4" customHeight="1">
      <c r="A10" s="200">
        <v>3</v>
      </c>
      <c r="B10" s="190" t="s">
        <v>193</v>
      </c>
      <c r="C10" s="198" t="s">
        <v>311</v>
      </c>
      <c r="D10" s="198" t="s">
        <v>49</v>
      </c>
      <c r="E10" s="11"/>
      <c r="F10" s="11" t="s">
        <v>86</v>
      </c>
      <c r="G10" s="74"/>
      <c r="H10" s="233">
        <f>158480+6000</f>
        <v>164480</v>
      </c>
      <c r="I10" s="223">
        <f>964.4454+148.747</f>
        <v>1113.1923999999999</v>
      </c>
      <c r="J10" s="112"/>
      <c r="K10" s="112"/>
      <c r="L10" s="105"/>
      <c r="M10" s="105">
        <v>700000</v>
      </c>
      <c r="N10" s="13"/>
      <c r="O10" s="13"/>
      <c r="P10" s="13"/>
      <c r="Q10" s="145">
        <f t="shared" si="0"/>
        <v>700000</v>
      </c>
      <c r="R10" s="110"/>
    </row>
    <row r="11" spans="1:19" ht="25.8" customHeight="1">
      <c r="A11" s="326">
        <v>4</v>
      </c>
      <c r="B11" s="346" t="s">
        <v>193</v>
      </c>
      <c r="C11" s="198">
        <v>26</v>
      </c>
      <c r="D11" s="198" t="s">
        <v>312</v>
      </c>
      <c r="E11" s="11"/>
      <c r="F11" s="11" t="s">
        <v>33</v>
      </c>
      <c r="G11" s="74">
        <v>100</v>
      </c>
      <c r="H11" s="233"/>
      <c r="I11" s="206"/>
      <c r="J11" s="88"/>
      <c r="K11" s="88"/>
      <c r="L11" s="312">
        <v>1100000</v>
      </c>
      <c r="M11" s="18"/>
      <c r="N11" s="13"/>
      <c r="O11" s="13"/>
      <c r="P11" s="13"/>
      <c r="Q11" s="344">
        <f>SUM(L11:P13)</f>
        <v>1959200</v>
      </c>
      <c r="R11" s="127"/>
    </row>
    <row r="12" spans="1:19" ht="23.4" customHeight="1">
      <c r="A12" s="338"/>
      <c r="B12" s="348"/>
      <c r="C12" s="198">
        <v>38</v>
      </c>
      <c r="D12" s="198" t="s">
        <v>68</v>
      </c>
      <c r="E12" s="11"/>
      <c r="F12" s="11" t="s">
        <v>61</v>
      </c>
      <c r="G12" s="74">
        <v>2500</v>
      </c>
      <c r="H12" s="233"/>
      <c r="I12" s="206"/>
      <c r="J12" s="88">
        <v>648</v>
      </c>
      <c r="K12" s="88"/>
      <c r="L12" s="313"/>
      <c r="M12" s="18"/>
      <c r="N12" s="200"/>
      <c r="O12" s="12"/>
      <c r="P12" s="12">
        <f>J12*400</f>
        <v>259200</v>
      </c>
      <c r="Q12" s="350"/>
      <c r="R12" s="78" t="s">
        <v>130</v>
      </c>
      <c r="S12" s="47"/>
    </row>
    <row r="13" spans="1:19" ht="23.4" customHeight="1">
      <c r="A13" s="327"/>
      <c r="B13" s="347"/>
      <c r="C13" s="198">
        <v>15</v>
      </c>
      <c r="D13" s="198" t="s">
        <v>56</v>
      </c>
      <c r="E13" s="11"/>
      <c r="F13" s="11" t="s">
        <v>33</v>
      </c>
      <c r="G13" s="74"/>
      <c r="H13" s="233">
        <v>31200</v>
      </c>
      <c r="I13" s="223">
        <v>636.63599999999997</v>
      </c>
      <c r="J13" s="88"/>
      <c r="K13" s="88"/>
      <c r="L13" s="73"/>
      <c r="M13" s="18">
        <v>600000</v>
      </c>
      <c r="N13" s="200"/>
      <c r="O13" s="12"/>
      <c r="P13" s="12"/>
      <c r="Q13" s="345"/>
      <c r="R13" s="127"/>
      <c r="S13" s="220"/>
    </row>
    <row r="14" spans="1:19" ht="22.8" customHeight="1">
      <c r="A14" s="200">
        <v>5</v>
      </c>
      <c r="B14" s="190" t="s">
        <v>194</v>
      </c>
      <c r="C14" s="198" t="s">
        <v>295</v>
      </c>
      <c r="D14" s="198" t="s">
        <v>121</v>
      </c>
      <c r="E14" s="11"/>
      <c r="F14" s="11" t="s">
        <v>114</v>
      </c>
      <c r="G14" s="74"/>
      <c r="H14" s="233">
        <v>33150</v>
      </c>
      <c r="I14" s="223">
        <v>1515.2507000000001</v>
      </c>
      <c r="J14" s="112"/>
      <c r="K14" s="230"/>
      <c r="L14" s="73"/>
      <c r="M14" s="13">
        <v>2250000</v>
      </c>
      <c r="N14" s="10"/>
      <c r="O14" s="10"/>
      <c r="P14" s="10"/>
      <c r="Q14" s="145">
        <f t="shared" si="0"/>
        <v>2250000</v>
      </c>
      <c r="R14" s="248" t="s">
        <v>51</v>
      </c>
    </row>
    <row r="15" spans="1:19" ht="23.4" customHeight="1">
      <c r="A15" s="200">
        <v>6</v>
      </c>
      <c r="B15" s="190" t="s">
        <v>196</v>
      </c>
      <c r="C15" s="198" t="s">
        <v>313</v>
      </c>
      <c r="D15" s="198" t="s">
        <v>303</v>
      </c>
      <c r="E15" s="11"/>
      <c r="F15" s="11" t="s">
        <v>54</v>
      </c>
      <c r="G15" s="74"/>
      <c r="H15" s="233">
        <f>14200+64450</f>
        <v>78650</v>
      </c>
      <c r="I15" s="223">
        <f>622.7078+1901.3025</f>
        <v>2524.0102999999999</v>
      </c>
      <c r="J15" s="112"/>
      <c r="K15" s="112"/>
      <c r="L15" s="73"/>
      <c r="M15" s="13">
        <v>1450000</v>
      </c>
      <c r="N15" s="13"/>
      <c r="O15" s="13"/>
      <c r="P15" s="13"/>
      <c r="Q15" s="145">
        <f t="shared" si="0"/>
        <v>1450000</v>
      </c>
      <c r="R15" s="127" t="s">
        <v>51</v>
      </c>
    </row>
    <row r="16" spans="1:19" ht="24.6" customHeight="1">
      <c r="A16" s="326">
        <v>7</v>
      </c>
      <c r="B16" s="346" t="s">
        <v>198</v>
      </c>
      <c r="C16" s="198" t="s">
        <v>314</v>
      </c>
      <c r="D16" s="198" t="s">
        <v>178</v>
      </c>
      <c r="E16" s="11"/>
      <c r="F16" s="11" t="s">
        <v>54</v>
      </c>
      <c r="G16" s="74"/>
      <c r="H16" s="233">
        <v>62900</v>
      </c>
      <c r="I16" s="223">
        <v>1760.35</v>
      </c>
      <c r="J16" s="112"/>
      <c r="K16" s="112"/>
      <c r="L16" s="73"/>
      <c r="M16" s="336">
        <v>1500000</v>
      </c>
      <c r="N16" s="13"/>
      <c r="O16" s="13"/>
      <c r="P16" s="13"/>
      <c r="Q16" s="344">
        <f>SUM(L16:P17)</f>
        <v>1500000</v>
      </c>
      <c r="R16" s="185"/>
    </row>
    <row r="17" spans="1:19" ht="23.4" customHeight="1">
      <c r="A17" s="327"/>
      <c r="B17" s="347"/>
      <c r="C17" s="198">
        <v>31</v>
      </c>
      <c r="D17" s="198" t="s">
        <v>56</v>
      </c>
      <c r="E17" s="11"/>
      <c r="F17" s="11" t="s">
        <v>33</v>
      </c>
      <c r="G17" s="74"/>
      <c r="H17" s="233">
        <v>32000</v>
      </c>
      <c r="I17" s="223">
        <v>480.96</v>
      </c>
      <c r="J17" s="112"/>
      <c r="K17" s="112"/>
      <c r="L17" s="73"/>
      <c r="M17" s="337"/>
      <c r="N17" s="13"/>
      <c r="O17" s="13"/>
      <c r="P17" s="13"/>
      <c r="Q17" s="345"/>
      <c r="R17" s="127"/>
    </row>
    <row r="18" spans="1:19" ht="23.4" customHeight="1">
      <c r="A18" s="326">
        <v>8</v>
      </c>
      <c r="B18" s="346" t="s">
        <v>200</v>
      </c>
      <c r="C18" s="198">
        <v>26</v>
      </c>
      <c r="D18" s="198" t="s">
        <v>79</v>
      </c>
      <c r="E18" s="11"/>
      <c r="F18" s="11" t="s">
        <v>77</v>
      </c>
      <c r="G18" s="74">
        <v>4200</v>
      </c>
      <c r="H18" s="74"/>
      <c r="I18" s="129"/>
      <c r="J18" s="112"/>
      <c r="K18" s="112"/>
      <c r="L18" s="262">
        <v>1800000</v>
      </c>
      <c r="M18" s="13"/>
      <c r="N18" s="13"/>
      <c r="O18" s="13"/>
      <c r="P18" s="13"/>
      <c r="Q18" s="344">
        <f>SUM(L18:P19)</f>
        <v>1800000</v>
      </c>
      <c r="R18" s="110"/>
    </row>
    <row r="19" spans="1:19" ht="23.4" customHeight="1">
      <c r="A19" s="327"/>
      <c r="B19" s="347"/>
      <c r="C19" s="198">
        <v>25</v>
      </c>
      <c r="D19" s="198" t="s">
        <v>65</v>
      </c>
      <c r="E19" s="11"/>
      <c r="F19" s="11" t="s">
        <v>66</v>
      </c>
      <c r="G19" s="74">
        <v>1240</v>
      </c>
      <c r="H19" s="74"/>
      <c r="I19" s="211"/>
      <c r="J19" s="112"/>
      <c r="K19" s="88"/>
      <c r="L19" s="263"/>
      <c r="M19" s="13"/>
      <c r="N19" s="10"/>
      <c r="O19" s="10"/>
      <c r="P19" s="10"/>
      <c r="Q19" s="345"/>
      <c r="R19" s="127"/>
    </row>
    <row r="20" spans="1:19" ht="23.4" customHeight="1">
      <c r="A20" s="326">
        <v>9</v>
      </c>
      <c r="B20" s="346" t="s">
        <v>203</v>
      </c>
      <c r="C20" s="198">
        <v>7</v>
      </c>
      <c r="D20" s="198" t="s">
        <v>96</v>
      </c>
      <c r="E20" s="11"/>
      <c r="F20" s="11" t="s">
        <v>46</v>
      </c>
      <c r="G20" s="74">
        <v>4012</v>
      </c>
      <c r="H20" s="233"/>
      <c r="I20" s="206"/>
      <c r="J20" s="112"/>
      <c r="K20" s="112"/>
      <c r="L20" s="73">
        <v>1000000</v>
      </c>
      <c r="M20" s="13"/>
      <c r="N20" s="13"/>
      <c r="O20" s="13"/>
      <c r="P20" s="13"/>
      <c r="Q20" s="344">
        <f>SUM(L20:P21)</f>
        <v>1550000</v>
      </c>
      <c r="R20" s="110" t="s">
        <v>51</v>
      </c>
    </row>
    <row r="21" spans="1:19" ht="22.8" customHeight="1">
      <c r="A21" s="327"/>
      <c r="B21" s="347"/>
      <c r="C21" s="198">
        <v>27</v>
      </c>
      <c r="D21" s="198" t="s">
        <v>113</v>
      </c>
      <c r="E21" s="11"/>
      <c r="F21" s="11" t="s">
        <v>64</v>
      </c>
      <c r="G21" s="74"/>
      <c r="H21" s="233">
        <v>51000</v>
      </c>
      <c r="I21" s="223">
        <v>561.63239999999996</v>
      </c>
      <c r="J21" s="88"/>
      <c r="K21" s="112"/>
      <c r="L21" s="73"/>
      <c r="M21" s="13">
        <v>550000</v>
      </c>
      <c r="N21" s="13"/>
      <c r="O21" s="13"/>
      <c r="P21" s="13"/>
      <c r="Q21" s="345"/>
      <c r="R21" s="185"/>
      <c r="S21" s="3"/>
    </row>
    <row r="22" spans="1:19" s="97" customFormat="1" ht="23.4" customHeight="1">
      <c r="A22" s="200">
        <v>10</v>
      </c>
      <c r="B22" s="190" t="s">
        <v>203</v>
      </c>
      <c r="C22" s="198" t="s">
        <v>162</v>
      </c>
      <c r="D22" s="198" t="s">
        <v>148</v>
      </c>
      <c r="E22" s="11"/>
      <c r="F22" s="11" t="s">
        <v>48</v>
      </c>
      <c r="G22" s="74"/>
      <c r="H22" s="233">
        <v>203200</v>
      </c>
      <c r="I22" s="223">
        <v>1699.9205999999999</v>
      </c>
      <c r="J22" s="9"/>
      <c r="K22" s="10"/>
      <c r="L22" s="13"/>
      <c r="M22" s="13">
        <v>1450000</v>
      </c>
      <c r="N22" s="13"/>
      <c r="O22" s="13">
        <v>200000</v>
      </c>
      <c r="P22" s="13"/>
      <c r="Q22" s="145">
        <f t="shared" si="0"/>
        <v>1650000</v>
      </c>
      <c r="R22" s="127" t="s">
        <v>98</v>
      </c>
    </row>
    <row r="23" spans="1:19" ht="23.4" customHeight="1">
      <c r="A23" s="326">
        <v>11</v>
      </c>
      <c r="B23" s="346" t="s">
        <v>205</v>
      </c>
      <c r="C23" s="198">
        <v>26</v>
      </c>
      <c r="D23" s="198" t="s">
        <v>70</v>
      </c>
      <c r="E23" s="11"/>
      <c r="F23" s="11" t="s">
        <v>76</v>
      </c>
      <c r="G23" s="74">
        <v>5520</v>
      </c>
      <c r="H23" s="74"/>
      <c r="I23" s="74"/>
      <c r="J23" s="9"/>
      <c r="K23" s="10"/>
      <c r="L23" s="336">
        <v>950000</v>
      </c>
      <c r="M23" s="13"/>
      <c r="N23" s="13"/>
      <c r="O23" s="13"/>
      <c r="P23" s="13"/>
      <c r="Q23" s="344">
        <f>SUM(L23:P24)</f>
        <v>950000</v>
      </c>
      <c r="R23" s="127"/>
    </row>
    <row r="24" spans="1:19" ht="23.4" customHeight="1">
      <c r="A24" s="327"/>
      <c r="B24" s="347"/>
      <c r="C24" s="198">
        <v>30</v>
      </c>
      <c r="D24" s="198" t="s">
        <v>180</v>
      </c>
      <c r="E24" s="11"/>
      <c r="F24" s="11" t="s">
        <v>50</v>
      </c>
      <c r="G24" s="74">
        <v>200</v>
      </c>
      <c r="H24" s="74"/>
      <c r="I24" s="74"/>
      <c r="J24" s="88"/>
      <c r="K24" s="200"/>
      <c r="L24" s="337"/>
      <c r="M24" s="13"/>
      <c r="N24" s="199"/>
      <c r="O24" s="13"/>
      <c r="P24" s="13"/>
      <c r="Q24" s="345"/>
      <c r="R24" s="127"/>
    </row>
    <row r="25" spans="1:19" ht="23.4" customHeight="1">
      <c r="A25" s="326">
        <v>12</v>
      </c>
      <c r="B25" s="346" t="s">
        <v>205</v>
      </c>
      <c r="C25" s="198">
        <v>15</v>
      </c>
      <c r="D25" s="198" t="s">
        <v>143</v>
      </c>
      <c r="E25" s="11"/>
      <c r="F25" s="11" t="s">
        <v>52</v>
      </c>
      <c r="G25" s="74">
        <v>1080</v>
      </c>
      <c r="H25" s="233"/>
      <c r="I25" s="223"/>
      <c r="J25" s="9"/>
      <c r="K25" s="10"/>
      <c r="L25" s="13">
        <v>300000</v>
      </c>
      <c r="M25" s="13"/>
      <c r="N25" s="13"/>
      <c r="O25" s="13"/>
      <c r="P25" s="13"/>
      <c r="Q25" s="344">
        <f>SUM(L25:P27)</f>
        <v>1400000</v>
      </c>
      <c r="R25" s="127" t="s">
        <v>51</v>
      </c>
    </row>
    <row r="26" spans="1:19" ht="23.4" customHeight="1">
      <c r="A26" s="338"/>
      <c r="B26" s="348"/>
      <c r="C26" s="198" t="s">
        <v>269</v>
      </c>
      <c r="D26" s="198" t="s">
        <v>113</v>
      </c>
      <c r="E26" s="11"/>
      <c r="F26" s="11" t="s">
        <v>52</v>
      </c>
      <c r="G26" s="74"/>
      <c r="H26" s="233">
        <v>94000</v>
      </c>
      <c r="I26" s="223">
        <v>1432.8676</v>
      </c>
      <c r="J26" s="9"/>
      <c r="K26" s="13"/>
      <c r="L26" s="13"/>
      <c r="M26" s="336">
        <v>1100000</v>
      </c>
      <c r="N26" s="10"/>
      <c r="O26" s="10"/>
      <c r="P26" s="10"/>
      <c r="Q26" s="350"/>
      <c r="R26" s="110" t="s">
        <v>53</v>
      </c>
    </row>
    <row r="27" spans="1:19" s="97" customFormat="1" ht="23.4" customHeight="1">
      <c r="A27" s="327"/>
      <c r="B27" s="347"/>
      <c r="C27" s="198">
        <v>52</v>
      </c>
      <c r="D27" s="198" t="s">
        <v>47</v>
      </c>
      <c r="E27" s="11"/>
      <c r="F27" s="11" t="s">
        <v>69</v>
      </c>
      <c r="G27" s="74"/>
      <c r="H27" s="233">
        <v>15000</v>
      </c>
      <c r="I27" s="223">
        <v>391.5</v>
      </c>
      <c r="J27" s="167"/>
      <c r="K27" s="13"/>
      <c r="L27" s="13"/>
      <c r="M27" s="337"/>
      <c r="N27" s="10"/>
      <c r="O27" s="10"/>
      <c r="P27" s="10"/>
      <c r="Q27" s="345"/>
      <c r="R27" s="194"/>
    </row>
    <row r="28" spans="1:19" ht="23.4" customHeight="1">
      <c r="A28" s="326">
        <v>13</v>
      </c>
      <c r="B28" s="346" t="s">
        <v>206</v>
      </c>
      <c r="C28" s="198">
        <v>25</v>
      </c>
      <c r="D28" s="198" t="s">
        <v>65</v>
      </c>
      <c r="E28" s="11"/>
      <c r="F28" s="11" t="s">
        <v>66</v>
      </c>
      <c r="G28" s="74">
        <f>2300+120</f>
        <v>2420</v>
      </c>
      <c r="H28" s="233"/>
      <c r="I28" s="223"/>
      <c r="J28" s="146"/>
      <c r="K28" s="13"/>
      <c r="L28" s="336">
        <v>1400000</v>
      </c>
      <c r="M28" s="13"/>
      <c r="N28" s="96"/>
      <c r="O28" s="96"/>
      <c r="P28" s="111"/>
      <c r="Q28" s="344">
        <f>SUM(L28:P30)</f>
        <v>1850000</v>
      </c>
      <c r="R28" s="127"/>
    </row>
    <row r="29" spans="1:19" ht="23.4" customHeight="1">
      <c r="A29" s="338"/>
      <c r="B29" s="348"/>
      <c r="C29" s="198">
        <v>32</v>
      </c>
      <c r="D29" s="198" t="s">
        <v>315</v>
      </c>
      <c r="E29" s="11"/>
      <c r="F29" s="11" t="s">
        <v>46</v>
      </c>
      <c r="G29" s="74">
        <v>2280</v>
      </c>
      <c r="H29" s="233"/>
      <c r="I29" s="223"/>
      <c r="J29" s="74"/>
      <c r="K29" s="109"/>
      <c r="L29" s="337"/>
      <c r="M29" s="83"/>
      <c r="N29" s="13"/>
      <c r="O29" s="13"/>
      <c r="P29" s="13"/>
      <c r="Q29" s="350"/>
      <c r="R29" s="127"/>
    </row>
    <row r="30" spans="1:19" ht="23.4" customHeight="1">
      <c r="A30" s="327"/>
      <c r="B30" s="347"/>
      <c r="C30" s="198">
        <v>27</v>
      </c>
      <c r="D30" s="198" t="s">
        <v>113</v>
      </c>
      <c r="E30" s="11"/>
      <c r="F30" s="11" t="s">
        <v>64</v>
      </c>
      <c r="G30" s="74"/>
      <c r="H30" s="233">
        <v>55350</v>
      </c>
      <c r="I30" s="223">
        <v>454.35149999999999</v>
      </c>
      <c r="J30" s="167"/>
      <c r="K30" s="109"/>
      <c r="L30" s="13"/>
      <c r="M30" s="83">
        <v>450000</v>
      </c>
      <c r="N30" s="13"/>
      <c r="O30" s="13"/>
      <c r="P30" s="13"/>
      <c r="Q30" s="345"/>
      <c r="R30" s="127" t="s">
        <v>51</v>
      </c>
    </row>
    <row r="31" spans="1:19" ht="23.4" customHeight="1">
      <c r="A31" s="200">
        <v>14</v>
      </c>
      <c r="B31" s="190" t="s">
        <v>208</v>
      </c>
      <c r="C31" s="198" t="s">
        <v>316</v>
      </c>
      <c r="D31" s="198" t="s">
        <v>82</v>
      </c>
      <c r="E31" s="11"/>
      <c r="F31" s="11" t="s">
        <v>64</v>
      </c>
      <c r="G31" s="74"/>
      <c r="H31" s="233">
        <v>102000</v>
      </c>
      <c r="I31" s="223">
        <v>2134.1460000000002</v>
      </c>
      <c r="J31" s="74"/>
      <c r="K31" s="109"/>
      <c r="L31" s="13"/>
      <c r="M31" s="83">
        <v>1400000</v>
      </c>
      <c r="N31" s="13"/>
      <c r="O31" s="13"/>
      <c r="P31" s="13"/>
      <c r="Q31" s="145">
        <f t="shared" si="0"/>
        <v>1400000</v>
      </c>
      <c r="R31" s="127"/>
    </row>
    <row r="32" spans="1:19" ht="24.6" customHeight="1">
      <c r="A32" s="200">
        <v>15</v>
      </c>
      <c r="B32" s="190" t="s">
        <v>209</v>
      </c>
      <c r="C32" s="198">
        <v>23</v>
      </c>
      <c r="D32" s="198" t="s">
        <v>317</v>
      </c>
      <c r="E32" s="11"/>
      <c r="F32" s="11" t="s">
        <v>108</v>
      </c>
      <c r="G32" s="74"/>
      <c r="H32" s="233">
        <v>114600</v>
      </c>
      <c r="I32" s="223">
        <v>687.6</v>
      </c>
      <c r="J32" s="9"/>
      <c r="K32" s="109"/>
      <c r="L32" s="13"/>
      <c r="M32" s="13">
        <v>2050000</v>
      </c>
      <c r="N32" s="13"/>
      <c r="O32" s="13">
        <v>1025000</v>
      </c>
      <c r="P32" s="13"/>
      <c r="Q32" s="145">
        <f t="shared" si="0"/>
        <v>3075000</v>
      </c>
      <c r="R32" s="208" t="s">
        <v>318</v>
      </c>
    </row>
    <row r="33" spans="1:26" ht="23.4" customHeight="1">
      <c r="A33" s="326">
        <v>16</v>
      </c>
      <c r="B33" s="346" t="s">
        <v>211</v>
      </c>
      <c r="C33" s="198">
        <v>1</v>
      </c>
      <c r="D33" s="198" t="s">
        <v>319</v>
      </c>
      <c r="E33" s="11"/>
      <c r="F33" s="11" t="s">
        <v>92</v>
      </c>
      <c r="G33" s="74">
        <v>1000</v>
      </c>
      <c r="H33" s="74"/>
      <c r="I33" s="129"/>
      <c r="J33" s="146"/>
      <c r="K33" s="88"/>
      <c r="L33" s="336">
        <v>1550000</v>
      </c>
      <c r="M33" s="13"/>
      <c r="N33" s="13"/>
      <c r="O33" s="13"/>
      <c r="P33" s="13"/>
      <c r="Q33" s="344">
        <f>SUM(L33:P34)</f>
        <v>2214800</v>
      </c>
      <c r="R33" s="127" t="s">
        <v>51</v>
      </c>
      <c r="S33" s="97"/>
      <c r="T33" s="97"/>
      <c r="U33" s="97"/>
      <c r="V33" s="97"/>
      <c r="W33" s="97"/>
      <c r="X33" s="97"/>
      <c r="Y33" s="97"/>
      <c r="Z33" s="97"/>
    </row>
    <row r="34" spans="1:26" ht="23.4" customHeight="1">
      <c r="A34" s="327"/>
      <c r="B34" s="347"/>
      <c r="C34" s="198" t="s">
        <v>141</v>
      </c>
      <c r="D34" s="198" t="s">
        <v>68</v>
      </c>
      <c r="E34" s="11"/>
      <c r="F34" s="11" t="s">
        <v>61</v>
      </c>
      <c r="G34" s="233">
        <f>2500+1000</f>
        <v>3500</v>
      </c>
      <c r="H34" s="74"/>
      <c r="I34" s="129"/>
      <c r="J34" s="167">
        <v>1662</v>
      </c>
      <c r="K34" s="175"/>
      <c r="L34" s="337"/>
      <c r="M34" s="13"/>
      <c r="N34" s="175"/>
      <c r="O34" s="176"/>
      <c r="P34" s="13">
        <f>J34*400</f>
        <v>664800</v>
      </c>
      <c r="Q34" s="345"/>
      <c r="R34" s="127" t="s">
        <v>130</v>
      </c>
      <c r="S34" s="97"/>
      <c r="T34" s="97"/>
      <c r="U34" s="97"/>
      <c r="V34" s="97"/>
      <c r="W34" s="97"/>
      <c r="X34" s="97"/>
      <c r="Y34" s="97"/>
      <c r="Z34" s="97"/>
    </row>
    <row r="35" spans="1:26" ht="23.4" customHeight="1">
      <c r="A35" s="326">
        <v>17</v>
      </c>
      <c r="B35" s="346" t="s">
        <v>248</v>
      </c>
      <c r="C35" s="198" t="s">
        <v>186</v>
      </c>
      <c r="D35" s="198" t="s">
        <v>68</v>
      </c>
      <c r="E35" s="11"/>
      <c r="F35" s="11" t="s">
        <v>61</v>
      </c>
      <c r="G35" s="74">
        <v>4000</v>
      </c>
      <c r="H35" s="233"/>
      <c r="I35" s="206"/>
      <c r="J35" s="167"/>
      <c r="K35" s="88"/>
      <c r="L35" s="13">
        <v>1400000</v>
      </c>
      <c r="M35" s="13"/>
      <c r="N35" s="13"/>
      <c r="O35" s="13"/>
      <c r="P35" s="13">
        <v>650000</v>
      </c>
      <c r="Q35" s="344">
        <f>SUM(L35:P36)</f>
        <v>2850000</v>
      </c>
      <c r="R35" s="208" t="s">
        <v>320</v>
      </c>
      <c r="S35" s="3"/>
    </row>
    <row r="36" spans="1:26" s="97" customFormat="1" ht="25.2" customHeight="1">
      <c r="A36" s="327"/>
      <c r="B36" s="347"/>
      <c r="C36" s="198">
        <v>42</v>
      </c>
      <c r="D36" s="198" t="s">
        <v>120</v>
      </c>
      <c r="E36" s="11"/>
      <c r="F36" s="11" t="s">
        <v>54</v>
      </c>
      <c r="G36" s="74"/>
      <c r="H36" s="233">
        <v>10200</v>
      </c>
      <c r="I36" s="223">
        <v>88.74</v>
      </c>
      <c r="J36" s="167"/>
      <c r="K36" s="88"/>
      <c r="L36" s="13"/>
      <c r="M36" s="13">
        <v>100000</v>
      </c>
      <c r="N36" s="13"/>
      <c r="O36" s="13">
        <v>700000</v>
      </c>
      <c r="P36" s="13"/>
      <c r="Q36" s="345"/>
      <c r="R36" s="208" t="s">
        <v>321</v>
      </c>
      <c r="S36" s="208" t="s">
        <v>322</v>
      </c>
      <c r="T36" s="1"/>
      <c r="U36" s="1"/>
      <c r="V36" s="1"/>
      <c r="W36" s="1"/>
      <c r="X36" s="1"/>
      <c r="Y36" s="1"/>
      <c r="Z36" s="1"/>
    </row>
    <row r="37" spans="1:26" s="97" customFormat="1" ht="23.4" customHeight="1">
      <c r="A37" s="326">
        <v>18</v>
      </c>
      <c r="B37" s="346" t="s">
        <v>250</v>
      </c>
      <c r="C37" s="198" t="s">
        <v>323</v>
      </c>
      <c r="D37" s="198" t="s">
        <v>90</v>
      </c>
      <c r="E37" s="11"/>
      <c r="F37" s="11" t="s">
        <v>66</v>
      </c>
      <c r="G37" s="74"/>
      <c r="H37" s="233">
        <f>144490+51000</f>
        <v>195490</v>
      </c>
      <c r="I37" s="223">
        <f>1184.4666+561.6324</f>
        <v>1746.0989999999999</v>
      </c>
      <c r="J37" s="146"/>
      <c r="K37" s="88"/>
      <c r="L37" s="13"/>
      <c r="M37" s="336">
        <v>1700000</v>
      </c>
      <c r="N37" s="13"/>
      <c r="O37" s="13"/>
      <c r="P37" s="13"/>
      <c r="Q37" s="344">
        <f>SUM(L37:P38)</f>
        <v>1700000</v>
      </c>
      <c r="R37" s="78"/>
      <c r="S37" s="1"/>
      <c r="T37" s="1"/>
      <c r="U37" s="1"/>
      <c r="V37" s="1"/>
      <c r="W37" s="1"/>
      <c r="X37" s="1"/>
      <c r="Y37" s="1"/>
      <c r="Z37" s="1"/>
    </row>
    <row r="38" spans="1:26" ht="23.4" customHeight="1">
      <c r="A38" s="327"/>
      <c r="B38" s="347"/>
      <c r="C38" s="198">
        <v>14</v>
      </c>
      <c r="D38" s="198" t="s">
        <v>106</v>
      </c>
      <c r="E38" s="11"/>
      <c r="F38" s="11" t="s">
        <v>48</v>
      </c>
      <c r="G38" s="74"/>
      <c r="H38" s="233">
        <v>37000</v>
      </c>
      <c r="I38" s="223">
        <v>449.21100000000001</v>
      </c>
      <c r="J38" s="146"/>
      <c r="K38" s="112"/>
      <c r="L38" s="13"/>
      <c r="M38" s="337"/>
      <c r="N38" s="13"/>
      <c r="O38" s="13"/>
      <c r="P38" s="13"/>
      <c r="Q38" s="345"/>
      <c r="R38" s="127"/>
      <c r="S38" s="97"/>
      <c r="T38" s="97"/>
      <c r="U38" s="97"/>
      <c r="V38" s="97"/>
      <c r="W38" s="97"/>
      <c r="X38" s="97"/>
      <c r="Y38" s="97"/>
      <c r="Z38" s="97"/>
    </row>
    <row r="39" spans="1:26" ht="24.6" customHeight="1">
      <c r="A39" s="326">
        <v>19</v>
      </c>
      <c r="B39" s="346" t="s">
        <v>212</v>
      </c>
      <c r="C39" s="198">
        <v>18</v>
      </c>
      <c r="D39" s="198" t="s">
        <v>55</v>
      </c>
      <c r="E39" s="11"/>
      <c r="F39" s="11" t="s">
        <v>71</v>
      </c>
      <c r="G39" s="74"/>
      <c r="H39" s="233">
        <v>16200</v>
      </c>
      <c r="I39" s="223">
        <v>512.48699999999997</v>
      </c>
      <c r="J39" s="88"/>
      <c r="K39" s="112"/>
      <c r="L39" s="13"/>
      <c r="M39" s="13">
        <v>700000</v>
      </c>
      <c r="N39" s="13"/>
      <c r="O39" s="13"/>
      <c r="P39" s="13"/>
      <c r="Q39" s="344">
        <f>SUM(L39:P40)</f>
        <v>2300000</v>
      </c>
      <c r="R39" s="127"/>
      <c r="S39" s="97"/>
      <c r="T39" s="97"/>
      <c r="U39" s="97"/>
      <c r="V39" s="97"/>
      <c r="W39" s="97"/>
      <c r="X39" s="97"/>
      <c r="Y39" s="97"/>
      <c r="Z39" s="97"/>
    </row>
    <row r="40" spans="1:26" ht="23.4" customHeight="1">
      <c r="A40" s="327"/>
      <c r="B40" s="347"/>
      <c r="C40" s="198">
        <v>41</v>
      </c>
      <c r="D40" s="198" t="s">
        <v>133</v>
      </c>
      <c r="E40" s="11"/>
      <c r="F40" s="11" t="s">
        <v>71</v>
      </c>
      <c r="G40" s="74">
        <v>2091</v>
      </c>
      <c r="H40" s="233"/>
      <c r="I40" s="223"/>
      <c r="J40" s="88">
        <v>619</v>
      </c>
      <c r="K40" s="112"/>
      <c r="L40" s="13">
        <v>900000</v>
      </c>
      <c r="M40" s="13"/>
      <c r="N40" s="13"/>
      <c r="O40" s="13"/>
      <c r="P40" s="13">
        <v>700000</v>
      </c>
      <c r="Q40" s="345"/>
      <c r="R40" s="208" t="s">
        <v>324</v>
      </c>
      <c r="S40" s="97"/>
      <c r="T40" s="97"/>
      <c r="U40" s="97"/>
      <c r="V40" s="97"/>
      <c r="W40" s="97"/>
      <c r="X40" s="97"/>
      <c r="Y40" s="97"/>
      <c r="Z40" s="97"/>
    </row>
    <row r="41" spans="1:26" ht="25.2" customHeight="1">
      <c r="A41" s="231">
        <v>20</v>
      </c>
      <c r="B41" s="236" t="s">
        <v>213</v>
      </c>
      <c r="C41" s="198">
        <v>6</v>
      </c>
      <c r="D41" s="198" t="s">
        <v>325</v>
      </c>
      <c r="E41" s="11"/>
      <c r="F41" s="11" t="s">
        <v>73</v>
      </c>
      <c r="G41" s="74"/>
      <c r="H41" s="233">
        <v>336000</v>
      </c>
      <c r="I41" s="223">
        <v>1344</v>
      </c>
      <c r="J41" s="88"/>
      <c r="K41" s="112"/>
      <c r="L41" s="13"/>
      <c r="M41" s="13">
        <v>2200000</v>
      </c>
      <c r="N41" s="13"/>
      <c r="O41" s="13"/>
      <c r="P41" s="13"/>
      <c r="Q41" s="237">
        <f>SUM(L41:P41)</f>
        <v>2200000</v>
      </c>
      <c r="R41" s="208"/>
      <c r="S41" s="97"/>
      <c r="T41" s="97"/>
      <c r="U41" s="97"/>
      <c r="V41" s="97"/>
      <c r="W41" s="97"/>
      <c r="X41" s="97"/>
      <c r="Y41" s="97"/>
      <c r="Z41" s="97"/>
    </row>
    <row r="42" spans="1:26" s="97" customFormat="1" ht="23.4" customHeight="1">
      <c r="A42" s="326">
        <v>21</v>
      </c>
      <c r="B42" s="346" t="s">
        <v>215</v>
      </c>
      <c r="C42" s="198" t="s">
        <v>249</v>
      </c>
      <c r="D42" s="198" t="s">
        <v>326</v>
      </c>
      <c r="E42" s="11"/>
      <c r="F42" s="11" t="s">
        <v>33</v>
      </c>
      <c r="G42" s="74"/>
      <c r="H42" s="233">
        <v>39800</v>
      </c>
      <c r="I42" s="223">
        <v>1382.3939</v>
      </c>
      <c r="J42" s="88"/>
      <c r="K42" s="88"/>
      <c r="L42" s="13"/>
      <c r="M42" s="13">
        <v>850000</v>
      </c>
      <c r="N42" s="13"/>
      <c r="O42" s="13"/>
      <c r="P42" s="13"/>
      <c r="Q42" s="344">
        <f>SUM(L42:P43)</f>
        <v>2567600</v>
      </c>
      <c r="R42" s="127"/>
    </row>
    <row r="43" spans="1:26" s="97" customFormat="1" ht="23.4" customHeight="1">
      <c r="A43" s="327"/>
      <c r="B43" s="347"/>
      <c r="C43" s="198" t="s">
        <v>327</v>
      </c>
      <c r="D43" s="198" t="s">
        <v>68</v>
      </c>
      <c r="E43" s="11"/>
      <c r="F43" s="11" t="s">
        <v>61</v>
      </c>
      <c r="G43" s="74">
        <v>5000</v>
      </c>
      <c r="H43" s="233"/>
      <c r="I43" s="223"/>
      <c r="J43" s="9">
        <v>2044</v>
      </c>
      <c r="K43" s="88"/>
      <c r="L43" s="13">
        <v>900000</v>
      </c>
      <c r="M43" s="13"/>
      <c r="N43" s="13"/>
      <c r="O43" s="13"/>
      <c r="P43" s="13">
        <f>J43*400</f>
        <v>817600</v>
      </c>
      <c r="Q43" s="345"/>
      <c r="R43" s="185" t="s">
        <v>130</v>
      </c>
    </row>
    <row r="44" spans="1:26" s="97" customFormat="1" ht="23.4" customHeight="1">
      <c r="A44" s="326">
        <v>22</v>
      </c>
      <c r="B44" s="346" t="s">
        <v>219</v>
      </c>
      <c r="C44" s="198">
        <v>2</v>
      </c>
      <c r="D44" s="198" t="s">
        <v>113</v>
      </c>
      <c r="E44" s="11"/>
      <c r="F44" s="11" t="s">
        <v>66</v>
      </c>
      <c r="G44" s="74"/>
      <c r="H44" s="233">
        <v>132300</v>
      </c>
      <c r="I44" s="223">
        <v>1567.7194</v>
      </c>
      <c r="J44" s="88"/>
      <c r="K44" s="88"/>
      <c r="L44" s="13"/>
      <c r="M44" s="336">
        <v>1850000</v>
      </c>
      <c r="N44" s="13"/>
      <c r="O44" s="13"/>
      <c r="P44" s="13"/>
      <c r="Q44" s="344">
        <f>SUM(L44:P46)</f>
        <v>1850000</v>
      </c>
      <c r="R44" s="78" t="s">
        <v>51</v>
      </c>
    </row>
    <row r="45" spans="1:26" s="97" customFormat="1" ht="23.4" customHeight="1">
      <c r="A45" s="338"/>
      <c r="B45" s="348"/>
      <c r="C45" s="198">
        <v>18</v>
      </c>
      <c r="D45" s="198" t="s">
        <v>78</v>
      </c>
      <c r="E45" s="11"/>
      <c r="F45" s="11" t="s">
        <v>48</v>
      </c>
      <c r="G45" s="74"/>
      <c r="H45" s="233">
        <v>61000</v>
      </c>
      <c r="I45" s="223">
        <v>654.49120000000005</v>
      </c>
      <c r="J45" s="88"/>
      <c r="K45" s="88"/>
      <c r="L45" s="13"/>
      <c r="M45" s="349"/>
      <c r="N45" s="13"/>
      <c r="O45" s="13"/>
      <c r="P45" s="13"/>
      <c r="Q45" s="350"/>
      <c r="R45" s="78"/>
    </row>
    <row r="46" spans="1:26" s="97" customFormat="1" ht="23.4" customHeight="1">
      <c r="A46" s="327"/>
      <c r="B46" s="347"/>
      <c r="C46" s="198">
        <v>17</v>
      </c>
      <c r="D46" s="198" t="s">
        <v>148</v>
      </c>
      <c r="E46" s="11"/>
      <c r="F46" s="11" t="s">
        <v>48</v>
      </c>
      <c r="G46" s="74"/>
      <c r="H46" s="233">
        <v>20000</v>
      </c>
      <c r="I46" s="223">
        <v>130.23439999999999</v>
      </c>
      <c r="J46" s="88"/>
      <c r="K46" s="88"/>
      <c r="L46" s="13"/>
      <c r="M46" s="337"/>
      <c r="N46" s="13"/>
      <c r="O46" s="13"/>
      <c r="P46" s="13"/>
      <c r="Q46" s="345"/>
      <c r="R46" s="127"/>
      <c r="S46" s="1"/>
      <c r="T46" s="1"/>
      <c r="U46" s="1"/>
      <c r="V46" s="1"/>
      <c r="W46" s="1"/>
      <c r="X46" s="1"/>
      <c r="Y46" s="1"/>
      <c r="Z46" s="1"/>
    </row>
    <row r="47" spans="1:26" s="97" customFormat="1" ht="23.4" customHeight="1">
      <c r="A47" s="200">
        <v>23</v>
      </c>
      <c r="B47" s="190" t="s">
        <v>221</v>
      </c>
      <c r="C47" s="198" t="s">
        <v>328</v>
      </c>
      <c r="D47" s="198" t="s">
        <v>137</v>
      </c>
      <c r="E47" s="11"/>
      <c r="F47" s="11" t="s">
        <v>77</v>
      </c>
      <c r="G47" s="74"/>
      <c r="H47" s="233">
        <f>29700+45900+13800</f>
        <v>89400</v>
      </c>
      <c r="I47" s="223">
        <f>916.245+889.815+347.484</f>
        <v>2153.5439999999999</v>
      </c>
      <c r="J47" s="9"/>
      <c r="K47" s="13"/>
      <c r="L47" s="13"/>
      <c r="M47" s="13">
        <v>1750000</v>
      </c>
      <c r="N47" s="13"/>
      <c r="O47" s="13"/>
      <c r="P47" s="13"/>
      <c r="Q47" s="145">
        <f t="shared" si="0"/>
        <v>1750000</v>
      </c>
      <c r="R47" s="127" t="s">
        <v>51</v>
      </c>
      <c r="S47" s="1"/>
      <c r="T47" s="1"/>
      <c r="U47" s="1"/>
      <c r="V47" s="1"/>
      <c r="W47" s="1"/>
      <c r="X47" s="1"/>
      <c r="Y47" s="1"/>
      <c r="Z47" s="1"/>
    </row>
    <row r="48" spans="1:26" ht="23.4" customHeight="1">
      <c r="A48" s="326">
        <v>24</v>
      </c>
      <c r="B48" s="346" t="s">
        <v>225</v>
      </c>
      <c r="C48" s="198">
        <v>15</v>
      </c>
      <c r="D48" s="198" t="s">
        <v>80</v>
      </c>
      <c r="E48" s="11"/>
      <c r="F48" s="11" t="s">
        <v>73</v>
      </c>
      <c r="G48" s="74"/>
      <c r="H48" s="233">
        <v>61010</v>
      </c>
      <c r="I48" s="223">
        <v>1431.3179</v>
      </c>
      <c r="J48" s="112"/>
      <c r="K48" s="112"/>
      <c r="L48" s="13"/>
      <c r="M48" s="336">
        <v>2300000</v>
      </c>
      <c r="N48" s="13"/>
      <c r="O48" s="13">
        <f>142*500</f>
        <v>71000</v>
      </c>
      <c r="P48" s="13"/>
      <c r="Q48" s="344">
        <f>SUM(L48:P49)</f>
        <v>2371000</v>
      </c>
      <c r="R48" s="78" t="s">
        <v>329</v>
      </c>
    </row>
    <row r="49" spans="1:26" s="97" customFormat="1" ht="23.4" customHeight="1">
      <c r="A49" s="327"/>
      <c r="B49" s="347"/>
      <c r="C49" s="198">
        <v>17</v>
      </c>
      <c r="D49" s="198" t="s">
        <v>97</v>
      </c>
      <c r="E49" s="11"/>
      <c r="F49" s="11" t="s">
        <v>73</v>
      </c>
      <c r="G49" s="74"/>
      <c r="H49" s="233">
        <v>10500</v>
      </c>
      <c r="I49" s="223">
        <v>131.25</v>
      </c>
      <c r="J49" s="88"/>
      <c r="K49" s="88"/>
      <c r="L49" s="13"/>
      <c r="M49" s="337"/>
      <c r="N49" s="13"/>
      <c r="O49" s="13"/>
      <c r="P49" s="13"/>
      <c r="Q49" s="345"/>
      <c r="R49" s="78"/>
      <c r="S49" s="1"/>
      <c r="T49" s="1"/>
      <c r="U49" s="1"/>
      <c r="V49" s="1"/>
      <c r="W49" s="1"/>
      <c r="X49" s="1"/>
      <c r="Y49" s="1"/>
      <c r="Z49" s="1"/>
    </row>
    <row r="50" spans="1:26" ht="23.4" customHeight="1">
      <c r="A50" s="326">
        <v>25</v>
      </c>
      <c r="B50" s="346" t="s">
        <v>228</v>
      </c>
      <c r="C50" s="198">
        <v>12</v>
      </c>
      <c r="D50" s="198" t="s">
        <v>56</v>
      </c>
      <c r="E50" s="11"/>
      <c r="F50" s="11" t="s">
        <v>33</v>
      </c>
      <c r="G50" s="74"/>
      <c r="H50" s="233">
        <v>78000</v>
      </c>
      <c r="I50" s="223">
        <v>1172.3399999999999</v>
      </c>
      <c r="J50" s="167"/>
      <c r="K50" s="112"/>
      <c r="L50" s="13"/>
      <c r="M50" s="336">
        <v>2150000</v>
      </c>
      <c r="N50" s="13"/>
      <c r="O50" s="13"/>
      <c r="P50" s="13"/>
      <c r="Q50" s="344">
        <f>SUM(L50:P51)</f>
        <v>2150000</v>
      </c>
      <c r="R50" s="127"/>
    </row>
    <row r="51" spans="1:26" ht="23.4" customHeight="1">
      <c r="A51" s="327"/>
      <c r="B51" s="347"/>
      <c r="C51" s="198" t="s">
        <v>330</v>
      </c>
      <c r="D51" s="198" t="s">
        <v>331</v>
      </c>
      <c r="E51" s="11"/>
      <c r="F51" s="11" t="s">
        <v>332</v>
      </c>
      <c r="G51" s="74"/>
      <c r="H51" s="233">
        <f>142800+1559</f>
        <v>144359</v>
      </c>
      <c r="I51" s="223">
        <f>2265.7446+29.621</f>
        <v>2295.3656000000001</v>
      </c>
      <c r="J51" s="74"/>
      <c r="K51" s="112"/>
      <c r="L51" s="13"/>
      <c r="M51" s="337"/>
      <c r="N51" s="13"/>
      <c r="O51" s="13"/>
      <c r="P51" s="13"/>
      <c r="Q51" s="345"/>
      <c r="R51" s="127"/>
    </row>
    <row r="52" spans="1:26" ht="23.4" customHeight="1">
      <c r="A52" s="200">
        <v>26</v>
      </c>
      <c r="B52" s="190" t="s">
        <v>232</v>
      </c>
      <c r="C52" s="198">
        <v>10</v>
      </c>
      <c r="D52" s="198" t="s">
        <v>187</v>
      </c>
      <c r="E52" s="11"/>
      <c r="F52" s="11" t="s">
        <v>128</v>
      </c>
      <c r="G52" s="74"/>
      <c r="H52" s="233">
        <v>190080</v>
      </c>
      <c r="I52" s="223">
        <v>1838.0735999999999</v>
      </c>
      <c r="J52" s="112"/>
      <c r="K52" s="112"/>
      <c r="L52" s="13"/>
      <c r="M52" s="13">
        <v>1700000</v>
      </c>
      <c r="N52" s="13"/>
      <c r="O52" s="13"/>
      <c r="P52" s="13"/>
      <c r="Q52" s="145">
        <f t="shared" si="0"/>
        <v>1700000</v>
      </c>
      <c r="R52" s="127"/>
    </row>
    <row r="53" spans="1:26" s="21" customFormat="1" ht="23.4" customHeight="1">
      <c r="A53" s="323" t="s">
        <v>20</v>
      </c>
      <c r="B53" s="324"/>
      <c r="C53" s="324"/>
      <c r="D53" s="324"/>
      <c r="E53" s="324"/>
      <c r="F53" s="325"/>
      <c r="G53" s="20">
        <f t="shared" ref="G53:Q53" si="1">SUM(G8:G52)</f>
        <v>39143</v>
      </c>
      <c r="H53" s="20">
        <f t="shared" si="1"/>
        <v>2636569</v>
      </c>
      <c r="I53" s="20">
        <f t="shared" si="1"/>
        <v>36064.779100000007</v>
      </c>
      <c r="J53" s="20">
        <f t="shared" si="1"/>
        <v>4973</v>
      </c>
      <c r="K53" s="20">
        <f t="shared" si="1"/>
        <v>0</v>
      </c>
      <c r="L53" s="20">
        <f t="shared" si="1"/>
        <v>11300000</v>
      </c>
      <c r="M53" s="20">
        <f t="shared" si="1"/>
        <v>32750000</v>
      </c>
      <c r="N53" s="20">
        <f t="shared" si="1"/>
        <v>0</v>
      </c>
      <c r="O53" s="20">
        <f t="shared" si="1"/>
        <v>2081000</v>
      </c>
      <c r="P53" s="20">
        <f t="shared" si="1"/>
        <v>3091600</v>
      </c>
      <c r="Q53" s="140">
        <f>SUM(Q8:Q52)</f>
        <v>49222600</v>
      </c>
      <c r="R53" s="98"/>
      <c r="S53" s="215"/>
    </row>
    <row r="54" spans="1:26" s="21" customFormat="1" ht="23.4" customHeight="1">
      <c r="A54" s="318" t="s">
        <v>21</v>
      </c>
      <c r="B54" s="319"/>
      <c r="C54" s="319"/>
      <c r="D54" s="319"/>
      <c r="E54" s="319"/>
      <c r="F54" s="3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>8%*Q53</f>
        <v>3937808</v>
      </c>
      <c r="R54" s="63"/>
      <c r="S54" s="30"/>
    </row>
    <row r="55" spans="1:26" s="21" customFormat="1" ht="23.4" customHeight="1">
      <c r="A55" s="318" t="s">
        <v>22</v>
      </c>
      <c r="B55" s="319"/>
      <c r="C55" s="319"/>
      <c r="D55" s="319"/>
      <c r="E55" s="319"/>
      <c r="F55" s="3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f>Q54+Q53</f>
        <v>53160408</v>
      </c>
      <c r="R55" s="64"/>
      <c r="S55" s="30"/>
    </row>
    <row r="56" spans="1:26" s="21" customFormat="1" ht="23.4" customHeight="1">
      <c r="A56" s="51"/>
      <c r="B56" s="99"/>
      <c r="C56" s="23"/>
      <c r="D56" s="23"/>
      <c r="E56" s="23"/>
      <c r="F56" s="2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48"/>
      <c r="S56" s="30"/>
    </row>
    <row r="57" spans="1:26" s="21" customFormat="1" ht="23.4" customHeight="1">
      <c r="A57" s="291" t="s">
        <v>23</v>
      </c>
      <c r="B57" s="292"/>
      <c r="C57" s="292"/>
      <c r="D57" s="292"/>
      <c r="E57" s="292"/>
      <c r="F57" s="293"/>
      <c r="G57" s="27">
        <f>G53</f>
        <v>39143</v>
      </c>
      <c r="H57" s="27"/>
      <c r="I57" s="27"/>
      <c r="J57" s="27"/>
      <c r="K57" s="28">
        <f>G53+J53</f>
        <v>44116</v>
      </c>
      <c r="L57" s="27"/>
      <c r="M57" s="27"/>
      <c r="N57" s="27"/>
      <c r="O57" s="27"/>
      <c r="P57" s="27"/>
      <c r="Q57" s="27">
        <f>L53+N53</f>
        <v>11300000</v>
      </c>
      <c r="R57" s="67">
        <f>Q57/G57</f>
        <v>288.68507779168687</v>
      </c>
      <c r="S57" s="1"/>
      <c r="T57" s="1"/>
      <c r="U57" s="1"/>
      <c r="V57" s="1"/>
      <c r="W57" s="1"/>
      <c r="X57" s="1"/>
      <c r="Y57" s="1"/>
      <c r="Z57" s="1"/>
    </row>
    <row r="58" spans="1:26" s="21" customFormat="1" ht="22.8" customHeight="1">
      <c r="A58" s="291" t="s">
        <v>24</v>
      </c>
      <c r="B58" s="292"/>
      <c r="C58" s="292"/>
      <c r="D58" s="292"/>
      <c r="E58" s="292"/>
      <c r="F58" s="293"/>
      <c r="G58" s="27"/>
      <c r="H58" s="27"/>
      <c r="I58" s="27">
        <f>I53</f>
        <v>36064.779100000007</v>
      </c>
      <c r="J58" s="27">
        <f>J53</f>
        <v>4973</v>
      </c>
      <c r="K58" s="27"/>
      <c r="L58" s="27"/>
      <c r="M58" s="27"/>
      <c r="N58" s="27"/>
      <c r="O58" s="27"/>
      <c r="P58" s="27"/>
      <c r="Q58" s="27">
        <f>M53+O53</f>
        <v>34831000</v>
      </c>
      <c r="R58" s="67">
        <f>Q58/I58</f>
        <v>965.78991662255862</v>
      </c>
      <c r="S58" s="1"/>
      <c r="T58" s="1"/>
      <c r="U58" s="1"/>
      <c r="V58" s="1"/>
      <c r="W58" s="1"/>
      <c r="X58" s="1"/>
      <c r="Y58" s="1"/>
      <c r="Z58" s="1"/>
    </row>
    <row r="59" spans="1:26" s="21" customFormat="1" ht="23.4" customHeight="1">
      <c r="A59" s="291" t="s">
        <v>25</v>
      </c>
      <c r="B59" s="292"/>
      <c r="C59" s="292"/>
      <c r="D59" s="292"/>
      <c r="E59" s="292"/>
      <c r="F59" s="293"/>
      <c r="G59" s="27"/>
      <c r="H59" s="27"/>
      <c r="I59" s="27"/>
      <c r="J59" s="27"/>
      <c r="K59" s="27"/>
      <c r="L59" s="27"/>
      <c r="M59" s="27"/>
      <c r="N59" s="27"/>
      <c r="O59" s="27"/>
      <c r="P59" s="27">
        <f>J53</f>
        <v>4973</v>
      </c>
      <c r="Q59" s="27">
        <f>P53</f>
        <v>3091600</v>
      </c>
      <c r="R59" s="67">
        <f>Q59/P59</f>
        <v>621.67705610295593</v>
      </c>
      <c r="S59" s="8"/>
      <c r="T59" s="8"/>
      <c r="U59" s="8"/>
      <c r="V59" s="8"/>
      <c r="W59" s="8"/>
      <c r="X59" s="8"/>
      <c r="Y59" s="8"/>
      <c r="Z59" s="8"/>
    </row>
    <row r="60" spans="1:26" ht="23.4" customHeight="1">
      <c r="B60" s="100"/>
      <c r="C60" s="3" t="s">
        <v>27</v>
      </c>
      <c r="D60" s="32"/>
      <c r="E60" s="33"/>
      <c r="F60" s="33"/>
      <c r="G60" s="34" t="s">
        <v>163</v>
      </c>
      <c r="H60" s="35"/>
      <c r="I60" s="35"/>
      <c r="J60" s="35"/>
      <c r="K60" s="36"/>
      <c r="L60" s="1"/>
      <c r="M60" s="1"/>
      <c r="N60" s="1"/>
      <c r="O60" s="1"/>
      <c r="P60" s="1"/>
      <c r="Q60" s="141" t="s">
        <v>28</v>
      </c>
    </row>
    <row r="61" spans="1:26" ht="23.4" customHeight="1">
      <c r="B61" s="100"/>
      <c r="D61" s="32"/>
      <c r="E61" s="37"/>
      <c r="F61" s="37"/>
      <c r="G61" s="38"/>
      <c r="H61" s="31"/>
      <c r="I61" s="32"/>
      <c r="J61" s="32"/>
      <c r="K61" s="32"/>
    </row>
    <row r="62" spans="1:26" s="8" customFormat="1" ht="23.4" customHeight="1">
      <c r="A62" s="1"/>
      <c r="B62" s="100"/>
      <c r="C62" s="3"/>
      <c r="D62" s="3"/>
      <c r="E62" s="3"/>
      <c r="F62" s="3"/>
      <c r="G62" s="39"/>
      <c r="Q62" s="124"/>
      <c r="R62" s="3"/>
      <c r="S62" s="1"/>
      <c r="T62" s="1"/>
      <c r="U62" s="1"/>
      <c r="V62" s="1"/>
      <c r="W62" s="1"/>
      <c r="X62" s="1"/>
      <c r="Y62" s="1"/>
      <c r="Z62" s="1"/>
    </row>
    <row r="63" spans="1:26" ht="23.4" customHeight="1">
      <c r="B63" s="100"/>
      <c r="E63" s="37"/>
      <c r="F63" s="37"/>
      <c r="G63" s="38"/>
      <c r="H63" s="31"/>
      <c r="I63" s="32"/>
      <c r="J63" s="32"/>
      <c r="K63" s="32"/>
    </row>
    <row r="64" spans="1:26" ht="27" customHeight="1">
      <c r="H64" s="43"/>
      <c r="Q64" s="21"/>
    </row>
    <row r="65" spans="3:18" ht="26.4" customHeight="1">
      <c r="C65" s="45"/>
      <c r="G65" s="34" t="str">
        <f>'[1]A VIEN'!G68</f>
        <v>Đặng Thị Mỹ Tin</v>
      </c>
      <c r="H65" s="43"/>
      <c r="Q65" s="148" t="s">
        <v>44</v>
      </c>
    </row>
    <row r="66" spans="3:18" ht="21" customHeight="1"/>
    <row r="67" spans="3:18" ht="28.95" customHeight="1">
      <c r="Q67" s="113" t="s">
        <v>57</v>
      </c>
    </row>
    <row r="68" spans="3:18" ht="24.6" customHeight="1">
      <c r="L68" s="7">
        <f>L53+'[1]A DANH'!L52+'[1]CHU HOANG'!L61+[1]HUNG!K46</f>
        <v>43620000</v>
      </c>
      <c r="N68" s="7">
        <f>N53+'[1]A DANH'!N52+'[1]CHU HOANG'!N61+[1]HUNG!O46</f>
        <v>0</v>
      </c>
      <c r="P68" s="7">
        <f>P53+'[1]A DANH'!P52+'[1]CHU HOANG'!P61</f>
        <v>14418100</v>
      </c>
      <c r="Q68" s="113">
        <f>Q53+'[1]A DANH'!Q52+'[1]CHU HOANG'!Q61+[1]HUNG!P46</f>
        <v>188537100</v>
      </c>
      <c r="R68" s="49"/>
    </row>
    <row r="69" spans="3:18" ht="24.6" customHeight="1">
      <c r="L69" s="7">
        <f>L68+N69</f>
        <v>46490000</v>
      </c>
      <c r="N69" s="7">
        <v>2870000</v>
      </c>
    </row>
    <row r="70" spans="3:18" ht="24.6" customHeight="1"/>
    <row r="72" spans="3:18" ht="18" customHeight="1"/>
    <row r="73" spans="3:18" ht="18" customHeight="1"/>
  </sheetData>
  <mergeCells count="81">
    <mergeCell ref="B23:B24"/>
    <mergeCell ref="Q23:Q24"/>
    <mergeCell ref="R5:R7"/>
    <mergeCell ref="E6:E7"/>
    <mergeCell ref="F6:F7"/>
    <mergeCell ref="Q5:Q7"/>
    <mergeCell ref="H6:I6"/>
    <mergeCell ref="P5:P7"/>
    <mergeCell ref="A48:A49"/>
    <mergeCell ref="B48:B49"/>
    <mergeCell ref="Q48:Q49"/>
    <mergeCell ref="M48:M49"/>
    <mergeCell ref="L23:L24"/>
    <mergeCell ref="A25:A27"/>
    <mergeCell ref="B25:B27"/>
    <mergeCell ref="A33:A34"/>
    <mergeCell ref="B33:B34"/>
    <mergeCell ref="L33:L34"/>
    <mergeCell ref="A39:A40"/>
    <mergeCell ref="B39:B40"/>
    <mergeCell ref="A23:A24"/>
    <mergeCell ref="Q25:Q27"/>
    <mergeCell ref="M26:M27"/>
    <mergeCell ref="A28:A30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N5:O6"/>
    <mergeCell ref="A11:A13"/>
    <mergeCell ref="B11:B13"/>
    <mergeCell ref="L11:L12"/>
    <mergeCell ref="Q11:Q13"/>
    <mergeCell ref="A16:A17"/>
    <mergeCell ref="B16:B17"/>
    <mergeCell ref="M16:M17"/>
    <mergeCell ref="Q16:Q17"/>
    <mergeCell ref="A18:A19"/>
    <mergeCell ref="B18:B19"/>
    <mergeCell ref="L18:L19"/>
    <mergeCell ref="Q18:Q19"/>
    <mergeCell ref="A20:A21"/>
    <mergeCell ref="B20:B21"/>
    <mergeCell ref="Q20:Q21"/>
    <mergeCell ref="B28:B30"/>
    <mergeCell ref="L28:L29"/>
    <mergeCell ref="Q28:Q30"/>
    <mergeCell ref="Q33:Q34"/>
    <mergeCell ref="A35:A36"/>
    <mergeCell ref="B35:B36"/>
    <mergeCell ref="Q35:Q36"/>
    <mergeCell ref="A37:A38"/>
    <mergeCell ref="B37:B38"/>
    <mergeCell ref="M37:M38"/>
    <mergeCell ref="Q37:Q38"/>
    <mergeCell ref="Q39:Q40"/>
    <mergeCell ref="A42:A43"/>
    <mergeCell ref="B42:B43"/>
    <mergeCell ref="Q42:Q43"/>
    <mergeCell ref="A44:A46"/>
    <mergeCell ref="B44:B46"/>
    <mergeCell ref="M44:M46"/>
    <mergeCell ref="Q44:Q46"/>
    <mergeCell ref="A57:F57"/>
    <mergeCell ref="A58:F58"/>
    <mergeCell ref="A59:F59"/>
    <mergeCell ref="M50:M51"/>
    <mergeCell ref="Q50:Q51"/>
    <mergeCell ref="A53:F53"/>
    <mergeCell ref="A54:F54"/>
    <mergeCell ref="A55:F55"/>
    <mergeCell ref="A50:A51"/>
    <mergeCell ref="B50:B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8"/>
  <sheetViews>
    <sheetView topLeftCell="A46" zoomScale="70" zoomScaleNormal="70" workbookViewId="0">
      <selection activeCell="Q52" sqref="Q52"/>
    </sheetView>
  </sheetViews>
  <sheetFormatPr defaultColWidth="9.109375" defaultRowHeight="13.8"/>
  <cols>
    <col min="1" max="1" width="7.33203125" style="1" customWidth="1"/>
    <col min="2" max="2" width="14.109375" style="101" customWidth="1"/>
    <col min="3" max="3" width="16.5546875" style="3" customWidth="1"/>
    <col min="4" max="4" width="24.21875" style="3" customWidth="1"/>
    <col min="5" max="5" width="17" style="41" customWidth="1"/>
    <col min="6" max="6" width="17" style="42" customWidth="1"/>
    <col min="7" max="7" width="12.6640625" style="35" customWidth="1"/>
    <col min="8" max="8" width="14.33203125" style="46" customWidth="1"/>
    <col min="9" max="9" width="12.109375" style="44" customWidth="1"/>
    <col min="10" max="10" width="12.109375" style="181" customWidth="1"/>
    <col min="11" max="11" width="13.88671875" style="7" customWidth="1"/>
    <col min="12" max="12" width="16" style="7" customWidth="1"/>
    <col min="13" max="16" width="14.5546875" style="7" customWidth="1"/>
    <col min="17" max="17" width="18.33203125" style="113" customWidth="1"/>
    <col min="18" max="18" width="40.33203125" style="8" customWidth="1"/>
    <col min="19" max="19" width="18.44140625" style="1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9" ht="13.5" customHeight="1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9">
      <c r="A4" s="334" t="s">
        <v>109</v>
      </c>
      <c r="B4" s="334"/>
      <c r="C4" s="334"/>
      <c r="D4" s="2"/>
      <c r="E4" s="3"/>
      <c r="F4" s="3"/>
      <c r="G4" s="4"/>
      <c r="H4" s="5"/>
      <c r="I4" s="6"/>
      <c r="J4" s="178"/>
    </row>
    <row r="5" spans="1:19" ht="29.25" customHeight="1">
      <c r="A5" s="279" t="s">
        <v>1</v>
      </c>
      <c r="B5" s="303" t="s">
        <v>2</v>
      </c>
      <c r="C5" s="279" t="s">
        <v>3</v>
      </c>
      <c r="D5" s="279" t="s">
        <v>4</v>
      </c>
      <c r="E5" s="279" t="s">
        <v>5</v>
      </c>
      <c r="F5" s="279"/>
      <c r="G5" s="282" t="s">
        <v>6</v>
      </c>
      <c r="H5" s="283"/>
      <c r="I5" s="283"/>
      <c r="J5" s="284"/>
      <c r="K5" s="305" t="s">
        <v>7</v>
      </c>
      <c r="L5" s="287" t="s">
        <v>8</v>
      </c>
      <c r="M5" s="288"/>
      <c r="N5" s="309" t="s">
        <v>9</v>
      </c>
      <c r="O5" s="309"/>
      <c r="P5" s="268" t="s">
        <v>10</v>
      </c>
      <c r="Q5" s="309" t="s">
        <v>11</v>
      </c>
      <c r="R5" s="335" t="s">
        <v>12</v>
      </c>
    </row>
    <row r="6" spans="1:19" ht="23.25" customHeight="1">
      <c r="A6" s="279"/>
      <c r="B6" s="303"/>
      <c r="C6" s="279"/>
      <c r="D6" s="279"/>
      <c r="E6" s="279" t="s">
        <v>13</v>
      </c>
      <c r="F6" s="279" t="s">
        <v>14</v>
      </c>
      <c r="G6" s="227" t="s">
        <v>15</v>
      </c>
      <c r="H6" s="304" t="s">
        <v>16</v>
      </c>
      <c r="I6" s="304"/>
      <c r="J6" s="227" t="s">
        <v>17</v>
      </c>
      <c r="K6" s="305"/>
      <c r="L6" s="306"/>
      <c r="M6" s="307"/>
      <c r="N6" s="309"/>
      <c r="O6" s="309"/>
      <c r="P6" s="269"/>
      <c r="Q6" s="309"/>
      <c r="R6" s="335"/>
    </row>
    <row r="7" spans="1:19" ht="22.5" customHeight="1">
      <c r="A7" s="279"/>
      <c r="B7" s="303"/>
      <c r="C7" s="279"/>
      <c r="D7" s="279"/>
      <c r="E7" s="279"/>
      <c r="F7" s="279"/>
      <c r="G7" s="227" t="s">
        <v>18</v>
      </c>
      <c r="H7" s="225" t="s">
        <v>19</v>
      </c>
      <c r="I7" s="226" t="s">
        <v>18</v>
      </c>
      <c r="J7" s="227" t="s">
        <v>18</v>
      </c>
      <c r="K7" s="305"/>
      <c r="L7" s="227" t="s">
        <v>15</v>
      </c>
      <c r="M7" s="9" t="s">
        <v>16</v>
      </c>
      <c r="N7" s="227" t="s">
        <v>15</v>
      </c>
      <c r="O7" s="89" t="s">
        <v>16</v>
      </c>
      <c r="P7" s="269"/>
      <c r="Q7" s="309"/>
      <c r="R7" s="335"/>
    </row>
    <row r="8" spans="1:19" s="97" customFormat="1" ht="25.8" customHeight="1">
      <c r="A8" s="200">
        <v>1</v>
      </c>
      <c r="B8" s="190" t="s">
        <v>190</v>
      </c>
      <c r="C8" s="198">
        <v>5</v>
      </c>
      <c r="D8" s="198" t="s">
        <v>70</v>
      </c>
      <c r="E8" s="11"/>
      <c r="F8" s="11" t="s">
        <v>76</v>
      </c>
      <c r="G8" s="74">
        <v>7125</v>
      </c>
      <c r="H8" s="233"/>
      <c r="I8" s="223"/>
      <c r="J8" s="9"/>
      <c r="K8" s="200"/>
      <c r="L8" s="18">
        <v>950000</v>
      </c>
      <c r="M8" s="18"/>
      <c r="N8" s="13"/>
      <c r="O8" s="13"/>
      <c r="P8" s="13"/>
      <c r="Q8" s="115">
        <f>SUM(L8:P8)</f>
        <v>950000</v>
      </c>
      <c r="R8" s="110"/>
    </row>
    <row r="9" spans="1:19" s="97" customFormat="1" ht="27" customHeight="1">
      <c r="A9" s="200">
        <v>2</v>
      </c>
      <c r="B9" s="190" t="s">
        <v>190</v>
      </c>
      <c r="C9" s="198">
        <v>32</v>
      </c>
      <c r="D9" s="198" t="s">
        <v>103</v>
      </c>
      <c r="E9" s="11"/>
      <c r="F9" s="11" t="s">
        <v>50</v>
      </c>
      <c r="G9" s="74"/>
      <c r="H9" s="233">
        <v>200000</v>
      </c>
      <c r="I9" s="223">
        <v>2288</v>
      </c>
      <c r="J9" s="9"/>
      <c r="K9" s="200"/>
      <c r="L9" s="18"/>
      <c r="M9" s="18">
        <v>1100000</v>
      </c>
      <c r="N9" s="13"/>
      <c r="O9" s="13"/>
      <c r="P9" s="13"/>
      <c r="Q9" s="115">
        <f t="shared" ref="Q9:Q51" si="0">SUM(L9:P9)</f>
        <v>1100000</v>
      </c>
      <c r="R9" s="185" t="s">
        <v>53</v>
      </c>
      <c r="S9" s="234"/>
    </row>
    <row r="10" spans="1:19" s="97" customFormat="1" ht="25.8" customHeight="1">
      <c r="A10" s="326">
        <v>3</v>
      </c>
      <c r="B10" s="346" t="s">
        <v>191</v>
      </c>
      <c r="C10" s="198">
        <v>9</v>
      </c>
      <c r="D10" s="198" t="s">
        <v>333</v>
      </c>
      <c r="E10" s="11"/>
      <c r="F10" s="11" t="s">
        <v>46</v>
      </c>
      <c r="G10" s="74">
        <v>2640</v>
      </c>
      <c r="H10" s="233"/>
      <c r="I10" s="206"/>
      <c r="J10" s="9"/>
      <c r="K10" s="200"/>
      <c r="L10" s="18">
        <v>500000</v>
      </c>
      <c r="M10" s="18"/>
      <c r="N10" s="13"/>
      <c r="O10" s="13">
        <v>20000</v>
      </c>
      <c r="P10" s="73"/>
      <c r="Q10" s="260">
        <f>SUM(L10:P12)</f>
        <v>2220000</v>
      </c>
      <c r="R10" s="248" t="s">
        <v>94</v>
      </c>
    </row>
    <row r="11" spans="1:19" s="97" customFormat="1" ht="25.8" customHeight="1">
      <c r="A11" s="338"/>
      <c r="B11" s="348"/>
      <c r="C11" s="198">
        <v>8</v>
      </c>
      <c r="D11" s="198" t="s">
        <v>104</v>
      </c>
      <c r="E11" s="11"/>
      <c r="F11" s="11" t="s">
        <v>77</v>
      </c>
      <c r="G11" s="74"/>
      <c r="H11" s="233">
        <v>159200</v>
      </c>
      <c r="I11" s="223">
        <v>1455.8</v>
      </c>
      <c r="J11" s="9"/>
      <c r="K11" s="200"/>
      <c r="L11" s="18"/>
      <c r="M11" s="339">
        <v>1700000</v>
      </c>
      <c r="N11" s="13"/>
      <c r="O11" s="13"/>
      <c r="P11" s="73"/>
      <c r="Q11" s="267"/>
      <c r="R11" s="78"/>
    </row>
    <row r="12" spans="1:19" s="97" customFormat="1" ht="27" customHeight="1">
      <c r="A12" s="327"/>
      <c r="B12" s="347"/>
      <c r="C12" s="198">
        <v>48</v>
      </c>
      <c r="D12" s="198" t="s">
        <v>150</v>
      </c>
      <c r="E12" s="11"/>
      <c r="F12" s="11" t="s">
        <v>77</v>
      </c>
      <c r="G12" s="74"/>
      <c r="H12" s="233">
        <v>50500</v>
      </c>
      <c r="I12" s="223">
        <v>631.25</v>
      </c>
      <c r="J12" s="9"/>
      <c r="K12" s="200"/>
      <c r="L12" s="18"/>
      <c r="M12" s="340"/>
      <c r="N12" s="13"/>
      <c r="O12" s="13"/>
      <c r="P12" s="73"/>
      <c r="Q12" s="261"/>
      <c r="R12" s="127"/>
    </row>
    <row r="13" spans="1:19" s="102" customFormat="1" ht="25.8" customHeight="1">
      <c r="A13" s="326">
        <v>4</v>
      </c>
      <c r="B13" s="346" t="s">
        <v>192</v>
      </c>
      <c r="C13" s="198">
        <v>43</v>
      </c>
      <c r="D13" s="198" t="s">
        <v>124</v>
      </c>
      <c r="E13" s="11"/>
      <c r="F13" s="11" t="s">
        <v>108</v>
      </c>
      <c r="G13" s="74">
        <v>1000</v>
      </c>
      <c r="H13" s="233"/>
      <c r="I13" s="223"/>
      <c r="J13" s="167"/>
      <c r="K13" s="200"/>
      <c r="L13" s="73">
        <v>300000</v>
      </c>
      <c r="M13" s="73"/>
      <c r="N13" s="73"/>
      <c r="O13" s="73"/>
      <c r="P13" s="73"/>
      <c r="Q13" s="260">
        <f>SUM(L13:P14)</f>
        <v>2670800</v>
      </c>
      <c r="R13" s="127"/>
    </row>
    <row r="14" spans="1:19" s="103" customFormat="1" ht="25.8" customHeight="1">
      <c r="A14" s="327"/>
      <c r="B14" s="347"/>
      <c r="C14" s="198">
        <v>27</v>
      </c>
      <c r="D14" s="198" t="s">
        <v>334</v>
      </c>
      <c r="E14" s="11"/>
      <c r="F14" s="11" t="s">
        <v>108</v>
      </c>
      <c r="G14" s="74"/>
      <c r="H14" s="233">
        <v>260000</v>
      </c>
      <c r="I14" s="223">
        <v>2262</v>
      </c>
      <c r="J14" s="167">
        <v>802</v>
      </c>
      <c r="K14" s="200"/>
      <c r="L14" s="73"/>
      <c r="M14" s="73">
        <v>2050000</v>
      </c>
      <c r="N14" s="73"/>
      <c r="O14" s="73"/>
      <c r="P14" s="73">
        <f>J14*400</f>
        <v>320800</v>
      </c>
      <c r="Q14" s="261"/>
      <c r="R14" s="127" t="s">
        <v>130</v>
      </c>
    </row>
    <row r="15" spans="1:19" s="97" customFormat="1" ht="25.8" customHeight="1">
      <c r="A15" s="200">
        <v>5</v>
      </c>
      <c r="B15" s="190" t="s">
        <v>193</v>
      </c>
      <c r="C15" s="198">
        <v>3</v>
      </c>
      <c r="D15" s="198" t="s">
        <v>152</v>
      </c>
      <c r="E15" s="11"/>
      <c r="F15" s="11" t="s">
        <v>33</v>
      </c>
      <c r="G15" s="74"/>
      <c r="H15" s="233">
        <v>119300</v>
      </c>
      <c r="I15" s="223">
        <v>3023.0650000000001</v>
      </c>
      <c r="J15" s="9"/>
      <c r="K15" s="200"/>
      <c r="L15" s="15"/>
      <c r="M15" s="73">
        <v>1400000</v>
      </c>
      <c r="N15" s="13"/>
      <c r="O15" s="13"/>
      <c r="P15" s="73"/>
      <c r="Q15" s="115">
        <f t="shared" si="0"/>
        <v>1400000</v>
      </c>
      <c r="R15" s="127"/>
      <c r="S15" s="221"/>
    </row>
    <row r="16" spans="1:19" s="97" customFormat="1" ht="25.8" customHeight="1">
      <c r="A16" s="200">
        <v>6</v>
      </c>
      <c r="B16" s="190" t="s">
        <v>193</v>
      </c>
      <c r="C16" s="198" t="s">
        <v>335</v>
      </c>
      <c r="D16" s="198" t="s">
        <v>60</v>
      </c>
      <c r="E16" s="11"/>
      <c r="F16" s="11" t="s">
        <v>54</v>
      </c>
      <c r="G16" s="74"/>
      <c r="H16" s="233">
        <f>35000+15400+4800</f>
        <v>55200</v>
      </c>
      <c r="I16" s="223">
        <f>2173.939+1014.9695+220.09</f>
        <v>3408.9985000000001</v>
      </c>
      <c r="J16" s="9"/>
      <c r="K16" s="200"/>
      <c r="L16" s="18"/>
      <c r="M16" s="15">
        <v>1650000</v>
      </c>
      <c r="N16" s="13"/>
      <c r="O16" s="13">
        <v>200000</v>
      </c>
      <c r="P16" s="73"/>
      <c r="Q16" s="115">
        <f t="shared" si="0"/>
        <v>1850000</v>
      </c>
      <c r="R16" s="208" t="s">
        <v>336</v>
      </c>
    </row>
    <row r="17" spans="1:19" s="97" customFormat="1" ht="25.2" customHeight="1">
      <c r="A17" s="326">
        <v>7</v>
      </c>
      <c r="B17" s="346" t="s">
        <v>194</v>
      </c>
      <c r="C17" s="198">
        <v>13</v>
      </c>
      <c r="D17" s="198" t="s">
        <v>68</v>
      </c>
      <c r="E17" s="11"/>
      <c r="F17" s="11" t="s">
        <v>61</v>
      </c>
      <c r="G17" s="74">
        <v>5000</v>
      </c>
      <c r="H17" s="233"/>
      <c r="I17" s="206"/>
      <c r="J17" s="9"/>
      <c r="K17" s="200"/>
      <c r="L17" s="18">
        <v>1300000</v>
      </c>
      <c r="M17" s="18"/>
      <c r="N17" s="13"/>
      <c r="O17" s="13"/>
      <c r="P17" s="73"/>
      <c r="Q17" s="260">
        <f>SUM(L17:P19)</f>
        <v>2050000</v>
      </c>
      <c r="R17" s="185" t="s">
        <v>51</v>
      </c>
      <c r="S17" s="221"/>
    </row>
    <row r="18" spans="1:19" s="97" customFormat="1" ht="25.8" customHeight="1">
      <c r="A18" s="338"/>
      <c r="B18" s="348"/>
      <c r="C18" s="198">
        <v>41</v>
      </c>
      <c r="D18" s="198" t="s">
        <v>60</v>
      </c>
      <c r="E18" s="11"/>
      <c r="F18" s="11" t="s">
        <v>54</v>
      </c>
      <c r="G18" s="74"/>
      <c r="H18" s="233">
        <v>4800</v>
      </c>
      <c r="I18" s="223">
        <v>218.88</v>
      </c>
      <c r="J18" s="9"/>
      <c r="K18" s="200"/>
      <c r="L18" s="18"/>
      <c r="M18" s="339">
        <v>750000</v>
      </c>
      <c r="N18" s="13"/>
      <c r="O18" s="13"/>
      <c r="P18" s="73"/>
      <c r="Q18" s="267"/>
      <c r="R18" s="78"/>
    </row>
    <row r="19" spans="1:19" s="97" customFormat="1" ht="25.8" customHeight="1">
      <c r="A19" s="327"/>
      <c r="B19" s="347"/>
      <c r="C19" s="198">
        <v>39</v>
      </c>
      <c r="D19" s="198" t="s">
        <v>134</v>
      </c>
      <c r="E19" s="11"/>
      <c r="F19" s="11" t="s">
        <v>54</v>
      </c>
      <c r="G19" s="74"/>
      <c r="H19" s="233">
        <v>510000</v>
      </c>
      <c r="I19" s="233">
        <v>714</v>
      </c>
      <c r="J19" s="9"/>
      <c r="K19" s="200"/>
      <c r="L19" s="18"/>
      <c r="M19" s="340"/>
      <c r="N19" s="13"/>
      <c r="O19" s="10"/>
      <c r="P19" s="13"/>
      <c r="Q19" s="261"/>
      <c r="R19" s="127"/>
    </row>
    <row r="20" spans="1:19" s="97" customFormat="1" ht="25.8" customHeight="1">
      <c r="A20" s="326">
        <v>8</v>
      </c>
      <c r="B20" s="346" t="s">
        <v>196</v>
      </c>
      <c r="C20" s="198">
        <v>24</v>
      </c>
      <c r="D20" s="198" t="s">
        <v>55</v>
      </c>
      <c r="E20" s="11"/>
      <c r="F20" s="11" t="s">
        <v>71</v>
      </c>
      <c r="G20" s="74"/>
      <c r="H20" s="233">
        <v>56770</v>
      </c>
      <c r="I20" s="223">
        <v>1890.4233999999999</v>
      </c>
      <c r="J20" s="9"/>
      <c r="K20" s="200"/>
      <c r="L20" s="18"/>
      <c r="M20" s="18">
        <v>1500000</v>
      </c>
      <c r="N20" s="200"/>
      <c r="O20" s="13"/>
      <c r="P20" s="13"/>
      <c r="Q20" s="260">
        <f>SUM(L20:P21)</f>
        <v>1900000</v>
      </c>
      <c r="R20" s="78"/>
    </row>
    <row r="21" spans="1:19" s="97" customFormat="1" ht="25.8" customHeight="1">
      <c r="A21" s="327"/>
      <c r="B21" s="347"/>
      <c r="C21" s="198">
        <v>6</v>
      </c>
      <c r="D21" s="198" t="s">
        <v>123</v>
      </c>
      <c r="E21" s="11"/>
      <c r="F21" s="11" t="s">
        <v>71</v>
      </c>
      <c r="G21" s="74">
        <v>2000</v>
      </c>
      <c r="H21" s="233"/>
      <c r="I21" s="206"/>
      <c r="J21" s="9"/>
      <c r="K21" s="200"/>
      <c r="L21" s="18">
        <v>400000</v>
      </c>
      <c r="M21" s="18"/>
      <c r="N21" s="10"/>
      <c r="O21" s="13"/>
      <c r="P21" s="13"/>
      <c r="Q21" s="261"/>
      <c r="R21" s="127"/>
    </row>
    <row r="22" spans="1:19" s="97" customFormat="1" ht="25.8" customHeight="1">
      <c r="A22" s="200">
        <v>9</v>
      </c>
      <c r="B22" s="190" t="s">
        <v>198</v>
      </c>
      <c r="C22" s="198">
        <v>26</v>
      </c>
      <c r="D22" s="198" t="s">
        <v>68</v>
      </c>
      <c r="E22" s="11"/>
      <c r="F22" s="11" t="s">
        <v>61</v>
      </c>
      <c r="G22" s="74">
        <v>6000</v>
      </c>
      <c r="H22" s="129"/>
      <c r="I22" s="129"/>
      <c r="J22" s="9">
        <v>1108</v>
      </c>
      <c r="K22" s="200"/>
      <c r="L22" s="18">
        <v>1650000</v>
      </c>
      <c r="M22" s="18"/>
      <c r="N22" s="12"/>
      <c r="O22" s="10"/>
      <c r="P22" s="10">
        <f>J22*400</f>
        <v>443200</v>
      </c>
      <c r="Q22" s="115">
        <f t="shared" si="0"/>
        <v>2093200</v>
      </c>
      <c r="R22" s="127" t="s">
        <v>130</v>
      </c>
    </row>
    <row r="23" spans="1:19" s="97" customFormat="1" ht="25.8" customHeight="1">
      <c r="A23" s="326">
        <v>10</v>
      </c>
      <c r="B23" s="346" t="s">
        <v>200</v>
      </c>
      <c r="C23" s="198">
        <v>39</v>
      </c>
      <c r="D23" s="198" t="s">
        <v>180</v>
      </c>
      <c r="E23" s="11"/>
      <c r="F23" s="11" t="s">
        <v>181</v>
      </c>
      <c r="G23" s="74">
        <v>3000</v>
      </c>
      <c r="H23" s="233"/>
      <c r="I23" s="206"/>
      <c r="J23" s="9"/>
      <c r="K23" s="200"/>
      <c r="L23" s="339">
        <v>2100000</v>
      </c>
      <c r="M23" s="18"/>
      <c r="N23" s="13"/>
      <c r="O23" s="13"/>
      <c r="P23" s="13"/>
      <c r="Q23" s="260">
        <f>SUM(L23:P27)</f>
        <v>2678400</v>
      </c>
      <c r="R23" s="127"/>
    </row>
    <row r="24" spans="1:19" s="97" customFormat="1" ht="26.4" customHeight="1">
      <c r="A24" s="338"/>
      <c r="B24" s="348"/>
      <c r="C24" s="198">
        <v>45</v>
      </c>
      <c r="D24" s="198" t="s">
        <v>68</v>
      </c>
      <c r="E24" s="11"/>
      <c r="F24" s="11" t="s">
        <v>61</v>
      </c>
      <c r="G24" s="74">
        <v>3500</v>
      </c>
      <c r="H24" s="233"/>
      <c r="I24" s="206"/>
      <c r="J24" s="9">
        <v>821</v>
      </c>
      <c r="K24" s="200"/>
      <c r="L24" s="360"/>
      <c r="M24" s="18"/>
      <c r="N24" s="13"/>
      <c r="O24" s="13"/>
      <c r="P24" s="13">
        <f>J24*400</f>
        <v>328400</v>
      </c>
      <c r="Q24" s="267"/>
      <c r="R24" s="127" t="s">
        <v>130</v>
      </c>
    </row>
    <row r="25" spans="1:19" s="97" customFormat="1" ht="25.8" customHeight="1">
      <c r="A25" s="338"/>
      <c r="B25" s="348"/>
      <c r="C25" s="198">
        <v>46</v>
      </c>
      <c r="D25" s="198" t="s">
        <v>56</v>
      </c>
      <c r="E25" s="11"/>
      <c r="F25" s="11" t="s">
        <v>33</v>
      </c>
      <c r="G25" s="74">
        <v>370</v>
      </c>
      <c r="H25" s="233"/>
      <c r="I25" s="206"/>
      <c r="J25" s="9"/>
      <c r="K25" s="200"/>
      <c r="L25" s="360"/>
      <c r="M25" s="18"/>
      <c r="N25" s="13"/>
      <c r="O25" s="13"/>
      <c r="P25" s="13"/>
      <c r="Q25" s="267"/>
      <c r="R25" s="127"/>
    </row>
    <row r="26" spans="1:19" s="97" customFormat="1" ht="25.8" customHeight="1">
      <c r="A26" s="338"/>
      <c r="B26" s="348"/>
      <c r="C26" s="198">
        <v>47</v>
      </c>
      <c r="D26" s="198" t="s">
        <v>312</v>
      </c>
      <c r="E26" s="11"/>
      <c r="F26" s="11" t="s">
        <v>33</v>
      </c>
      <c r="G26" s="74">
        <v>1000</v>
      </c>
      <c r="H26" s="233"/>
      <c r="I26" s="206"/>
      <c r="J26" s="9"/>
      <c r="K26" s="200"/>
      <c r="L26" s="340"/>
      <c r="M26" s="18"/>
      <c r="N26" s="12"/>
      <c r="O26" s="10"/>
      <c r="P26" s="10"/>
      <c r="Q26" s="267"/>
      <c r="R26" s="127"/>
    </row>
    <row r="27" spans="1:19" s="97" customFormat="1" ht="27.6" customHeight="1">
      <c r="A27" s="327"/>
      <c r="B27" s="347"/>
      <c r="C27" s="198">
        <v>12</v>
      </c>
      <c r="D27" s="198" t="s">
        <v>222</v>
      </c>
      <c r="E27" s="11"/>
      <c r="F27" s="11" t="s">
        <v>54</v>
      </c>
      <c r="G27" s="74"/>
      <c r="H27" s="233">
        <v>18000</v>
      </c>
      <c r="I27" s="223">
        <v>371.56</v>
      </c>
      <c r="J27" s="9"/>
      <c r="K27" s="200"/>
      <c r="L27" s="13"/>
      <c r="M27" s="18">
        <v>250000</v>
      </c>
      <c r="N27" s="12"/>
      <c r="O27" s="10"/>
      <c r="P27" s="10"/>
      <c r="Q27" s="261"/>
      <c r="R27" s="185"/>
    </row>
    <row r="28" spans="1:19" s="97" customFormat="1" ht="25.8" customHeight="1">
      <c r="A28" s="200">
        <v>11</v>
      </c>
      <c r="B28" s="190" t="s">
        <v>203</v>
      </c>
      <c r="C28" s="198" t="s">
        <v>337</v>
      </c>
      <c r="D28" s="198" t="s">
        <v>121</v>
      </c>
      <c r="E28" s="11"/>
      <c r="F28" s="11" t="s">
        <v>114</v>
      </c>
      <c r="G28" s="74"/>
      <c r="H28" s="233">
        <v>81260</v>
      </c>
      <c r="I28" s="223">
        <v>3199.4908999999998</v>
      </c>
      <c r="J28" s="167"/>
      <c r="K28" s="200"/>
      <c r="L28" s="13"/>
      <c r="M28" s="13">
        <v>2500000</v>
      </c>
      <c r="N28" s="200"/>
      <c r="O28" s="10"/>
      <c r="P28" s="12"/>
      <c r="Q28" s="115">
        <f t="shared" si="0"/>
        <v>2500000</v>
      </c>
      <c r="R28" s="78"/>
    </row>
    <row r="29" spans="1:19" s="97" customFormat="1" ht="25.8" customHeight="1">
      <c r="A29" s="326">
        <v>12</v>
      </c>
      <c r="B29" s="346" t="s">
        <v>205</v>
      </c>
      <c r="C29" s="198">
        <v>8</v>
      </c>
      <c r="D29" s="198" t="s">
        <v>72</v>
      </c>
      <c r="E29" s="11"/>
      <c r="F29" s="11" t="s">
        <v>77</v>
      </c>
      <c r="G29" s="74">
        <v>4993</v>
      </c>
      <c r="H29" s="233"/>
      <c r="I29" s="223"/>
      <c r="J29" s="109"/>
      <c r="K29" s="230"/>
      <c r="L29" s="339">
        <v>1800000</v>
      </c>
      <c r="M29" s="18"/>
      <c r="N29" s="200"/>
      <c r="O29" s="13">
        <v>100000</v>
      </c>
      <c r="P29" s="13"/>
      <c r="Q29" s="260">
        <f>SUM(L29:P31)</f>
        <v>2400000</v>
      </c>
      <c r="R29" s="184" t="s">
        <v>338</v>
      </c>
    </row>
    <row r="30" spans="1:19" s="97" customFormat="1" ht="25.8" customHeight="1">
      <c r="A30" s="338"/>
      <c r="B30" s="348"/>
      <c r="C30" s="198">
        <v>50</v>
      </c>
      <c r="D30" s="198" t="s">
        <v>79</v>
      </c>
      <c r="E30" s="11"/>
      <c r="F30" s="11" t="s">
        <v>77</v>
      </c>
      <c r="G30" s="74">
        <v>2100</v>
      </c>
      <c r="H30" s="233"/>
      <c r="I30" s="223"/>
      <c r="J30" s="109"/>
      <c r="K30" s="230"/>
      <c r="L30" s="340"/>
      <c r="M30" s="18"/>
      <c r="N30" s="13"/>
      <c r="O30" s="13"/>
      <c r="P30" s="13"/>
      <c r="Q30" s="267"/>
      <c r="R30" s="110"/>
    </row>
    <row r="31" spans="1:19" s="97" customFormat="1" ht="25.8" customHeight="1">
      <c r="A31" s="327"/>
      <c r="B31" s="347"/>
      <c r="C31" s="198">
        <v>1</v>
      </c>
      <c r="D31" s="198" t="s">
        <v>104</v>
      </c>
      <c r="E31" s="11"/>
      <c r="F31" s="11" t="s">
        <v>77</v>
      </c>
      <c r="G31" s="74"/>
      <c r="H31" s="233">
        <v>140400</v>
      </c>
      <c r="I31" s="223">
        <v>1054.5999999999999</v>
      </c>
      <c r="J31" s="9"/>
      <c r="K31" s="200"/>
      <c r="L31" s="18"/>
      <c r="M31" s="18">
        <v>500000</v>
      </c>
      <c r="N31" s="13"/>
      <c r="O31" s="10"/>
      <c r="P31" s="13"/>
      <c r="Q31" s="261"/>
      <c r="R31" s="110"/>
    </row>
    <row r="32" spans="1:19" s="97" customFormat="1" ht="25.8" customHeight="1">
      <c r="A32" s="200">
        <v>13</v>
      </c>
      <c r="B32" s="190" t="s">
        <v>206</v>
      </c>
      <c r="C32" s="198">
        <v>16</v>
      </c>
      <c r="D32" s="198" t="s">
        <v>91</v>
      </c>
      <c r="E32" s="11"/>
      <c r="F32" s="11" t="s">
        <v>46</v>
      </c>
      <c r="G32" s="74"/>
      <c r="H32" s="233">
        <v>63360</v>
      </c>
      <c r="I32" s="223">
        <v>2705.1</v>
      </c>
      <c r="J32" s="146"/>
      <c r="K32" s="200"/>
      <c r="L32" s="18"/>
      <c r="M32" s="13">
        <v>1750000</v>
      </c>
      <c r="N32" s="10"/>
      <c r="O32" s="10"/>
      <c r="P32" s="10">
        <v>2000000</v>
      </c>
      <c r="Q32" s="115">
        <f t="shared" si="0"/>
        <v>3750000</v>
      </c>
      <c r="R32" s="184" t="s">
        <v>339</v>
      </c>
    </row>
    <row r="33" spans="1:19" s="97" customFormat="1" ht="25.8" customHeight="1">
      <c r="A33" s="200">
        <v>14</v>
      </c>
      <c r="B33" s="190" t="s">
        <v>208</v>
      </c>
      <c r="C33" s="198" t="s">
        <v>340</v>
      </c>
      <c r="D33" s="198" t="s">
        <v>70</v>
      </c>
      <c r="E33" s="11"/>
      <c r="F33" s="11" t="s">
        <v>76</v>
      </c>
      <c r="G33" s="74">
        <v>3480</v>
      </c>
      <c r="H33" s="233">
        <v>50000</v>
      </c>
      <c r="I33" s="223">
        <v>2595</v>
      </c>
      <c r="J33" s="9"/>
      <c r="K33" s="200"/>
      <c r="L33" s="18">
        <v>300000</v>
      </c>
      <c r="M33" s="18">
        <v>650000</v>
      </c>
      <c r="N33" s="14"/>
      <c r="O33" s="13"/>
      <c r="P33" s="13"/>
      <c r="Q33" s="115">
        <f t="shared" si="0"/>
        <v>950000</v>
      </c>
      <c r="R33" s="127"/>
    </row>
    <row r="34" spans="1:19" s="76" customFormat="1" ht="25.8" customHeight="1">
      <c r="A34" s="200">
        <v>15</v>
      </c>
      <c r="B34" s="190" t="s">
        <v>208</v>
      </c>
      <c r="C34" s="198" t="s">
        <v>341</v>
      </c>
      <c r="D34" s="198" t="s">
        <v>342</v>
      </c>
      <c r="E34" s="11"/>
      <c r="F34" s="11" t="s">
        <v>33</v>
      </c>
      <c r="G34" s="74"/>
      <c r="H34" s="233"/>
      <c r="I34" s="223"/>
      <c r="J34" s="158"/>
      <c r="K34" s="200"/>
      <c r="L34" s="13"/>
      <c r="M34" s="13"/>
      <c r="N34" s="73"/>
      <c r="O34" s="73"/>
      <c r="P34" s="73">
        <v>1200000</v>
      </c>
      <c r="Q34" s="115">
        <f t="shared" si="0"/>
        <v>1200000</v>
      </c>
      <c r="R34" s="208" t="s">
        <v>343</v>
      </c>
    </row>
    <row r="35" spans="1:19" s="76" customFormat="1" ht="25.8" customHeight="1">
      <c r="A35" s="200">
        <v>16</v>
      </c>
      <c r="B35" s="190" t="s">
        <v>209</v>
      </c>
      <c r="C35" s="198" t="s">
        <v>344</v>
      </c>
      <c r="D35" s="198" t="s">
        <v>81</v>
      </c>
      <c r="E35" s="11"/>
      <c r="F35" s="11" t="s">
        <v>66</v>
      </c>
      <c r="G35" s="74"/>
      <c r="H35" s="233">
        <f>164000+120000</f>
        <v>284000</v>
      </c>
      <c r="I35" s="223">
        <f>2770.0393+1244</f>
        <v>4014.0392999999999</v>
      </c>
      <c r="J35" s="158"/>
      <c r="K35" s="200"/>
      <c r="L35" s="13"/>
      <c r="M35" s="13">
        <v>1950000</v>
      </c>
      <c r="N35" s="73"/>
      <c r="O35" s="73"/>
      <c r="P35" s="73"/>
      <c r="Q35" s="115">
        <f t="shared" si="0"/>
        <v>1950000</v>
      </c>
      <c r="R35" s="110"/>
    </row>
    <row r="36" spans="1:19" s="76" customFormat="1" ht="25.8" customHeight="1">
      <c r="A36" s="200">
        <v>17</v>
      </c>
      <c r="B36" s="190" t="s">
        <v>211</v>
      </c>
      <c r="C36" s="198" t="s">
        <v>345</v>
      </c>
      <c r="D36" s="198" t="s">
        <v>81</v>
      </c>
      <c r="E36" s="11"/>
      <c r="F36" s="11" t="s">
        <v>66</v>
      </c>
      <c r="G36" s="74"/>
      <c r="H36" s="233">
        <f>125830+11500</f>
        <v>137330</v>
      </c>
      <c r="I36" s="223">
        <f>2981.2555+187.45+790</f>
        <v>3958.7055</v>
      </c>
      <c r="J36" s="158"/>
      <c r="K36" s="200"/>
      <c r="L36" s="13"/>
      <c r="M36" s="13">
        <v>1950000</v>
      </c>
      <c r="N36" s="73"/>
      <c r="O36" s="73"/>
      <c r="P36" s="73"/>
      <c r="Q36" s="115">
        <f t="shared" si="0"/>
        <v>1950000</v>
      </c>
      <c r="R36" s="110"/>
    </row>
    <row r="37" spans="1:19" s="76" customFormat="1" ht="25.8" customHeight="1">
      <c r="A37" s="200">
        <v>18</v>
      </c>
      <c r="B37" s="190" t="s">
        <v>248</v>
      </c>
      <c r="C37" s="198" t="s">
        <v>346</v>
      </c>
      <c r="D37" s="198" t="s">
        <v>82</v>
      </c>
      <c r="E37" s="11"/>
      <c r="F37" s="11" t="s">
        <v>64</v>
      </c>
      <c r="G37" s="74"/>
      <c r="H37" s="233">
        <v>628830</v>
      </c>
      <c r="I37" s="223">
        <v>2356.4703</v>
      </c>
      <c r="J37" s="158"/>
      <c r="K37" s="200"/>
      <c r="L37" s="13"/>
      <c r="M37" s="13">
        <v>1750000</v>
      </c>
      <c r="N37" s="73"/>
      <c r="O37" s="73"/>
      <c r="P37" s="73"/>
      <c r="Q37" s="115">
        <f t="shared" si="0"/>
        <v>1750000</v>
      </c>
      <c r="R37" s="208" t="s">
        <v>347</v>
      </c>
    </row>
    <row r="38" spans="1:19" s="76" customFormat="1" ht="25.8" customHeight="1">
      <c r="A38" s="200">
        <v>19</v>
      </c>
      <c r="B38" s="190" t="s">
        <v>250</v>
      </c>
      <c r="C38" s="198" t="s">
        <v>348</v>
      </c>
      <c r="D38" s="198" t="s">
        <v>91</v>
      </c>
      <c r="E38" s="11"/>
      <c r="F38" s="11" t="s">
        <v>46</v>
      </c>
      <c r="G38" s="74"/>
      <c r="H38" s="233">
        <v>152100</v>
      </c>
      <c r="I38" s="223">
        <v>1861.8581999999999</v>
      </c>
      <c r="J38" s="158"/>
      <c r="K38" s="200"/>
      <c r="L38" s="13"/>
      <c r="M38" s="13">
        <v>1750000</v>
      </c>
      <c r="N38" s="73"/>
      <c r="O38" s="73"/>
      <c r="P38" s="73"/>
      <c r="Q38" s="115">
        <f t="shared" si="0"/>
        <v>1750000</v>
      </c>
      <c r="R38" s="110"/>
    </row>
    <row r="39" spans="1:19" s="76" customFormat="1" ht="25.8" customHeight="1">
      <c r="A39" s="200">
        <v>20</v>
      </c>
      <c r="B39" s="190" t="s">
        <v>212</v>
      </c>
      <c r="C39" s="198" t="s">
        <v>349</v>
      </c>
      <c r="D39" s="198" t="s">
        <v>81</v>
      </c>
      <c r="E39" s="11"/>
      <c r="F39" s="11" t="s">
        <v>66</v>
      </c>
      <c r="G39" s="74"/>
      <c r="H39" s="233">
        <f>445000+92000</f>
        <v>537000</v>
      </c>
      <c r="I39" s="223">
        <f>1048.1476+2184.605</f>
        <v>3232.7525999999998</v>
      </c>
      <c r="J39" s="158"/>
      <c r="K39" s="200"/>
      <c r="L39" s="13"/>
      <c r="M39" s="13">
        <v>1950000</v>
      </c>
      <c r="N39" s="73"/>
      <c r="O39" s="73"/>
      <c r="P39" s="73"/>
      <c r="Q39" s="115">
        <f t="shared" si="0"/>
        <v>1950000</v>
      </c>
      <c r="R39" s="110"/>
    </row>
    <row r="40" spans="1:19" s="76" customFormat="1" ht="25.8" customHeight="1">
      <c r="A40" s="200">
        <v>21</v>
      </c>
      <c r="B40" s="190" t="s">
        <v>213</v>
      </c>
      <c r="C40" s="198" t="s">
        <v>350</v>
      </c>
      <c r="D40" s="198" t="s">
        <v>121</v>
      </c>
      <c r="E40" s="11"/>
      <c r="F40" s="11" t="s">
        <v>114</v>
      </c>
      <c r="G40" s="74"/>
      <c r="H40" s="233">
        <v>106500</v>
      </c>
      <c r="I40" s="223">
        <v>3259.4097000000002</v>
      </c>
      <c r="J40" s="158"/>
      <c r="K40" s="200"/>
      <c r="L40" s="13"/>
      <c r="M40" s="13">
        <v>2550000</v>
      </c>
      <c r="N40" s="73"/>
      <c r="O40" s="73"/>
      <c r="P40" s="73"/>
      <c r="Q40" s="115">
        <f t="shared" si="0"/>
        <v>2550000</v>
      </c>
      <c r="R40" s="110" t="s">
        <v>51</v>
      </c>
    </row>
    <row r="41" spans="1:19" s="76" customFormat="1" ht="25.8" customHeight="1">
      <c r="A41" s="200">
        <v>22</v>
      </c>
      <c r="B41" s="190" t="s">
        <v>215</v>
      </c>
      <c r="C41" s="198" t="s">
        <v>149</v>
      </c>
      <c r="D41" s="198" t="s">
        <v>81</v>
      </c>
      <c r="E41" s="11"/>
      <c r="F41" s="11" t="s">
        <v>66</v>
      </c>
      <c r="G41" s="74"/>
      <c r="H41" s="233">
        <v>219990</v>
      </c>
      <c r="I41" s="223">
        <v>4078.76</v>
      </c>
      <c r="J41" s="158"/>
      <c r="K41" s="200"/>
      <c r="L41" s="13"/>
      <c r="M41" s="13">
        <v>1950000</v>
      </c>
      <c r="N41" s="73"/>
      <c r="O41" s="73"/>
      <c r="P41" s="73"/>
      <c r="Q41" s="115">
        <f t="shared" si="0"/>
        <v>1950000</v>
      </c>
      <c r="R41" s="110"/>
    </row>
    <row r="42" spans="1:19" s="76" customFormat="1" ht="25.8" customHeight="1">
      <c r="A42" s="326">
        <v>23</v>
      </c>
      <c r="B42" s="358" t="s">
        <v>219</v>
      </c>
      <c r="C42" s="198">
        <v>15</v>
      </c>
      <c r="D42" s="198" t="s">
        <v>70</v>
      </c>
      <c r="E42" s="11"/>
      <c r="F42" s="11" t="s">
        <v>76</v>
      </c>
      <c r="G42" s="74">
        <v>3600</v>
      </c>
      <c r="H42" s="233"/>
      <c r="I42" s="223"/>
      <c r="J42" s="158"/>
      <c r="K42" s="200"/>
      <c r="L42" s="13">
        <v>500000</v>
      </c>
      <c r="M42" s="13"/>
      <c r="N42" s="73"/>
      <c r="O42" s="73"/>
      <c r="P42" s="73"/>
      <c r="Q42" s="260">
        <f>SUM(L42:P43)</f>
        <v>1150000</v>
      </c>
      <c r="R42" s="157"/>
      <c r="S42" s="249" t="s">
        <v>351</v>
      </c>
    </row>
    <row r="43" spans="1:19" s="76" customFormat="1" ht="28.95" customHeight="1">
      <c r="A43" s="327"/>
      <c r="B43" s="359"/>
      <c r="C43" s="198">
        <v>16</v>
      </c>
      <c r="D43" s="198" t="s">
        <v>103</v>
      </c>
      <c r="E43" s="11"/>
      <c r="F43" s="11" t="s">
        <v>76</v>
      </c>
      <c r="G43" s="74"/>
      <c r="H43" s="233">
        <v>86000</v>
      </c>
      <c r="I43" s="223">
        <v>763.25</v>
      </c>
      <c r="J43" s="158"/>
      <c r="K43" s="200"/>
      <c r="L43" s="13"/>
      <c r="M43" s="13">
        <v>650000</v>
      </c>
      <c r="N43" s="73"/>
      <c r="O43" s="73"/>
      <c r="P43" s="73"/>
      <c r="Q43" s="261"/>
      <c r="R43" s="157" t="s">
        <v>352</v>
      </c>
    </row>
    <row r="44" spans="1:19" s="97" customFormat="1" ht="24.6" customHeight="1">
      <c r="A44" s="326">
        <v>24</v>
      </c>
      <c r="B44" s="346" t="s">
        <v>219</v>
      </c>
      <c r="C44" s="198">
        <v>44</v>
      </c>
      <c r="D44" s="198" t="s">
        <v>60</v>
      </c>
      <c r="E44" s="11"/>
      <c r="F44" s="11" t="s">
        <v>63</v>
      </c>
      <c r="G44" s="74"/>
      <c r="H44" s="233">
        <v>56000</v>
      </c>
      <c r="I44" s="233">
        <v>1215.2</v>
      </c>
      <c r="J44" s="9"/>
      <c r="K44" s="200"/>
      <c r="L44" s="13"/>
      <c r="M44" s="13">
        <v>1150000</v>
      </c>
      <c r="N44" s="13"/>
      <c r="O44" s="13"/>
      <c r="P44" s="13"/>
      <c r="Q44" s="260">
        <f>SUM(L44:P45)</f>
        <v>2380800</v>
      </c>
      <c r="R44" s="183"/>
      <c r="S44" s="221"/>
    </row>
    <row r="45" spans="1:19" s="97" customFormat="1" ht="24.6" customHeight="1">
      <c r="A45" s="327"/>
      <c r="B45" s="347"/>
      <c r="C45" s="198">
        <v>63</v>
      </c>
      <c r="D45" s="198" t="s">
        <v>68</v>
      </c>
      <c r="E45" s="11"/>
      <c r="F45" s="11" t="s">
        <v>61</v>
      </c>
      <c r="G45" s="74">
        <v>3500</v>
      </c>
      <c r="H45" s="233"/>
      <c r="I45" s="223"/>
      <c r="J45" s="167">
        <v>1327</v>
      </c>
      <c r="K45" s="200"/>
      <c r="L45" s="13">
        <v>700000</v>
      </c>
      <c r="M45" s="10"/>
      <c r="N45" s="13"/>
      <c r="O45" s="13"/>
      <c r="P45" s="13">
        <f>J45*400</f>
        <v>530800</v>
      </c>
      <c r="Q45" s="261"/>
      <c r="R45" s="183" t="s">
        <v>353</v>
      </c>
    </row>
    <row r="46" spans="1:19" s="97" customFormat="1" ht="25.8" customHeight="1">
      <c r="A46" s="200">
        <v>25</v>
      </c>
      <c r="B46" s="190" t="s">
        <v>221</v>
      </c>
      <c r="C46" s="198">
        <v>24</v>
      </c>
      <c r="D46" s="198" t="s">
        <v>81</v>
      </c>
      <c r="E46" s="11"/>
      <c r="F46" s="11" t="s">
        <v>66</v>
      </c>
      <c r="G46" s="74"/>
      <c r="H46" s="233">
        <v>205260</v>
      </c>
      <c r="I46" s="223">
        <v>4211.5541000000003</v>
      </c>
      <c r="J46" s="74"/>
      <c r="K46" s="200"/>
      <c r="L46" s="13"/>
      <c r="M46" s="10">
        <v>1950000</v>
      </c>
      <c r="N46" s="13"/>
      <c r="O46" s="13"/>
      <c r="P46" s="13"/>
      <c r="Q46" s="115">
        <f>SUM(L46:P46)</f>
        <v>1950000</v>
      </c>
      <c r="R46" s="183"/>
    </row>
    <row r="47" spans="1:19" s="97" customFormat="1" ht="25.8" customHeight="1">
      <c r="A47" s="200">
        <v>26</v>
      </c>
      <c r="B47" s="190" t="s">
        <v>225</v>
      </c>
      <c r="C47" s="198" t="s">
        <v>354</v>
      </c>
      <c r="D47" s="198" t="s">
        <v>355</v>
      </c>
      <c r="E47" s="11"/>
      <c r="F47" s="11" t="s">
        <v>66</v>
      </c>
      <c r="G47" s="74"/>
      <c r="H47" s="233">
        <f>93000+40000</f>
        <v>133000</v>
      </c>
      <c r="I47" s="223">
        <f>2320.05+442.0184+1923</f>
        <v>4685.0684000000001</v>
      </c>
      <c r="J47" s="74"/>
      <c r="K47" s="200"/>
      <c r="L47" s="13"/>
      <c r="M47" s="10">
        <v>2000000</v>
      </c>
      <c r="N47" s="13"/>
      <c r="O47" s="13"/>
      <c r="P47" s="13"/>
      <c r="Q47" s="115">
        <f t="shared" ref="Q47:Q49" si="1">SUM(L47:P47)</f>
        <v>2000000</v>
      </c>
      <c r="R47" s="183" t="s">
        <v>51</v>
      </c>
    </row>
    <row r="48" spans="1:19" s="97" customFormat="1" ht="25.8" customHeight="1">
      <c r="A48" s="200">
        <v>27</v>
      </c>
      <c r="B48" s="190" t="s">
        <v>228</v>
      </c>
      <c r="C48" s="198">
        <v>28</v>
      </c>
      <c r="D48" s="198" t="s">
        <v>60</v>
      </c>
      <c r="E48" s="11"/>
      <c r="F48" s="11" t="s">
        <v>356</v>
      </c>
      <c r="G48" s="74"/>
      <c r="H48" s="233">
        <v>27600</v>
      </c>
      <c r="I48" s="223">
        <v>1794</v>
      </c>
      <c r="J48" s="74"/>
      <c r="K48" s="200"/>
      <c r="L48" s="13"/>
      <c r="M48" s="10">
        <v>1800000</v>
      </c>
      <c r="N48" s="13"/>
      <c r="O48" s="13"/>
      <c r="P48" s="13">
        <f>800000*3</f>
        <v>2400000</v>
      </c>
      <c r="Q48" s="115">
        <f t="shared" si="1"/>
        <v>4200000</v>
      </c>
      <c r="R48" s="208" t="s">
        <v>357</v>
      </c>
    </row>
    <row r="49" spans="1:20" s="97" customFormat="1" ht="25.8" customHeight="1">
      <c r="A49" s="200">
        <v>28</v>
      </c>
      <c r="B49" s="190" t="s">
        <v>232</v>
      </c>
      <c r="C49" s="198">
        <v>3</v>
      </c>
      <c r="D49" s="198" t="s">
        <v>79</v>
      </c>
      <c r="E49" s="11"/>
      <c r="F49" s="11" t="s">
        <v>77</v>
      </c>
      <c r="G49" s="74">
        <v>8400</v>
      </c>
      <c r="H49" s="233"/>
      <c r="I49" s="223"/>
      <c r="J49" s="74"/>
      <c r="K49" s="200"/>
      <c r="L49" s="13">
        <v>2150000</v>
      </c>
      <c r="M49" s="10"/>
      <c r="N49" s="13"/>
      <c r="O49" s="13"/>
      <c r="P49" s="13"/>
      <c r="Q49" s="115">
        <f t="shared" si="1"/>
        <v>2150000</v>
      </c>
      <c r="R49" s="183"/>
    </row>
    <row r="50" spans="1:20" s="97" customFormat="1" ht="25.8" customHeight="1">
      <c r="A50" s="200">
        <v>29</v>
      </c>
      <c r="B50" s="190" t="s">
        <v>232</v>
      </c>
      <c r="C50" s="11">
        <v>32</v>
      </c>
      <c r="D50" s="198" t="s">
        <v>70</v>
      </c>
      <c r="E50" s="11"/>
      <c r="F50" s="11" t="s">
        <v>76</v>
      </c>
      <c r="G50" s="74">
        <v>5650</v>
      </c>
      <c r="H50" s="74"/>
      <c r="I50" s="74"/>
      <c r="J50" s="9"/>
      <c r="K50" s="200"/>
      <c r="L50" s="13">
        <v>800000</v>
      </c>
      <c r="M50" s="10"/>
      <c r="N50" s="13"/>
      <c r="O50" s="13"/>
      <c r="P50" s="13">
        <v>800000</v>
      </c>
      <c r="Q50" s="115">
        <f t="shared" si="0"/>
        <v>1600000</v>
      </c>
      <c r="R50" s="208" t="s">
        <v>358</v>
      </c>
    </row>
    <row r="51" spans="1:20" s="97" customFormat="1" ht="25.8" customHeight="1">
      <c r="A51" s="200">
        <v>30</v>
      </c>
      <c r="B51" s="190" t="s">
        <v>233</v>
      </c>
      <c r="C51" s="198" t="s">
        <v>359</v>
      </c>
      <c r="D51" s="198" t="s">
        <v>360</v>
      </c>
      <c r="E51" s="11"/>
      <c r="F51" s="11" t="s">
        <v>61</v>
      </c>
      <c r="G51" s="233">
        <v>7500</v>
      </c>
      <c r="H51" s="74"/>
      <c r="I51" s="74"/>
      <c r="J51" s="9">
        <v>1816</v>
      </c>
      <c r="K51" s="200"/>
      <c r="L51" s="13">
        <v>1850000</v>
      </c>
      <c r="M51" s="10"/>
      <c r="N51" s="13"/>
      <c r="O51" s="13"/>
      <c r="P51" s="13">
        <f>J51*400</f>
        <v>726400</v>
      </c>
      <c r="Q51" s="115">
        <f t="shared" si="0"/>
        <v>2576400</v>
      </c>
      <c r="R51" s="183" t="s">
        <v>361</v>
      </c>
    </row>
    <row r="52" spans="1:20" s="21" customFormat="1" ht="25.8" customHeight="1">
      <c r="A52" s="323" t="s">
        <v>20</v>
      </c>
      <c r="B52" s="324"/>
      <c r="C52" s="324"/>
      <c r="D52" s="324"/>
      <c r="E52" s="324"/>
      <c r="F52" s="325"/>
      <c r="G52" s="20">
        <f t="shared" ref="G52:P52" si="2">SUM(G8:G51)</f>
        <v>70858</v>
      </c>
      <c r="H52" s="20">
        <f t="shared" si="2"/>
        <v>4342400</v>
      </c>
      <c r="I52" s="20">
        <f t="shared" si="2"/>
        <v>61249.2359</v>
      </c>
      <c r="J52" s="20">
        <f t="shared" si="2"/>
        <v>5874</v>
      </c>
      <c r="K52" s="20">
        <f t="shared" si="2"/>
        <v>0</v>
      </c>
      <c r="L52" s="20">
        <f t="shared" si="2"/>
        <v>15300000</v>
      </c>
      <c r="M52" s="20">
        <f t="shared" si="2"/>
        <v>37200000</v>
      </c>
      <c r="N52" s="20">
        <f t="shared" si="2"/>
        <v>0</v>
      </c>
      <c r="O52" s="20">
        <f t="shared" si="2"/>
        <v>320000</v>
      </c>
      <c r="P52" s="20">
        <f t="shared" si="2"/>
        <v>8749600</v>
      </c>
      <c r="Q52" s="140">
        <f>SUM(Q8:Q51)</f>
        <v>61569600</v>
      </c>
      <c r="R52" s="165"/>
      <c r="S52" s="30"/>
    </row>
    <row r="53" spans="1:20" s="21" customFormat="1" ht="25.8" customHeight="1">
      <c r="A53" s="317" t="s">
        <v>21</v>
      </c>
      <c r="B53" s="317"/>
      <c r="C53" s="317"/>
      <c r="D53" s="317"/>
      <c r="E53" s="317"/>
      <c r="F53" s="317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>8%*Q52</f>
        <v>4925568</v>
      </c>
      <c r="R53" s="22"/>
      <c r="S53" s="228"/>
    </row>
    <row r="54" spans="1:20" s="21" customFormat="1" ht="25.8" customHeight="1">
      <c r="A54" s="317" t="s">
        <v>22</v>
      </c>
      <c r="B54" s="317"/>
      <c r="C54" s="317"/>
      <c r="D54" s="317"/>
      <c r="E54" s="317"/>
      <c r="F54" s="317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>Q53+Q52</f>
        <v>66495168</v>
      </c>
      <c r="R54" s="166"/>
      <c r="S54" s="1"/>
      <c r="T54" s="1"/>
    </row>
    <row r="55" spans="1:20" s="21" customFormat="1" ht="25.8" customHeight="1">
      <c r="A55" s="23"/>
      <c r="B55" s="99"/>
      <c r="C55" s="23"/>
      <c r="D55" s="23"/>
      <c r="E55" s="23"/>
      <c r="F55" s="2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5"/>
      <c r="S55" s="26"/>
    </row>
    <row r="56" spans="1:20" s="21" customFormat="1" ht="25.8" customHeight="1">
      <c r="A56" s="314" t="s">
        <v>23</v>
      </c>
      <c r="B56" s="314"/>
      <c r="C56" s="314"/>
      <c r="D56" s="314"/>
      <c r="E56" s="314"/>
      <c r="F56" s="314"/>
      <c r="G56" s="27">
        <f>G52</f>
        <v>70858</v>
      </c>
      <c r="H56" s="27"/>
      <c r="I56" s="27"/>
      <c r="J56" s="27"/>
      <c r="K56" s="28">
        <f>G52+I52</f>
        <v>132107.2359</v>
      </c>
      <c r="L56" s="27"/>
      <c r="M56" s="27"/>
      <c r="N56" s="27"/>
      <c r="O56" s="27"/>
      <c r="P56" s="27"/>
      <c r="Q56" s="27">
        <f>L52+N52</f>
        <v>15300000</v>
      </c>
      <c r="R56" s="29">
        <f>Q56/G56</f>
        <v>215.92480736120129</v>
      </c>
      <c r="S56" s="30"/>
    </row>
    <row r="57" spans="1:20" s="21" customFormat="1" ht="25.8" customHeight="1">
      <c r="A57" s="314" t="s">
        <v>24</v>
      </c>
      <c r="B57" s="314"/>
      <c r="C57" s="314"/>
      <c r="D57" s="314"/>
      <c r="E57" s="314"/>
      <c r="F57" s="314"/>
      <c r="G57" s="27"/>
      <c r="H57" s="27"/>
      <c r="I57" s="27">
        <f>I52</f>
        <v>61249.2359</v>
      </c>
      <c r="J57" s="27"/>
      <c r="K57" s="27"/>
      <c r="L57" s="27"/>
      <c r="M57" s="27"/>
      <c r="N57" s="27"/>
      <c r="O57" s="27"/>
      <c r="P57" s="27"/>
      <c r="Q57" s="27">
        <f>M52+O52</f>
        <v>37520000</v>
      </c>
      <c r="R57" s="29">
        <f>Q57/I57</f>
        <v>612.57907055784187</v>
      </c>
      <c r="S57" s="30"/>
    </row>
    <row r="58" spans="1:20" s="21" customFormat="1" ht="25.8" customHeight="1">
      <c r="A58" s="314" t="s">
        <v>25</v>
      </c>
      <c r="B58" s="314"/>
      <c r="C58" s="314"/>
      <c r="D58" s="314"/>
      <c r="E58" s="314"/>
      <c r="F58" s="314"/>
      <c r="G58" s="27"/>
      <c r="H58" s="27"/>
      <c r="I58" s="27"/>
      <c r="J58" s="27">
        <f>J52</f>
        <v>5874</v>
      </c>
      <c r="K58" s="27"/>
      <c r="L58" s="27"/>
      <c r="M58" s="27"/>
      <c r="N58" s="27"/>
      <c r="O58" s="27"/>
      <c r="P58" s="27">
        <f>J52</f>
        <v>5874</v>
      </c>
      <c r="Q58" s="27">
        <f>P52</f>
        <v>8749600</v>
      </c>
      <c r="R58" s="29">
        <f>Q58/P58</f>
        <v>1489.5471569628874</v>
      </c>
      <c r="S58" s="30"/>
    </row>
    <row r="59" spans="1:20" s="21" customFormat="1" ht="25.8" customHeight="1">
      <c r="A59" s="314" t="s">
        <v>26</v>
      </c>
      <c r="B59" s="314"/>
      <c r="C59" s="314"/>
      <c r="D59" s="314"/>
      <c r="E59" s="314"/>
      <c r="F59" s="314"/>
      <c r="G59" s="27"/>
      <c r="H59" s="27"/>
      <c r="I59" s="27"/>
      <c r="J59" s="27"/>
      <c r="K59" s="27" t="e">
        <f>#REF!+#REF!+#REF!</f>
        <v>#REF!</v>
      </c>
      <c r="L59" s="27"/>
      <c r="M59" s="27"/>
      <c r="N59" s="27"/>
      <c r="O59" s="27"/>
      <c r="P59" s="27"/>
      <c r="Q59" s="27" t="e">
        <f>#REF!+#REF!+#REF!</f>
        <v>#REF!</v>
      </c>
      <c r="R59" s="29" t="e">
        <f>Q59/P59</f>
        <v>#REF!</v>
      </c>
      <c r="S59" s="30"/>
    </row>
    <row r="60" spans="1:20" ht="25.8" customHeight="1">
      <c r="A60" s="31"/>
      <c r="B60" s="100"/>
      <c r="C60" s="3" t="s">
        <v>27</v>
      </c>
      <c r="D60" s="32"/>
      <c r="E60" s="33"/>
      <c r="F60" s="33"/>
      <c r="G60" s="34" t="s">
        <v>163</v>
      </c>
      <c r="H60" s="35"/>
      <c r="I60" s="35"/>
      <c r="J60" s="179"/>
      <c r="K60" s="36"/>
      <c r="L60" s="1"/>
      <c r="M60" s="1"/>
      <c r="N60" s="1"/>
      <c r="O60" s="1"/>
      <c r="P60" s="1"/>
      <c r="Q60" s="141" t="s">
        <v>28</v>
      </c>
    </row>
    <row r="61" spans="1:20">
      <c r="B61" s="100"/>
      <c r="D61" s="32"/>
      <c r="E61" s="37"/>
      <c r="F61" s="37"/>
      <c r="G61" s="38"/>
      <c r="H61" s="31"/>
      <c r="I61" s="32"/>
      <c r="J61" s="180"/>
      <c r="K61" s="32"/>
      <c r="S61" s="8"/>
      <c r="T61" s="8"/>
    </row>
    <row r="62" spans="1:20" s="8" customFormat="1">
      <c r="A62" s="1"/>
      <c r="B62" s="100"/>
      <c r="C62" s="3"/>
      <c r="D62" s="3"/>
      <c r="E62" s="3"/>
      <c r="F62" s="3"/>
      <c r="G62" s="39"/>
      <c r="J62" s="178"/>
      <c r="Q62" s="124"/>
      <c r="S62" s="1"/>
      <c r="T62" s="1"/>
    </row>
    <row r="63" spans="1:20">
      <c r="B63" s="100"/>
      <c r="E63" s="37"/>
      <c r="F63" s="37"/>
      <c r="G63" s="38"/>
      <c r="H63" s="31"/>
      <c r="I63" s="32"/>
      <c r="J63" s="180"/>
      <c r="K63" s="32"/>
    </row>
    <row r="64" spans="1:20">
      <c r="H64" s="43"/>
      <c r="Q64" s="21"/>
    </row>
    <row r="65" spans="3:18">
      <c r="C65" s="45"/>
      <c r="G65" s="34" t="str">
        <f>'[1]A VIEN'!G68</f>
        <v>Đặng Thị Mỹ Tin</v>
      </c>
      <c r="H65" s="43"/>
      <c r="Q65" s="148" t="s">
        <v>59</v>
      </c>
    </row>
    <row r="68" spans="3:18">
      <c r="R68" s="39"/>
    </row>
  </sheetData>
  <mergeCells count="54">
    <mergeCell ref="H6:I6"/>
    <mergeCell ref="K5:K7"/>
    <mergeCell ref="L5:M6"/>
    <mergeCell ref="M18:M19"/>
    <mergeCell ref="A13:A14"/>
    <mergeCell ref="B13:B14"/>
    <mergeCell ref="A10:A12"/>
    <mergeCell ref="B10:B12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N5:O6"/>
    <mergeCell ref="P5:P7"/>
    <mergeCell ref="Q5:Q7"/>
    <mergeCell ref="Q10:Q12"/>
    <mergeCell ref="M11:M12"/>
    <mergeCell ref="A17:A19"/>
    <mergeCell ref="B17:B19"/>
    <mergeCell ref="Q17:Q19"/>
    <mergeCell ref="Q13:Q14"/>
    <mergeCell ref="Q20:Q21"/>
    <mergeCell ref="A23:A27"/>
    <mergeCell ref="B23:B27"/>
    <mergeCell ref="L23:L26"/>
    <mergeCell ref="Q23:Q27"/>
    <mergeCell ref="A20:A21"/>
    <mergeCell ref="B20:B21"/>
    <mergeCell ref="L29:L30"/>
    <mergeCell ref="Q29:Q31"/>
    <mergeCell ref="A42:A43"/>
    <mergeCell ref="B42:B43"/>
    <mergeCell ref="Q42:Q43"/>
    <mergeCell ref="A29:A31"/>
    <mergeCell ref="B29:B31"/>
    <mergeCell ref="A57:F57"/>
    <mergeCell ref="A58:F58"/>
    <mergeCell ref="A59:F59"/>
    <mergeCell ref="Q44:Q45"/>
    <mergeCell ref="A52:F52"/>
    <mergeCell ref="A53:F53"/>
    <mergeCell ref="A54:F54"/>
    <mergeCell ref="A56:F56"/>
    <mergeCell ref="A44:A45"/>
    <mergeCell ref="B44:B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1"/>
  <sheetViews>
    <sheetView topLeftCell="A37" zoomScale="70" zoomScaleNormal="70" workbookViewId="0">
      <selection activeCell="K46" sqref="K46"/>
    </sheetView>
  </sheetViews>
  <sheetFormatPr defaultColWidth="9.109375" defaultRowHeight="13.8"/>
  <cols>
    <col min="1" max="1" width="8.44140625" style="1" customWidth="1"/>
    <col min="2" max="2" width="13.33203125" style="101" customWidth="1"/>
    <col min="3" max="3" width="12.21875" style="3" customWidth="1"/>
    <col min="4" max="4" width="22.77734375" style="3" customWidth="1"/>
    <col min="5" max="5" width="12.88671875" style="41" customWidth="1"/>
    <col min="6" max="6" width="17.33203125" style="42" customWidth="1"/>
    <col min="7" max="7" width="13.109375" style="35" customWidth="1"/>
    <col min="8" max="8" width="14.109375" style="46" customWidth="1"/>
    <col min="9" max="9" width="11.33203125" style="44" customWidth="1"/>
    <col min="10" max="10" width="13.5546875" style="44" customWidth="1"/>
    <col min="11" max="11" width="11.88671875" style="7" customWidth="1"/>
    <col min="12" max="12" width="15" style="7" customWidth="1"/>
    <col min="13" max="13" width="17.33203125" style="7" customWidth="1"/>
    <col min="14" max="14" width="13.33203125" style="7" customWidth="1"/>
    <col min="15" max="15" width="13.77734375" style="7" customWidth="1"/>
    <col min="16" max="16" width="12.5546875" style="7" customWidth="1"/>
    <col min="17" max="17" width="15.33203125" style="113" customWidth="1"/>
    <col min="18" max="18" width="30.109375" style="3" customWidth="1"/>
    <col min="19" max="19" width="16" style="1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</row>
    <row r="2" spans="1:19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</row>
    <row r="4" spans="1:19">
      <c r="A4" s="334" t="s">
        <v>110</v>
      </c>
      <c r="B4" s="334"/>
      <c r="C4" s="334"/>
      <c r="D4" s="2"/>
      <c r="E4" s="3"/>
      <c r="F4" s="3"/>
      <c r="G4" s="4"/>
      <c r="H4" s="5"/>
      <c r="I4" s="6"/>
      <c r="J4" s="160"/>
    </row>
    <row r="5" spans="1:19" ht="29.25" customHeight="1">
      <c r="A5" s="279" t="s">
        <v>1</v>
      </c>
      <c r="B5" s="303" t="s">
        <v>2</v>
      </c>
      <c r="C5" s="279" t="s">
        <v>3</v>
      </c>
      <c r="D5" s="279" t="s">
        <v>4</v>
      </c>
      <c r="E5" s="279" t="s">
        <v>5</v>
      </c>
      <c r="F5" s="279"/>
      <c r="G5" s="304" t="s">
        <v>6</v>
      </c>
      <c r="H5" s="304"/>
      <c r="I5" s="304"/>
      <c r="J5" s="304"/>
      <c r="K5" s="305" t="s">
        <v>7</v>
      </c>
      <c r="L5" s="287" t="s">
        <v>8</v>
      </c>
      <c r="M5" s="288"/>
      <c r="N5" s="309" t="s">
        <v>9</v>
      </c>
      <c r="O5" s="309"/>
      <c r="P5" s="268" t="s">
        <v>10</v>
      </c>
      <c r="Q5" s="309" t="s">
        <v>11</v>
      </c>
      <c r="R5" s="308" t="s">
        <v>12</v>
      </c>
    </row>
    <row r="6" spans="1:19" ht="23.25" customHeight="1">
      <c r="A6" s="279"/>
      <c r="B6" s="303"/>
      <c r="C6" s="279"/>
      <c r="D6" s="279"/>
      <c r="E6" s="279" t="s">
        <v>13</v>
      </c>
      <c r="F6" s="279" t="s">
        <v>14</v>
      </c>
      <c r="G6" s="227" t="s">
        <v>15</v>
      </c>
      <c r="H6" s="304" t="s">
        <v>16</v>
      </c>
      <c r="I6" s="304"/>
      <c r="J6" s="226" t="s">
        <v>17</v>
      </c>
      <c r="K6" s="305"/>
      <c r="L6" s="306"/>
      <c r="M6" s="307"/>
      <c r="N6" s="309"/>
      <c r="O6" s="309"/>
      <c r="P6" s="269"/>
      <c r="Q6" s="309"/>
      <c r="R6" s="308"/>
    </row>
    <row r="7" spans="1:19" ht="31.8" customHeight="1">
      <c r="A7" s="279"/>
      <c r="B7" s="303"/>
      <c r="C7" s="279"/>
      <c r="D7" s="279"/>
      <c r="E7" s="279"/>
      <c r="F7" s="279"/>
      <c r="G7" s="227" t="s">
        <v>18</v>
      </c>
      <c r="H7" s="225" t="s">
        <v>19</v>
      </c>
      <c r="I7" s="226" t="s">
        <v>18</v>
      </c>
      <c r="J7" s="226" t="s">
        <v>18</v>
      </c>
      <c r="K7" s="305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09"/>
      <c r="R7" s="308"/>
    </row>
    <row r="8" spans="1:19" ht="25.8" customHeight="1">
      <c r="A8" s="200">
        <v>1</v>
      </c>
      <c r="B8" s="190" t="s">
        <v>190</v>
      </c>
      <c r="C8" s="198">
        <v>39</v>
      </c>
      <c r="D8" s="198" t="s">
        <v>74</v>
      </c>
      <c r="E8" s="11"/>
      <c r="F8" s="11" t="s">
        <v>75</v>
      </c>
      <c r="G8" s="74">
        <v>3540</v>
      </c>
      <c r="H8" s="74"/>
      <c r="I8" s="74"/>
      <c r="J8" s="9"/>
      <c r="K8" s="112"/>
      <c r="L8" s="105">
        <v>1200000</v>
      </c>
      <c r="M8" s="13"/>
      <c r="N8" s="10"/>
      <c r="O8" s="10"/>
      <c r="P8" s="10"/>
      <c r="Q8" s="145">
        <f>SUM(L8:P8)</f>
        <v>1200000</v>
      </c>
      <c r="R8" s="127"/>
      <c r="S8" s="3"/>
    </row>
    <row r="9" spans="1:19" ht="25.8" customHeight="1">
      <c r="A9" s="326">
        <v>2</v>
      </c>
      <c r="B9" s="346" t="s">
        <v>190</v>
      </c>
      <c r="C9" s="198" t="s">
        <v>146</v>
      </c>
      <c r="D9" s="198" t="s">
        <v>182</v>
      </c>
      <c r="E9" s="11"/>
      <c r="F9" s="11" t="s">
        <v>33</v>
      </c>
      <c r="G9" s="74">
        <v>143</v>
      </c>
      <c r="H9" s="129"/>
      <c r="I9" s="129"/>
      <c r="J9" s="9"/>
      <c r="K9" s="112"/>
      <c r="L9" s="312">
        <v>1230000</v>
      </c>
      <c r="M9" s="13"/>
      <c r="N9" s="10"/>
      <c r="O9" s="10"/>
      <c r="P9" s="10"/>
      <c r="Q9" s="344">
        <f>SUM(L9:P10)</f>
        <v>1876400</v>
      </c>
      <c r="R9" s="110"/>
      <c r="S9" s="3"/>
    </row>
    <row r="10" spans="1:19" ht="24" customHeight="1">
      <c r="A10" s="327"/>
      <c r="B10" s="347"/>
      <c r="C10" s="198">
        <v>34</v>
      </c>
      <c r="D10" s="198" t="s">
        <v>68</v>
      </c>
      <c r="E10" s="11"/>
      <c r="F10" s="11" t="s">
        <v>61</v>
      </c>
      <c r="G10" s="74">
        <v>2500</v>
      </c>
      <c r="H10" s="74"/>
      <c r="I10" s="211"/>
      <c r="J10" s="109">
        <v>1616</v>
      </c>
      <c r="K10" s="230"/>
      <c r="L10" s="313"/>
      <c r="M10" s="18"/>
      <c r="N10" s="10"/>
      <c r="O10" s="10"/>
      <c r="P10" s="10">
        <f>J10*400</f>
        <v>646400</v>
      </c>
      <c r="Q10" s="345"/>
      <c r="R10" s="127" t="s">
        <v>353</v>
      </c>
    </row>
    <row r="11" spans="1:19" ht="32.4" customHeight="1">
      <c r="A11" s="200">
        <v>3</v>
      </c>
      <c r="B11" s="190" t="s">
        <v>191</v>
      </c>
      <c r="C11" s="198">
        <v>29</v>
      </c>
      <c r="D11" s="198" t="s">
        <v>90</v>
      </c>
      <c r="E11" s="11"/>
      <c r="F11" s="11" t="s">
        <v>66</v>
      </c>
      <c r="G11" s="74"/>
      <c r="H11" s="233">
        <v>346000</v>
      </c>
      <c r="I11" s="223">
        <v>1550.9824000000001</v>
      </c>
      <c r="J11" s="112"/>
      <c r="K11" s="112"/>
      <c r="L11" s="105"/>
      <c r="M11" s="18">
        <v>1500000</v>
      </c>
      <c r="N11" s="13"/>
      <c r="O11" s="13">
        <v>750000</v>
      </c>
      <c r="P11" s="13"/>
      <c r="Q11" s="145">
        <f t="shared" ref="Q11:Q54" si="0">SUM(L11:P11)</f>
        <v>2250000</v>
      </c>
      <c r="R11" s="184" t="s">
        <v>362</v>
      </c>
    </row>
    <row r="12" spans="1:19" ht="24.6" customHeight="1">
      <c r="A12" s="200">
        <v>4</v>
      </c>
      <c r="B12" s="190" t="s">
        <v>192</v>
      </c>
      <c r="C12" s="198">
        <v>19</v>
      </c>
      <c r="D12" s="198" t="s">
        <v>82</v>
      </c>
      <c r="E12" s="11"/>
      <c r="F12" s="11" t="s">
        <v>64</v>
      </c>
      <c r="G12" s="74"/>
      <c r="H12" s="233">
        <v>387600</v>
      </c>
      <c r="I12" s="223">
        <v>1847.5496000000001</v>
      </c>
      <c r="J12" s="74"/>
      <c r="K12" s="230"/>
      <c r="L12" s="73"/>
      <c r="M12" s="13">
        <v>1300000</v>
      </c>
      <c r="N12" s="10"/>
      <c r="O12" s="10"/>
      <c r="P12" s="10"/>
      <c r="Q12" s="145">
        <f t="shared" si="0"/>
        <v>1300000</v>
      </c>
      <c r="R12" s="202"/>
    </row>
    <row r="13" spans="1:19" ht="23.4" customHeight="1">
      <c r="A13" s="326">
        <v>5</v>
      </c>
      <c r="B13" s="346" t="s">
        <v>192</v>
      </c>
      <c r="C13" s="198">
        <v>16</v>
      </c>
      <c r="D13" s="198" t="s">
        <v>113</v>
      </c>
      <c r="E13" s="11"/>
      <c r="F13" s="11" t="s">
        <v>66</v>
      </c>
      <c r="G13" s="74"/>
      <c r="H13" s="233">
        <v>88300</v>
      </c>
      <c r="I13" s="223">
        <v>1012.1306</v>
      </c>
      <c r="J13" s="88"/>
      <c r="K13" s="230"/>
      <c r="L13" s="73"/>
      <c r="M13" s="336">
        <v>1530000</v>
      </c>
      <c r="N13" s="10"/>
      <c r="O13" s="10"/>
      <c r="P13" s="10"/>
      <c r="Q13" s="344">
        <f>SUM(L13:P14)</f>
        <v>1790000</v>
      </c>
      <c r="R13" s="183"/>
    </row>
    <row r="14" spans="1:19" ht="23.4" customHeight="1">
      <c r="A14" s="327"/>
      <c r="B14" s="347"/>
      <c r="C14" s="198">
        <v>8</v>
      </c>
      <c r="D14" s="198" t="s">
        <v>148</v>
      </c>
      <c r="E14" s="11"/>
      <c r="F14" s="11" t="s">
        <v>48</v>
      </c>
      <c r="G14" s="74"/>
      <c r="H14" s="233">
        <v>76400</v>
      </c>
      <c r="I14" s="223">
        <v>1117.4031</v>
      </c>
      <c r="J14" s="88"/>
      <c r="K14" s="230"/>
      <c r="L14" s="73"/>
      <c r="M14" s="337"/>
      <c r="N14" s="10"/>
      <c r="O14" s="10">
        <v>260000</v>
      </c>
      <c r="P14" s="10"/>
      <c r="Q14" s="345"/>
      <c r="R14" s="127" t="s">
        <v>176</v>
      </c>
    </row>
    <row r="15" spans="1:19" ht="25.2" customHeight="1">
      <c r="A15" s="200">
        <v>6</v>
      </c>
      <c r="B15" s="190" t="s">
        <v>193</v>
      </c>
      <c r="C15" s="198">
        <v>10</v>
      </c>
      <c r="D15" s="198" t="s">
        <v>56</v>
      </c>
      <c r="E15" s="11"/>
      <c r="F15" s="11" t="s">
        <v>33</v>
      </c>
      <c r="G15" s="74"/>
      <c r="H15" s="233">
        <v>181100</v>
      </c>
      <c r="I15" s="223">
        <v>3048.3534</v>
      </c>
      <c r="J15" s="9"/>
      <c r="K15" s="230"/>
      <c r="L15" s="73"/>
      <c r="M15" s="13">
        <v>950000</v>
      </c>
      <c r="N15" s="10"/>
      <c r="O15" s="10"/>
      <c r="P15" s="10"/>
      <c r="Q15" s="145">
        <f t="shared" si="0"/>
        <v>950000</v>
      </c>
      <c r="R15" s="185"/>
    </row>
    <row r="16" spans="1:19" ht="23.4" customHeight="1">
      <c r="A16" s="326">
        <v>7</v>
      </c>
      <c r="B16" s="346" t="s">
        <v>193</v>
      </c>
      <c r="C16" s="198" t="s">
        <v>151</v>
      </c>
      <c r="D16" s="198" t="s">
        <v>103</v>
      </c>
      <c r="E16" s="11"/>
      <c r="F16" s="11" t="s">
        <v>76</v>
      </c>
      <c r="G16" s="74"/>
      <c r="H16" s="233">
        <v>113000</v>
      </c>
      <c r="I16" s="223">
        <v>1670.85</v>
      </c>
      <c r="J16" s="9"/>
      <c r="K16" s="230"/>
      <c r="L16" s="73"/>
      <c r="M16" s="13">
        <v>1050000</v>
      </c>
      <c r="N16" s="10"/>
      <c r="O16" s="10"/>
      <c r="P16" s="10"/>
      <c r="Q16" s="344">
        <f>SUM(L16:P17)</f>
        <v>1130000</v>
      </c>
      <c r="R16" s="110" t="s">
        <v>102</v>
      </c>
    </row>
    <row r="17" spans="1:19" ht="23.4" customHeight="1">
      <c r="A17" s="327"/>
      <c r="B17" s="347"/>
      <c r="C17" s="198">
        <v>27</v>
      </c>
      <c r="D17" s="198" t="s">
        <v>180</v>
      </c>
      <c r="E17" s="11"/>
      <c r="F17" s="11" t="s">
        <v>181</v>
      </c>
      <c r="G17" s="74">
        <v>100</v>
      </c>
      <c r="H17" s="233"/>
      <c r="I17" s="206"/>
      <c r="J17" s="9"/>
      <c r="K17" s="230"/>
      <c r="L17" s="73">
        <v>80000</v>
      </c>
      <c r="M17" s="13"/>
      <c r="N17" s="10"/>
      <c r="O17" s="10"/>
      <c r="P17" s="10"/>
      <c r="Q17" s="345"/>
      <c r="R17" s="110"/>
    </row>
    <row r="18" spans="1:19" ht="23.4" customHeight="1">
      <c r="A18" s="326">
        <v>8</v>
      </c>
      <c r="B18" s="346" t="s">
        <v>194</v>
      </c>
      <c r="C18" s="198">
        <v>9</v>
      </c>
      <c r="D18" s="198" t="s">
        <v>96</v>
      </c>
      <c r="E18" s="11"/>
      <c r="F18" s="11" t="s">
        <v>46</v>
      </c>
      <c r="G18" s="74">
        <v>1791</v>
      </c>
      <c r="H18" s="233"/>
      <c r="I18" s="206"/>
      <c r="J18" s="9"/>
      <c r="K18" s="230"/>
      <c r="L18" s="73">
        <v>380000</v>
      </c>
      <c r="M18" s="13"/>
      <c r="N18" s="10"/>
      <c r="O18" s="10"/>
      <c r="P18" s="10"/>
      <c r="Q18" s="344">
        <f>SUM(L18:P19)</f>
        <v>1430000</v>
      </c>
      <c r="R18" s="110" t="s">
        <v>51</v>
      </c>
    </row>
    <row r="19" spans="1:19" ht="23.4" customHeight="1">
      <c r="A19" s="327"/>
      <c r="B19" s="347"/>
      <c r="C19" s="198" t="s">
        <v>151</v>
      </c>
      <c r="D19" s="198" t="s">
        <v>113</v>
      </c>
      <c r="E19" s="11"/>
      <c r="F19" s="11" t="s">
        <v>46</v>
      </c>
      <c r="G19" s="74"/>
      <c r="H19" s="233">
        <v>98430</v>
      </c>
      <c r="I19" s="223">
        <v>1705.2309</v>
      </c>
      <c r="J19" s="9"/>
      <c r="K19" s="230"/>
      <c r="L19" s="73"/>
      <c r="M19" s="13">
        <v>1050000</v>
      </c>
      <c r="N19" s="10"/>
      <c r="O19" s="10"/>
      <c r="P19" s="10"/>
      <c r="Q19" s="345"/>
      <c r="R19" s="110"/>
    </row>
    <row r="20" spans="1:19" ht="23.4" customHeight="1">
      <c r="A20" s="326">
        <v>9</v>
      </c>
      <c r="B20" s="326" t="s">
        <v>198</v>
      </c>
      <c r="C20" s="198">
        <v>19</v>
      </c>
      <c r="D20" s="198" t="s">
        <v>159</v>
      </c>
      <c r="E20" s="11"/>
      <c r="F20" s="11" t="s">
        <v>64</v>
      </c>
      <c r="G20" s="74"/>
      <c r="H20" s="233">
        <v>62400</v>
      </c>
      <c r="I20" s="223">
        <v>1560</v>
      </c>
      <c r="J20" s="9"/>
      <c r="K20" s="230"/>
      <c r="L20" s="73"/>
      <c r="M20" s="13">
        <v>1130000</v>
      </c>
      <c r="N20" s="10"/>
      <c r="O20" s="10">
        <v>40000</v>
      </c>
      <c r="P20" s="10"/>
      <c r="Q20" s="344">
        <f>SUM(L20:P21)</f>
        <v>1670000</v>
      </c>
      <c r="R20" s="110" t="s">
        <v>94</v>
      </c>
    </row>
    <row r="21" spans="1:19" ht="23.4" customHeight="1">
      <c r="A21" s="327"/>
      <c r="B21" s="327"/>
      <c r="C21" s="198">
        <v>24</v>
      </c>
      <c r="D21" s="198" t="s">
        <v>65</v>
      </c>
      <c r="E21" s="11"/>
      <c r="F21" s="11" t="s">
        <v>66</v>
      </c>
      <c r="G21" s="74">
        <v>1988</v>
      </c>
      <c r="H21" s="233"/>
      <c r="I21" s="206"/>
      <c r="J21" s="9"/>
      <c r="K21" s="13"/>
      <c r="L21" s="13">
        <v>500000</v>
      </c>
      <c r="M21" s="13"/>
      <c r="N21" s="13"/>
      <c r="O21" s="13"/>
      <c r="P21" s="13"/>
      <c r="Q21" s="345"/>
      <c r="R21" s="127" t="s">
        <v>51</v>
      </c>
    </row>
    <row r="22" spans="1:19" ht="22.8" customHeight="1">
      <c r="A22" s="200">
        <v>10</v>
      </c>
      <c r="B22" s="190" t="s">
        <v>200</v>
      </c>
      <c r="C22" s="198">
        <v>2</v>
      </c>
      <c r="D22" s="198" t="s">
        <v>325</v>
      </c>
      <c r="E22" s="11"/>
      <c r="F22" s="11" t="s">
        <v>73</v>
      </c>
      <c r="G22" s="74"/>
      <c r="H22" s="233">
        <v>315000</v>
      </c>
      <c r="I22" s="223">
        <v>1260</v>
      </c>
      <c r="J22" s="109"/>
      <c r="K22" s="13"/>
      <c r="L22" s="13"/>
      <c r="M22" s="13">
        <v>2050000</v>
      </c>
      <c r="N22" s="13"/>
      <c r="O22" s="13"/>
      <c r="P22" s="13"/>
      <c r="Q22" s="145">
        <f t="shared" si="0"/>
        <v>2050000</v>
      </c>
      <c r="R22" s="185"/>
    </row>
    <row r="23" spans="1:19" ht="22.8" customHeight="1">
      <c r="A23" s="326">
        <v>11</v>
      </c>
      <c r="B23" s="346" t="s">
        <v>203</v>
      </c>
      <c r="C23" s="198">
        <v>6</v>
      </c>
      <c r="D23" s="198" t="s">
        <v>104</v>
      </c>
      <c r="E23" s="11"/>
      <c r="F23" s="11" t="s">
        <v>48</v>
      </c>
      <c r="G23" s="74"/>
      <c r="H23" s="233">
        <v>120400</v>
      </c>
      <c r="I23" s="233">
        <v>944.6</v>
      </c>
      <c r="J23" s="109"/>
      <c r="K23" s="13"/>
      <c r="L23" s="13"/>
      <c r="M23" s="13">
        <v>1000000</v>
      </c>
      <c r="N23" s="13"/>
      <c r="O23" s="13"/>
      <c r="P23" s="13"/>
      <c r="Q23" s="344">
        <f>SUM(L23:P25)</f>
        <v>1660000</v>
      </c>
      <c r="R23" s="185"/>
    </row>
    <row r="24" spans="1:19" ht="23.4" customHeight="1">
      <c r="A24" s="338"/>
      <c r="B24" s="348"/>
      <c r="C24" s="198">
        <v>14</v>
      </c>
      <c r="D24" s="198" t="s">
        <v>65</v>
      </c>
      <c r="E24" s="11"/>
      <c r="F24" s="11" t="s">
        <v>66</v>
      </c>
      <c r="G24" s="74">
        <v>1000</v>
      </c>
      <c r="H24" s="233"/>
      <c r="I24" s="206"/>
      <c r="J24" s="9"/>
      <c r="K24" s="13"/>
      <c r="L24" s="336">
        <v>660000</v>
      </c>
      <c r="M24" s="13"/>
      <c r="N24" s="13"/>
      <c r="O24" s="13"/>
      <c r="P24" s="13"/>
      <c r="Q24" s="350"/>
      <c r="R24" s="110"/>
    </row>
    <row r="25" spans="1:19" ht="23.4" customHeight="1">
      <c r="A25" s="327"/>
      <c r="B25" s="347"/>
      <c r="C25" s="198">
        <v>20</v>
      </c>
      <c r="D25" s="198" t="s">
        <v>153</v>
      </c>
      <c r="E25" s="11"/>
      <c r="F25" s="11" t="s">
        <v>66</v>
      </c>
      <c r="G25" s="74">
        <v>1000</v>
      </c>
      <c r="H25" s="233"/>
      <c r="I25" s="206"/>
      <c r="J25" s="9"/>
      <c r="K25" s="13"/>
      <c r="L25" s="337"/>
      <c r="M25" s="13"/>
      <c r="N25" s="13"/>
      <c r="O25" s="13"/>
      <c r="P25" s="13"/>
      <c r="Q25" s="345"/>
      <c r="R25" s="110"/>
    </row>
    <row r="26" spans="1:19" ht="23.4" customHeight="1">
      <c r="A26" s="200">
        <v>12</v>
      </c>
      <c r="B26" s="190" t="s">
        <v>205</v>
      </c>
      <c r="C26" s="198" t="s">
        <v>363</v>
      </c>
      <c r="D26" s="198" t="s">
        <v>81</v>
      </c>
      <c r="E26" s="11"/>
      <c r="F26" s="11" t="s">
        <v>66</v>
      </c>
      <c r="G26" s="74"/>
      <c r="H26" s="233">
        <v>164600</v>
      </c>
      <c r="I26" s="233">
        <f>1756.4+570</f>
        <v>2326.4</v>
      </c>
      <c r="J26" s="9"/>
      <c r="K26" s="13"/>
      <c r="L26" s="13"/>
      <c r="M26" s="13">
        <v>1500000</v>
      </c>
      <c r="N26" s="13"/>
      <c r="O26" s="13"/>
      <c r="P26" s="13"/>
      <c r="Q26" s="145">
        <f t="shared" si="0"/>
        <v>1500000</v>
      </c>
      <c r="R26" s="110"/>
    </row>
    <row r="27" spans="1:19" ht="23.4" customHeight="1">
      <c r="A27" s="326">
        <v>13</v>
      </c>
      <c r="B27" s="346" t="s">
        <v>206</v>
      </c>
      <c r="C27" s="198">
        <v>10</v>
      </c>
      <c r="D27" s="198" t="s">
        <v>80</v>
      </c>
      <c r="E27" s="11"/>
      <c r="F27" s="11" t="s">
        <v>73</v>
      </c>
      <c r="G27" s="74"/>
      <c r="H27" s="233">
        <v>30160</v>
      </c>
      <c r="I27" s="223">
        <v>663.24800000000005</v>
      </c>
      <c r="J27" s="9"/>
      <c r="K27" s="13"/>
      <c r="L27" s="13"/>
      <c r="M27" s="336">
        <v>2150000</v>
      </c>
      <c r="N27" s="13"/>
      <c r="O27" s="13">
        <f>160*500</f>
        <v>80000</v>
      </c>
      <c r="P27" s="13"/>
      <c r="Q27" s="344">
        <f>SUM(L27:P28)</f>
        <v>2230000</v>
      </c>
      <c r="R27" s="127" t="s">
        <v>364</v>
      </c>
      <c r="S27" s="204"/>
    </row>
    <row r="28" spans="1:19" ht="23.4" customHeight="1">
      <c r="A28" s="327"/>
      <c r="B28" s="347"/>
      <c r="C28" s="198">
        <v>60</v>
      </c>
      <c r="D28" s="198" t="s">
        <v>297</v>
      </c>
      <c r="E28" s="11"/>
      <c r="F28" s="11" t="s">
        <v>73</v>
      </c>
      <c r="G28" s="74"/>
      <c r="H28" s="233">
        <v>90000</v>
      </c>
      <c r="I28" s="223">
        <v>900</v>
      </c>
      <c r="J28" s="9"/>
      <c r="K28" s="13"/>
      <c r="L28" s="13"/>
      <c r="M28" s="337"/>
      <c r="N28" s="13"/>
      <c r="O28" s="13"/>
      <c r="P28" s="13"/>
      <c r="Q28" s="345"/>
      <c r="R28" s="127"/>
    </row>
    <row r="29" spans="1:19" ht="23.4" customHeight="1">
      <c r="A29" s="326">
        <v>14</v>
      </c>
      <c r="B29" s="346" t="s">
        <v>208</v>
      </c>
      <c r="C29" s="198">
        <v>9</v>
      </c>
      <c r="D29" s="198" t="s">
        <v>113</v>
      </c>
      <c r="E29" s="11"/>
      <c r="F29" s="11" t="s">
        <v>46</v>
      </c>
      <c r="G29" s="74"/>
      <c r="H29" s="233">
        <v>57600</v>
      </c>
      <c r="I29" s="223">
        <v>837.03300000000002</v>
      </c>
      <c r="J29" s="109"/>
      <c r="K29" s="13"/>
      <c r="L29" s="13"/>
      <c r="M29" s="336">
        <v>1580000</v>
      </c>
      <c r="N29" s="13"/>
      <c r="O29" s="13">
        <v>65000</v>
      </c>
      <c r="P29" s="13"/>
      <c r="Q29" s="344">
        <f>SUM(L29:P30)</f>
        <v>1645000</v>
      </c>
      <c r="R29" s="185" t="s">
        <v>94</v>
      </c>
      <c r="S29" s="186"/>
    </row>
    <row r="30" spans="1:19" ht="22.8" customHeight="1">
      <c r="A30" s="338"/>
      <c r="B30" s="348"/>
      <c r="C30" s="198" t="s">
        <v>184</v>
      </c>
      <c r="D30" s="198" t="s">
        <v>60</v>
      </c>
      <c r="E30" s="11"/>
      <c r="F30" s="11" t="s">
        <v>66</v>
      </c>
      <c r="G30" s="74"/>
      <c r="H30" s="233">
        <v>49200</v>
      </c>
      <c r="I30" s="223">
        <v>1288.42</v>
      </c>
      <c r="J30" s="9"/>
      <c r="K30" s="13"/>
      <c r="L30" s="13"/>
      <c r="M30" s="337"/>
      <c r="N30" s="13"/>
      <c r="O30" s="13"/>
      <c r="P30" s="13"/>
      <c r="Q30" s="350"/>
      <c r="R30" s="110"/>
    </row>
    <row r="31" spans="1:19" ht="23.4" customHeight="1">
      <c r="A31" s="200">
        <v>15</v>
      </c>
      <c r="B31" s="190" t="s">
        <v>209</v>
      </c>
      <c r="C31" s="198">
        <v>15</v>
      </c>
      <c r="D31" s="198" t="s">
        <v>56</v>
      </c>
      <c r="E31" s="11"/>
      <c r="F31" s="11" t="s">
        <v>33</v>
      </c>
      <c r="G31" s="74"/>
      <c r="H31" s="233">
        <v>1035000</v>
      </c>
      <c r="I31" s="223">
        <v>2018.25</v>
      </c>
      <c r="J31" s="9"/>
      <c r="K31" s="13"/>
      <c r="L31" s="13"/>
      <c r="M31" s="13">
        <v>950000</v>
      </c>
      <c r="N31" s="13"/>
      <c r="O31" s="13"/>
      <c r="P31" s="13"/>
      <c r="Q31" s="145">
        <f t="shared" si="0"/>
        <v>950000</v>
      </c>
      <c r="R31" s="110"/>
    </row>
    <row r="32" spans="1:19" ht="23.4" customHeight="1">
      <c r="A32" s="326">
        <v>16</v>
      </c>
      <c r="B32" s="346" t="s">
        <v>211</v>
      </c>
      <c r="C32" s="198">
        <v>16</v>
      </c>
      <c r="D32" s="198" t="s">
        <v>150</v>
      </c>
      <c r="E32" s="11"/>
      <c r="F32" s="11" t="s">
        <v>77</v>
      </c>
      <c r="G32" s="74"/>
      <c r="H32" s="233">
        <v>69000</v>
      </c>
      <c r="I32" s="223">
        <v>950.9</v>
      </c>
      <c r="J32" s="74"/>
      <c r="K32" s="13"/>
      <c r="L32" s="13"/>
      <c r="M32" s="336">
        <v>1730000</v>
      </c>
      <c r="N32" s="13"/>
      <c r="O32" s="13"/>
      <c r="P32" s="13"/>
      <c r="Q32" s="344">
        <f>SUM(L32:P33)</f>
        <v>1730000</v>
      </c>
      <c r="R32" s="110" t="s">
        <v>51</v>
      </c>
      <c r="S32" s="3"/>
    </row>
    <row r="33" spans="1:19" ht="23.4" customHeight="1">
      <c r="A33" s="327"/>
      <c r="B33" s="347"/>
      <c r="C33" s="198">
        <v>3</v>
      </c>
      <c r="D33" s="198" t="s">
        <v>113</v>
      </c>
      <c r="E33" s="11"/>
      <c r="F33" s="11" t="s">
        <v>46</v>
      </c>
      <c r="G33" s="74"/>
      <c r="H33" s="233">
        <v>97900</v>
      </c>
      <c r="I33" s="223">
        <v>1281.3230000000001</v>
      </c>
      <c r="J33" s="129"/>
      <c r="K33" s="13"/>
      <c r="L33" s="13"/>
      <c r="M33" s="337"/>
      <c r="N33" s="13"/>
      <c r="O33" s="13"/>
      <c r="P33" s="13"/>
      <c r="Q33" s="345"/>
      <c r="R33" s="213"/>
    </row>
    <row r="34" spans="1:19" ht="45" customHeight="1">
      <c r="A34" s="200">
        <v>17</v>
      </c>
      <c r="B34" s="190" t="s">
        <v>248</v>
      </c>
      <c r="C34" s="198">
        <v>21</v>
      </c>
      <c r="D34" s="198" t="s">
        <v>113</v>
      </c>
      <c r="E34" s="11"/>
      <c r="F34" s="11" t="s">
        <v>107</v>
      </c>
      <c r="G34" s="74"/>
      <c r="H34" s="233">
        <v>198800</v>
      </c>
      <c r="I34" s="223">
        <v>2745.1376</v>
      </c>
      <c r="J34" s="9"/>
      <c r="K34" s="13"/>
      <c r="L34" s="13"/>
      <c r="M34" s="13">
        <v>1950000</v>
      </c>
      <c r="N34" s="13"/>
      <c r="O34" s="13"/>
      <c r="P34" s="13"/>
      <c r="Q34" s="145">
        <f t="shared" si="0"/>
        <v>1950000</v>
      </c>
      <c r="R34" s="110"/>
    </row>
    <row r="35" spans="1:19" ht="24" customHeight="1">
      <c r="A35" s="326">
        <v>18</v>
      </c>
      <c r="B35" s="346" t="s">
        <v>250</v>
      </c>
      <c r="C35" s="198" t="s">
        <v>151</v>
      </c>
      <c r="D35" s="198" t="s">
        <v>68</v>
      </c>
      <c r="E35" s="11"/>
      <c r="F35" s="11" t="s">
        <v>61</v>
      </c>
      <c r="G35" s="74">
        <v>4000</v>
      </c>
      <c r="H35" s="233"/>
      <c r="I35" s="206"/>
      <c r="J35" s="9">
        <v>1676</v>
      </c>
      <c r="K35" s="13"/>
      <c r="L35" s="13">
        <v>1300000</v>
      </c>
      <c r="M35" s="13"/>
      <c r="N35" s="13"/>
      <c r="O35" s="13">
        <f>J35*400</f>
        <v>670400</v>
      </c>
      <c r="P35" s="13"/>
      <c r="Q35" s="344">
        <f>SUM(L35:P36)</f>
        <v>2200400</v>
      </c>
      <c r="R35" s="110" t="s">
        <v>365</v>
      </c>
    </row>
    <row r="36" spans="1:19" ht="23.4" customHeight="1">
      <c r="A36" s="327"/>
      <c r="B36" s="347"/>
      <c r="C36" s="198" t="s">
        <v>366</v>
      </c>
      <c r="D36" s="198" t="s">
        <v>165</v>
      </c>
      <c r="E36" s="11"/>
      <c r="F36" s="11" t="s">
        <v>63</v>
      </c>
      <c r="G36" s="74"/>
      <c r="H36" s="233">
        <v>30000</v>
      </c>
      <c r="I36" s="223">
        <v>203.15</v>
      </c>
      <c r="J36" s="9"/>
      <c r="K36" s="13"/>
      <c r="L36" s="13"/>
      <c r="M36" s="13">
        <v>230000</v>
      </c>
      <c r="N36" s="13"/>
      <c r="O36" s="13"/>
      <c r="P36" s="13"/>
      <c r="Q36" s="345"/>
      <c r="R36" s="110"/>
    </row>
    <row r="37" spans="1:19" ht="23.4" customHeight="1">
      <c r="A37" s="326">
        <v>19</v>
      </c>
      <c r="B37" s="346" t="s">
        <v>212</v>
      </c>
      <c r="C37" s="198">
        <v>36</v>
      </c>
      <c r="D37" s="198" t="s">
        <v>96</v>
      </c>
      <c r="E37" s="11"/>
      <c r="F37" s="11" t="s">
        <v>46</v>
      </c>
      <c r="G37" s="74">
        <v>3215</v>
      </c>
      <c r="H37" s="233"/>
      <c r="I37" s="206"/>
      <c r="J37" s="9"/>
      <c r="K37" s="13"/>
      <c r="L37" s="13">
        <v>1250000</v>
      </c>
      <c r="M37" s="13"/>
      <c r="N37" s="13"/>
      <c r="O37" s="13"/>
      <c r="P37" s="13"/>
      <c r="Q37" s="344">
        <f>SUM(L37:P38)</f>
        <v>1430000</v>
      </c>
      <c r="R37" s="110" t="s">
        <v>51</v>
      </c>
    </row>
    <row r="38" spans="1:19" ht="23.4" customHeight="1">
      <c r="A38" s="327"/>
      <c r="B38" s="347"/>
      <c r="C38" s="198">
        <v>8</v>
      </c>
      <c r="D38" s="198" t="s">
        <v>113</v>
      </c>
      <c r="E38" s="11"/>
      <c r="F38" s="11" t="s">
        <v>46</v>
      </c>
      <c r="G38" s="74"/>
      <c r="H38" s="233">
        <v>30000</v>
      </c>
      <c r="I38" s="223">
        <v>180</v>
      </c>
      <c r="J38" s="9"/>
      <c r="K38" s="13"/>
      <c r="L38" s="13"/>
      <c r="M38" s="13">
        <v>180000</v>
      </c>
      <c r="N38" s="13"/>
      <c r="O38" s="13"/>
      <c r="P38" s="13"/>
      <c r="Q38" s="345"/>
      <c r="R38" s="110"/>
    </row>
    <row r="39" spans="1:19" ht="23.4" customHeight="1">
      <c r="A39" s="326">
        <v>20</v>
      </c>
      <c r="B39" s="346" t="s">
        <v>213</v>
      </c>
      <c r="C39" s="198">
        <v>13</v>
      </c>
      <c r="D39" s="198" t="s">
        <v>129</v>
      </c>
      <c r="E39" s="11"/>
      <c r="F39" s="11" t="s">
        <v>54</v>
      </c>
      <c r="G39" s="74"/>
      <c r="H39" s="233">
        <v>51000</v>
      </c>
      <c r="I39" s="223">
        <v>561.63239999999996</v>
      </c>
      <c r="J39" s="9"/>
      <c r="K39" s="13"/>
      <c r="L39" s="13"/>
      <c r="M39" s="13">
        <v>480000</v>
      </c>
      <c r="N39" s="13"/>
      <c r="O39" s="13"/>
      <c r="P39" s="13"/>
      <c r="Q39" s="344">
        <f>SUM(L39:P40)</f>
        <v>2027600</v>
      </c>
      <c r="R39" s="212"/>
      <c r="S39" s="3"/>
    </row>
    <row r="40" spans="1:19" ht="22.8" customHeight="1">
      <c r="A40" s="327"/>
      <c r="B40" s="347"/>
      <c r="C40" s="198" t="s">
        <v>367</v>
      </c>
      <c r="D40" s="198" t="s">
        <v>68</v>
      </c>
      <c r="E40" s="11"/>
      <c r="F40" s="11" t="s">
        <v>61</v>
      </c>
      <c r="G40" s="74">
        <v>3500</v>
      </c>
      <c r="H40" s="233"/>
      <c r="I40" s="223"/>
      <c r="J40" s="9">
        <v>1369</v>
      </c>
      <c r="K40" s="13"/>
      <c r="L40" s="13">
        <v>1000000</v>
      </c>
      <c r="M40" s="13"/>
      <c r="N40" s="13"/>
      <c r="O40" s="13">
        <f>J40*400</f>
        <v>547600</v>
      </c>
      <c r="P40" s="13"/>
      <c r="Q40" s="345"/>
      <c r="R40" s="185" t="s">
        <v>130</v>
      </c>
    </row>
    <row r="41" spans="1:19" ht="23.4" customHeight="1">
      <c r="A41" s="326">
        <v>21</v>
      </c>
      <c r="B41" s="346" t="s">
        <v>215</v>
      </c>
      <c r="C41" s="198">
        <v>3</v>
      </c>
      <c r="D41" s="198" t="s">
        <v>74</v>
      </c>
      <c r="E41" s="11"/>
      <c r="F41" s="11" t="s">
        <v>75</v>
      </c>
      <c r="G41" s="74">
        <v>2500</v>
      </c>
      <c r="H41" s="74"/>
      <c r="I41" s="129"/>
      <c r="J41" s="9"/>
      <c r="K41" s="13"/>
      <c r="L41" s="336">
        <v>1380000</v>
      </c>
      <c r="M41" s="13"/>
      <c r="N41" s="13"/>
      <c r="O41" s="13"/>
      <c r="P41" s="13"/>
      <c r="Q41" s="344">
        <f>SUM(L41:P42)</f>
        <v>1380000</v>
      </c>
      <c r="R41" s="110"/>
    </row>
    <row r="42" spans="1:19" ht="23.4" customHeight="1">
      <c r="A42" s="327"/>
      <c r="B42" s="347"/>
      <c r="C42" s="198">
        <v>4</v>
      </c>
      <c r="D42" s="198" t="s">
        <v>154</v>
      </c>
      <c r="E42" s="11"/>
      <c r="F42" s="11" t="s">
        <v>46</v>
      </c>
      <c r="G42" s="74">
        <v>2000</v>
      </c>
      <c r="H42" s="74"/>
      <c r="I42" s="74"/>
      <c r="J42" s="9"/>
      <c r="K42" s="13"/>
      <c r="L42" s="337"/>
      <c r="M42" s="13"/>
      <c r="N42" s="13"/>
      <c r="O42" s="13"/>
      <c r="P42" s="13"/>
      <c r="Q42" s="345"/>
      <c r="R42" s="110"/>
    </row>
    <row r="43" spans="1:19" ht="23.4" customHeight="1">
      <c r="A43" s="200">
        <v>22</v>
      </c>
      <c r="B43" s="190" t="s">
        <v>215</v>
      </c>
      <c r="C43" s="198">
        <v>32</v>
      </c>
      <c r="D43" s="198" t="s">
        <v>74</v>
      </c>
      <c r="E43" s="11"/>
      <c r="F43" s="11" t="s">
        <v>75</v>
      </c>
      <c r="G43" s="129">
        <v>4077</v>
      </c>
      <c r="H43" s="129"/>
      <c r="I43" s="129"/>
      <c r="J43" s="9"/>
      <c r="K43" s="13"/>
      <c r="L43" s="13">
        <v>1250000</v>
      </c>
      <c r="M43" s="13"/>
      <c r="N43" s="13"/>
      <c r="O43" s="13"/>
      <c r="P43" s="13"/>
      <c r="Q43" s="145">
        <f t="shared" si="0"/>
        <v>1250000</v>
      </c>
      <c r="R43" s="110" t="s">
        <v>53</v>
      </c>
    </row>
    <row r="44" spans="1:19" ht="23.4" customHeight="1">
      <c r="A44" s="361">
        <v>23</v>
      </c>
      <c r="B44" s="346" t="s">
        <v>219</v>
      </c>
      <c r="C44" s="198" t="s">
        <v>309</v>
      </c>
      <c r="D44" s="198" t="s">
        <v>58</v>
      </c>
      <c r="E44" s="11"/>
      <c r="F44" s="11" t="s">
        <v>46</v>
      </c>
      <c r="G44" s="74"/>
      <c r="H44" s="233">
        <v>50800</v>
      </c>
      <c r="I44" s="223">
        <v>1040.395</v>
      </c>
      <c r="J44" s="9"/>
      <c r="K44" s="13"/>
      <c r="L44" s="13"/>
      <c r="M44" s="336">
        <v>1000000</v>
      </c>
      <c r="N44" s="13"/>
      <c r="O44" s="13"/>
      <c r="P44" s="13"/>
      <c r="Q44" s="344">
        <f>SUM(L44:P46)</f>
        <v>1510000</v>
      </c>
      <c r="R44" s="110" t="s">
        <v>51</v>
      </c>
    </row>
    <row r="45" spans="1:19" ht="23.4" customHeight="1">
      <c r="A45" s="362"/>
      <c r="B45" s="348"/>
      <c r="C45" s="198" t="s">
        <v>350</v>
      </c>
      <c r="D45" s="198" t="s">
        <v>368</v>
      </c>
      <c r="E45" s="11"/>
      <c r="F45" s="11" t="s">
        <v>46</v>
      </c>
      <c r="G45" s="74"/>
      <c r="H45" s="233">
        <v>45000</v>
      </c>
      <c r="I45" s="223">
        <v>404.916</v>
      </c>
      <c r="J45" s="9"/>
      <c r="K45" s="13"/>
      <c r="L45" s="13"/>
      <c r="M45" s="337"/>
      <c r="N45" s="13"/>
      <c r="O45" s="13"/>
      <c r="P45" s="13"/>
      <c r="Q45" s="350"/>
      <c r="R45" s="110"/>
    </row>
    <row r="46" spans="1:19" ht="23.4" customHeight="1">
      <c r="A46" s="363"/>
      <c r="B46" s="347"/>
      <c r="C46" s="198">
        <v>8</v>
      </c>
      <c r="D46" s="198" t="s">
        <v>74</v>
      </c>
      <c r="E46" s="11"/>
      <c r="F46" s="11" t="s">
        <v>75</v>
      </c>
      <c r="G46" s="74">
        <v>3035</v>
      </c>
      <c r="H46" s="233"/>
      <c r="I46" s="223"/>
      <c r="J46" s="9"/>
      <c r="K46" s="13"/>
      <c r="L46" s="13">
        <v>510000</v>
      </c>
      <c r="M46" s="13"/>
      <c r="N46" s="13"/>
      <c r="O46" s="13"/>
      <c r="P46" s="13"/>
      <c r="Q46" s="345"/>
      <c r="R46" s="185"/>
    </row>
    <row r="47" spans="1:19" ht="33" customHeight="1">
      <c r="A47" s="200">
        <v>24</v>
      </c>
      <c r="B47" s="190" t="s">
        <v>221</v>
      </c>
      <c r="C47" s="198">
        <v>7</v>
      </c>
      <c r="D47" s="198" t="s">
        <v>139</v>
      </c>
      <c r="E47" s="11"/>
      <c r="F47" s="11" t="s">
        <v>107</v>
      </c>
      <c r="G47" s="74"/>
      <c r="H47" s="233">
        <v>155960</v>
      </c>
      <c r="I47" s="223">
        <v>2500.9132</v>
      </c>
      <c r="J47" s="9"/>
      <c r="K47" s="13"/>
      <c r="L47" s="13"/>
      <c r="M47" s="13">
        <v>1950000</v>
      </c>
      <c r="N47" s="13"/>
      <c r="O47" s="13"/>
      <c r="P47" s="13"/>
      <c r="Q47" s="145">
        <f t="shared" si="0"/>
        <v>1950000</v>
      </c>
      <c r="R47" s="185"/>
    </row>
    <row r="48" spans="1:19" ht="25.8" customHeight="1">
      <c r="A48" s="200">
        <v>25</v>
      </c>
      <c r="B48" s="190" t="s">
        <v>225</v>
      </c>
      <c r="C48" s="198" t="s">
        <v>369</v>
      </c>
      <c r="D48" s="198" t="s">
        <v>103</v>
      </c>
      <c r="E48" s="11"/>
      <c r="F48" s="11" t="s">
        <v>76</v>
      </c>
      <c r="G48" s="74"/>
      <c r="H48" s="233">
        <f>72000+30402</f>
        <v>102402</v>
      </c>
      <c r="I48" s="223">
        <f>639+492.48</f>
        <v>1131.48</v>
      </c>
      <c r="J48" s="9"/>
      <c r="K48" s="13"/>
      <c r="L48" s="13"/>
      <c r="M48" s="13">
        <v>950000</v>
      </c>
      <c r="N48" s="13"/>
      <c r="O48" s="13"/>
      <c r="P48" s="13"/>
      <c r="Q48" s="145">
        <f t="shared" si="0"/>
        <v>950000</v>
      </c>
      <c r="R48" s="213"/>
    </row>
    <row r="49" spans="1:19" ht="25.2" customHeight="1">
      <c r="A49" s="200">
        <v>26</v>
      </c>
      <c r="B49" s="190" t="s">
        <v>225</v>
      </c>
      <c r="C49" s="198">
        <v>29</v>
      </c>
      <c r="D49" s="198" t="s">
        <v>79</v>
      </c>
      <c r="E49" s="11"/>
      <c r="F49" s="11" t="s">
        <v>77</v>
      </c>
      <c r="G49" s="74">
        <v>3200</v>
      </c>
      <c r="H49" s="74"/>
      <c r="I49" s="129"/>
      <c r="J49" s="9"/>
      <c r="K49" s="13"/>
      <c r="L49" s="13">
        <v>1400000</v>
      </c>
      <c r="M49" s="13"/>
      <c r="N49" s="13"/>
      <c r="O49" s="13"/>
      <c r="P49" s="13"/>
      <c r="Q49" s="145">
        <f t="shared" si="0"/>
        <v>1400000</v>
      </c>
      <c r="R49" s="127" t="s">
        <v>53</v>
      </c>
    </row>
    <row r="50" spans="1:19" ht="23.4" customHeight="1">
      <c r="A50" s="200">
        <v>27</v>
      </c>
      <c r="B50" s="190" t="s">
        <v>228</v>
      </c>
      <c r="C50" s="198" t="s">
        <v>370</v>
      </c>
      <c r="D50" s="198" t="s">
        <v>82</v>
      </c>
      <c r="E50" s="11"/>
      <c r="F50" s="11" t="s">
        <v>64</v>
      </c>
      <c r="G50" s="74"/>
      <c r="H50" s="233">
        <v>207300</v>
      </c>
      <c r="I50" s="223">
        <v>2525.835</v>
      </c>
      <c r="J50" s="9"/>
      <c r="K50" s="13"/>
      <c r="L50" s="13"/>
      <c r="M50" s="13">
        <v>1300000</v>
      </c>
      <c r="N50" s="13"/>
      <c r="O50" s="13"/>
      <c r="P50" s="13"/>
      <c r="Q50" s="145">
        <f t="shared" si="0"/>
        <v>1300000</v>
      </c>
      <c r="R50" s="110"/>
    </row>
    <row r="51" spans="1:19" ht="23.4" customHeight="1">
      <c r="A51" s="200">
        <v>28</v>
      </c>
      <c r="B51" s="190" t="s">
        <v>228</v>
      </c>
      <c r="C51" s="198" t="s">
        <v>371</v>
      </c>
      <c r="D51" s="198" t="s">
        <v>68</v>
      </c>
      <c r="E51" s="11"/>
      <c r="F51" s="11" t="s">
        <v>61</v>
      </c>
      <c r="G51" s="129">
        <v>3727</v>
      </c>
      <c r="H51" s="233"/>
      <c r="I51" s="223"/>
      <c r="J51" s="9">
        <v>1695</v>
      </c>
      <c r="K51" s="13"/>
      <c r="L51" s="13">
        <v>1300000</v>
      </c>
      <c r="M51" s="13"/>
      <c r="N51" s="13"/>
      <c r="O51" s="13"/>
      <c r="P51" s="13">
        <f>J51*400</f>
        <v>678000</v>
      </c>
      <c r="Q51" s="145">
        <f t="shared" si="0"/>
        <v>1978000</v>
      </c>
      <c r="R51" s="110" t="s">
        <v>130</v>
      </c>
    </row>
    <row r="52" spans="1:19" ht="23.4" customHeight="1">
      <c r="A52" s="326">
        <v>29</v>
      </c>
      <c r="B52" s="346" t="s">
        <v>232</v>
      </c>
      <c r="C52" s="198">
        <v>29</v>
      </c>
      <c r="D52" s="198" t="s">
        <v>55</v>
      </c>
      <c r="E52" s="11"/>
      <c r="F52" s="11" t="s">
        <v>71</v>
      </c>
      <c r="G52" s="74"/>
      <c r="H52" s="233">
        <v>25200</v>
      </c>
      <c r="I52" s="223">
        <v>718.2</v>
      </c>
      <c r="J52" s="9"/>
      <c r="K52" s="13"/>
      <c r="L52" s="13"/>
      <c r="M52" s="336">
        <v>1580000</v>
      </c>
      <c r="N52" s="13"/>
      <c r="O52" s="13"/>
      <c r="P52" s="13"/>
      <c r="Q52" s="344">
        <f>SUM(L52:P53)</f>
        <v>1660000</v>
      </c>
      <c r="R52" s="110" t="s">
        <v>51</v>
      </c>
    </row>
    <row r="53" spans="1:19" ht="23.4" customHeight="1">
      <c r="A53" s="327"/>
      <c r="B53" s="347"/>
      <c r="C53" s="198">
        <v>8</v>
      </c>
      <c r="D53" s="198" t="s">
        <v>56</v>
      </c>
      <c r="E53" s="11"/>
      <c r="F53" s="11" t="s">
        <v>33</v>
      </c>
      <c r="G53" s="233"/>
      <c r="H53" s="233">
        <v>52000</v>
      </c>
      <c r="I53" s="223">
        <v>942.81</v>
      </c>
      <c r="J53" s="9"/>
      <c r="K53" s="13"/>
      <c r="L53" s="13"/>
      <c r="M53" s="337"/>
      <c r="N53" s="13">
        <v>80000</v>
      </c>
      <c r="O53" s="13"/>
      <c r="P53" s="13"/>
      <c r="Q53" s="345"/>
      <c r="R53" s="184" t="s">
        <v>372</v>
      </c>
    </row>
    <row r="54" spans="1:19" ht="23.4" customHeight="1">
      <c r="A54" s="200">
        <v>30</v>
      </c>
      <c r="B54" s="190" t="s">
        <v>233</v>
      </c>
      <c r="C54" s="198" t="s">
        <v>373</v>
      </c>
      <c r="D54" s="198" t="s">
        <v>113</v>
      </c>
      <c r="E54" s="11"/>
      <c r="F54" s="11" t="s">
        <v>374</v>
      </c>
      <c r="G54" s="74"/>
      <c r="H54" s="233">
        <v>142480</v>
      </c>
      <c r="I54" s="74">
        <v>2527.42</v>
      </c>
      <c r="J54" s="9"/>
      <c r="K54" s="13"/>
      <c r="L54" s="13"/>
      <c r="M54" s="13">
        <v>1800000</v>
      </c>
      <c r="N54" s="13"/>
      <c r="O54" s="13"/>
      <c r="P54" s="13"/>
      <c r="Q54" s="145">
        <f t="shared" si="0"/>
        <v>1800000</v>
      </c>
      <c r="R54" s="208" t="s">
        <v>375</v>
      </c>
    </row>
    <row r="55" spans="1:19" s="21" customFormat="1" ht="27" customHeight="1">
      <c r="A55" s="315" t="s">
        <v>20</v>
      </c>
      <c r="B55" s="315"/>
      <c r="C55" s="315"/>
      <c r="D55" s="315"/>
      <c r="E55" s="315"/>
      <c r="F55" s="315"/>
      <c r="G55" s="20">
        <f>SUM(G10:G54)</f>
        <v>37633</v>
      </c>
      <c r="H55" s="20">
        <f>SUM(H10:H54)</f>
        <v>4473032</v>
      </c>
      <c r="I55" s="20">
        <f>SUM(I10:I54)</f>
        <v>41464.563199999997</v>
      </c>
      <c r="J55" s="161">
        <f>SUM(J10:J54)</f>
        <v>6356</v>
      </c>
      <c r="K55" s="20">
        <f>SUM(K10:K54)</f>
        <v>0</v>
      </c>
      <c r="L55" s="20">
        <f>SUM(L8:L54)</f>
        <v>13440000</v>
      </c>
      <c r="M55" s="20">
        <f>SUM(M8:M54)</f>
        <v>30890000</v>
      </c>
      <c r="N55" s="20">
        <f>SUM(N10:N54)</f>
        <v>80000</v>
      </c>
      <c r="O55" s="20">
        <f>SUM(O8:O54)</f>
        <v>2413000</v>
      </c>
      <c r="P55" s="20">
        <f>SUM(P8:P54)</f>
        <v>1324400</v>
      </c>
      <c r="Q55" s="140">
        <f>SUM(Q8:Q54)</f>
        <v>48147400</v>
      </c>
      <c r="R55" s="98"/>
      <c r="S55" s="30"/>
    </row>
    <row r="56" spans="1:19" s="21" customFormat="1" ht="26.4" customHeight="1">
      <c r="A56" s="317" t="s">
        <v>21</v>
      </c>
      <c r="B56" s="317"/>
      <c r="C56" s="317"/>
      <c r="D56" s="317"/>
      <c r="E56" s="317"/>
      <c r="F56" s="317"/>
      <c r="G56" s="20"/>
      <c r="H56" s="20"/>
      <c r="I56" s="20"/>
      <c r="J56" s="161"/>
      <c r="K56" s="20"/>
      <c r="L56" s="20"/>
      <c r="M56" s="20"/>
      <c r="N56" s="20"/>
      <c r="O56" s="20"/>
      <c r="P56" s="20"/>
      <c r="Q56" s="20">
        <f>8%*Q55</f>
        <v>3851792</v>
      </c>
      <c r="R56" s="63"/>
      <c r="S56" s="228"/>
    </row>
    <row r="57" spans="1:19" s="21" customFormat="1" ht="21" customHeight="1">
      <c r="A57" s="317" t="s">
        <v>22</v>
      </c>
      <c r="B57" s="317"/>
      <c r="C57" s="317"/>
      <c r="D57" s="317"/>
      <c r="E57" s="317"/>
      <c r="F57" s="317"/>
      <c r="G57" s="20"/>
      <c r="H57" s="20"/>
      <c r="I57" s="20"/>
      <c r="J57" s="161"/>
      <c r="K57" s="20"/>
      <c r="L57" s="20"/>
      <c r="M57" s="20"/>
      <c r="N57" s="20"/>
      <c r="O57" s="20"/>
      <c r="P57" s="20"/>
      <c r="Q57" s="20">
        <f>Q56+Q55</f>
        <v>51999192</v>
      </c>
      <c r="R57" s="64"/>
    </row>
    <row r="58" spans="1:19" s="21" customFormat="1" ht="28.95" customHeight="1">
      <c r="A58" s="51"/>
      <c r="B58" s="99"/>
      <c r="C58" s="23"/>
      <c r="D58" s="23"/>
      <c r="E58" s="23"/>
      <c r="F58" s="23"/>
      <c r="G58" s="24"/>
      <c r="H58" s="24"/>
      <c r="I58" s="24"/>
      <c r="J58" s="162"/>
      <c r="K58" s="24"/>
      <c r="L58" s="24"/>
      <c r="M58" s="24"/>
      <c r="N58" s="24"/>
      <c r="O58" s="24"/>
      <c r="P58" s="24"/>
      <c r="Q58" s="24"/>
      <c r="R58" s="48"/>
      <c r="S58" s="26"/>
    </row>
    <row r="59" spans="1:19" s="21" customFormat="1" ht="24.6" customHeight="1">
      <c r="A59" s="314" t="s">
        <v>23</v>
      </c>
      <c r="B59" s="314"/>
      <c r="C59" s="314"/>
      <c r="D59" s="314"/>
      <c r="E59" s="314"/>
      <c r="F59" s="314"/>
      <c r="G59" s="27">
        <f>G55</f>
        <v>37633</v>
      </c>
      <c r="H59" s="27"/>
      <c r="I59" s="27"/>
      <c r="J59" s="163"/>
      <c r="K59" s="28">
        <f>G55+J55</f>
        <v>43989</v>
      </c>
      <c r="L59" s="27"/>
      <c r="M59" s="27"/>
      <c r="N59" s="27"/>
      <c r="O59" s="27"/>
      <c r="P59" s="27"/>
      <c r="Q59" s="27">
        <f>L55+N55</f>
        <v>13520000</v>
      </c>
      <c r="R59" s="67">
        <f>Q59/G59</f>
        <v>359.25916084287724</v>
      </c>
      <c r="S59" s="30"/>
    </row>
    <row r="60" spans="1:19" s="21" customFormat="1" ht="24.6" customHeight="1">
      <c r="A60" s="314" t="s">
        <v>24</v>
      </c>
      <c r="B60" s="314"/>
      <c r="C60" s="314"/>
      <c r="D60" s="314"/>
      <c r="E60" s="314"/>
      <c r="F60" s="314"/>
      <c r="G60" s="27"/>
      <c r="H60" s="27"/>
      <c r="I60" s="27">
        <f>I55</f>
        <v>41464.563199999997</v>
      </c>
      <c r="J60" s="163">
        <f>J55</f>
        <v>6356</v>
      </c>
      <c r="K60" s="27"/>
      <c r="L60" s="27"/>
      <c r="M60" s="27"/>
      <c r="N60" s="27"/>
      <c r="O60" s="27"/>
      <c r="P60" s="27"/>
      <c r="Q60" s="27">
        <f>M55+O55</f>
        <v>33303000</v>
      </c>
      <c r="R60" s="67">
        <f>Q60/I60</f>
        <v>803.16775168633637</v>
      </c>
      <c r="S60" s="30"/>
    </row>
    <row r="61" spans="1:19" s="21" customFormat="1" ht="24.6" customHeight="1">
      <c r="A61" s="314" t="s">
        <v>25</v>
      </c>
      <c r="B61" s="314"/>
      <c r="C61" s="314"/>
      <c r="D61" s="314"/>
      <c r="E61" s="314"/>
      <c r="F61" s="314"/>
      <c r="G61" s="27"/>
      <c r="H61" s="27"/>
      <c r="I61" s="27"/>
      <c r="J61" s="163"/>
      <c r="K61" s="27"/>
      <c r="L61" s="27"/>
      <c r="M61" s="27"/>
      <c r="N61" s="27"/>
      <c r="O61" s="27"/>
      <c r="P61" s="27">
        <f>J55</f>
        <v>6356</v>
      </c>
      <c r="Q61" s="27">
        <f>P55</f>
        <v>1324400</v>
      </c>
      <c r="R61" s="67">
        <f>Q61/P61</f>
        <v>208.37004405286345</v>
      </c>
      <c r="S61" s="30"/>
    </row>
    <row r="62" spans="1:19">
      <c r="B62" s="100"/>
      <c r="C62" s="3" t="s">
        <v>27</v>
      </c>
      <c r="D62" s="32"/>
      <c r="E62" s="33"/>
      <c r="F62" s="33"/>
      <c r="G62" s="34" t="s">
        <v>163</v>
      </c>
      <c r="H62" s="35"/>
      <c r="I62" s="35"/>
      <c r="J62" s="34"/>
      <c r="K62" s="36"/>
      <c r="L62" s="1"/>
      <c r="M62" s="1"/>
      <c r="N62" s="1"/>
      <c r="O62" s="1"/>
      <c r="P62" s="1"/>
      <c r="Q62" s="141" t="s">
        <v>28</v>
      </c>
    </row>
    <row r="63" spans="1:19" ht="18" customHeight="1">
      <c r="B63" s="100"/>
      <c r="D63" s="32"/>
      <c r="E63" s="37"/>
      <c r="F63" s="37"/>
      <c r="G63" s="38"/>
      <c r="H63" s="31"/>
      <c r="I63" s="32"/>
      <c r="J63" s="31"/>
      <c r="K63" s="32"/>
    </row>
    <row r="64" spans="1:19" s="8" customFormat="1" ht="18" customHeight="1">
      <c r="A64" s="1"/>
      <c r="B64" s="100"/>
      <c r="C64" s="3"/>
      <c r="D64" s="3"/>
      <c r="E64" s="3"/>
      <c r="F64" s="3"/>
      <c r="G64" s="39"/>
      <c r="J64" s="1"/>
      <c r="Q64" s="124"/>
      <c r="R64" s="3"/>
    </row>
    <row r="65" spans="2:18">
      <c r="B65" s="100"/>
      <c r="E65" s="37"/>
      <c r="F65" s="37"/>
      <c r="G65" s="38"/>
      <c r="H65" s="31"/>
      <c r="I65" s="32"/>
      <c r="J65" s="31"/>
      <c r="K65" s="32"/>
    </row>
    <row r="66" spans="2:18">
      <c r="H66" s="43"/>
      <c r="Q66" s="21"/>
    </row>
    <row r="67" spans="2:18">
      <c r="C67" s="45"/>
      <c r="G67" s="34" t="str">
        <f>'[1]A VIEN'!G68</f>
        <v>Đặng Thị Mỹ Tin</v>
      </c>
      <c r="H67" s="43"/>
      <c r="Q67" s="148" t="s">
        <v>115</v>
      </c>
    </row>
    <row r="69" spans="2:18">
      <c r="Q69" s="113" t="s">
        <v>57</v>
      </c>
    </row>
    <row r="70" spans="2:18">
      <c r="L70" s="7">
        <f>L55+'[1]A DANH'!L52+'[1]CHU HOANG'!L61+[1]HUNG!K46</f>
        <v>45760000</v>
      </c>
      <c r="N70" s="7">
        <f>N55+'[1]A DANH'!N52+'[1]CHU HOANG'!N61+[1]HUNG!O46</f>
        <v>80000</v>
      </c>
      <c r="P70" s="7">
        <f>P55+'[1]A DANH'!P52+'[1]CHU HOANG'!P61</f>
        <v>12650900</v>
      </c>
      <c r="Q70" s="113">
        <f>Q55+'[1]A DANH'!Q52+'[1]CHU HOANG'!Q61+[1]HUNG!P46</f>
        <v>187461900</v>
      </c>
      <c r="R70" s="49"/>
    </row>
    <row r="71" spans="2:18">
      <c r="L71" s="7">
        <f>L70+N71</f>
        <v>48630000</v>
      </c>
      <c r="N71" s="7">
        <v>2870000</v>
      </c>
    </row>
  </sheetData>
  <mergeCells count="79">
    <mergeCell ref="A55:F55"/>
    <mergeCell ref="A56:F56"/>
    <mergeCell ref="A57:F57"/>
    <mergeCell ref="A59:F59"/>
    <mergeCell ref="A60:F60"/>
    <mergeCell ref="A52:A53"/>
    <mergeCell ref="B52:B53"/>
    <mergeCell ref="Q52:Q53"/>
    <mergeCell ref="A44:A46"/>
    <mergeCell ref="B44:B46"/>
    <mergeCell ref="M44:M45"/>
    <mergeCell ref="Q44:Q46"/>
    <mergeCell ref="M52:M53"/>
    <mergeCell ref="A27:A28"/>
    <mergeCell ref="B27:B28"/>
    <mergeCell ref="Q27:Q28"/>
    <mergeCell ref="A35:A36"/>
    <mergeCell ref="B35:B36"/>
    <mergeCell ref="Q35:Q36"/>
    <mergeCell ref="M27:M28"/>
    <mergeCell ref="A29:A30"/>
    <mergeCell ref="B29:B30"/>
    <mergeCell ref="M29:M30"/>
    <mergeCell ref="Q29:Q30"/>
    <mergeCell ref="A32:A33"/>
    <mergeCell ref="B32:B33"/>
    <mergeCell ref="M32:M33"/>
    <mergeCell ref="Q32:Q33"/>
    <mergeCell ref="A61:F61"/>
    <mergeCell ref="R5:R7"/>
    <mergeCell ref="H6:I6"/>
    <mergeCell ref="P5:P7"/>
    <mergeCell ref="E6:E7"/>
    <mergeCell ref="F6:F7"/>
    <mergeCell ref="Q5:Q7"/>
    <mergeCell ref="N5:O6"/>
    <mergeCell ref="A9:A10"/>
    <mergeCell ref="B9:B10"/>
    <mergeCell ref="L9:L10"/>
    <mergeCell ref="Q9:Q10"/>
    <mergeCell ref="A13:A14"/>
    <mergeCell ref="B13:B14"/>
    <mergeCell ref="M13:M14"/>
    <mergeCell ref="Q13:Q14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B16:B17"/>
    <mergeCell ref="Q16:Q17"/>
    <mergeCell ref="A18:A19"/>
    <mergeCell ref="B18:B19"/>
    <mergeCell ref="Q18:Q19"/>
    <mergeCell ref="A16:A17"/>
    <mergeCell ref="A20:A21"/>
    <mergeCell ref="B20:B21"/>
    <mergeCell ref="Q20:Q21"/>
    <mergeCell ref="A23:A25"/>
    <mergeCell ref="B23:B25"/>
    <mergeCell ref="Q23:Q25"/>
    <mergeCell ref="L24:L25"/>
    <mergeCell ref="A41:A42"/>
    <mergeCell ref="B41:B42"/>
    <mergeCell ref="L41:L42"/>
    <mergeCell ref="Q41:Q42"/>
    <mergeCell ref="A37:A38"/>
    <mergeCell ref="B37:B38"/>
    <mergeCell ref="Q37:Q38"/>
    <mergeCell ref="A39:A40"/>
    <mergeCell ref="B39:B40"/>
    <mergeCell ref="Q39:Q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5"/>
  <sheetViews>
    <sheetView tabSelected="1" topLeftCell="A28" zoomScale="70" zoomScaleNormal="70" workbookViewId="0">
      <selection activeCell="M35" sqref="M35"/>
    </sheetView>
  </sheetViews>
  <sheetFormatPr defaultColWidth="9.109375" defaultRowHeight="13.8"/>
  <cols>
    <col min="1" max="1" width="8.44140625" style="1" customWidth="1"/>
    <col min="2" max="2" width="13.33203125" style="101" customWidth="1"/>
    <col min="3" max="3" width="12.77734375" style="3" customWidth="1"/>
    <col min="4" max="4" width="22.21875" style="3" customWidth="1"/>
    <col min="5" max="5" width="14.5546875" style="41" customWidth="1"/>
    <col min="6" max="6" width="20" style="42" customWidth="1"/>
    <col min="7" max="7" width="14.5546875" style="35" customWidth="1"/>
    <col min="8" max="8" width="15.88671875" style="46" customWidth="1"/>
    <col min="9" max="9" width="12.44140625" style="44" customWidth="1"/>
    <col min="10" max="10" width="14.33203125" style="71" customWidth="1"/>
    <col min="11" max="11" width="13.44140625" style="7" customWidth="1"/>
    <col min="12" max="12" width="16.6640625" style="7" customWidth="1"/>
    <col min="13" max="13" width="15.88671875" style="7" customWidth="1"/>
    <col min="14" max="15" width="13.6640625" style="7" customWidth="1"/>
    <col min="16" max="16" width="15.33203125" style="7" customWidth="1"/>
    <col min="17" max="17" width="16.6640625" style="113" customWidth="1"/>
    <col min="18" max="18" width="41.6640625" style="3" customWidth="1"/>
    <col min="19" max="19" width="25.33203125" style="3" customWidth="1"/>
    <col min="20" max="16384" width="9.109375" style="1"/>
  </cols>
  <sheetData>
    <row r="1" spans="1:19">
      <c r="A1" s="276" t="str">
        <f>'[1]A VIEN'!A1:Q1</f>
        <v xml:space="preserve">2026年01销路运费 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</row>
    <row r="2" spans="1:19" ht="17.399999999999999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</row>
    <row r="3" spans="1:19">
      <c r="A3" s="276" t="str">
        <f>'[1]A VIEN'!A3:Q3</f>
        <v xml:space="preserve"> THÁNG 01 NĂM 2026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</row>
    <row r="4" spans="1:19">
      <c r="A4" s="364" t="s">
        <v>118</v>
      </c>
      <c r="B4" s="364"/>
      <c r="C4" s="364"/>
      <c r="D4" s="2"/>
      <c r="E4" s="3"/>
      <c r="F4" s="3"/>
      <c r="G4" s="4"/>
      <c r="H4" s="5"/>
      <c r="I4" s="6"/>
      <c r="J4" s="6"/>
    </row>
    <row r="5" spans="1:19" ht="29.25" customHeight="1">
      <c r="A5" s="279" t="s">
        <v>1</v>
      </c>
      <c r="B5" s="303" t="s">
        <v>2</v>
      </c>
      <c r="C5" s="279" t="s">
        <v>3</v>
      </c>
      <c r="D5" s="279" t="s">
        <v>4</v>
      </c>
      <c r="E5" s="279" t="s">
        <v>5</v>
      </c>
      <c r="F5" s="279"/>
      <c r="G5" s="282" t="s">
        <v>6</v>
      </c>
      <c r="H5" s="283"/>
      <c r="I5" s="283"/>
      <c r="J5" s="365"/>
      <c r="K5" s="305" t="s">
        <v>7</v>
      </c>
      <c r="L5" s="287" t="s">
        <v>8</v>
      </c>
      <c r="M5" s="288"/>
      <c r="N5" s="309" t="s">
        <v>9</v>
      </c>
      <c r="O5" s="309"/>
      <c r="P5" s="268" t="s">
        <v>10</v>
      </c>
      <c r="Q5" s="309" t="s">
        <v>11</v>
      </c>
      <c r="R5" s="366" t="s">
        <v>12</v>
      </c>
    </row>
    <row r="6" spans="1:19" ht="23.25" customHeight="1">
      <c r="A6" s="279"/>
      <c r="B6" s="303"/>
      <c r="C6" s="279"/>
      <c r="D6" s="279"/>
      <c r="E6" s="279" t="s">
        <v>13</v>
      </c>
      <c r="F6" s="279" t="s">
        <v>14</v>
      </c>
      <c r="G6" s="227" t="s">
        <v>15</v>
      </c>
      <c r="H6" s="304" t="s">
        <v>16</v>
      </c>
      <c r="I6" s="304"/>
      <c r="J6" s="60" t="s">
        <v>17</v>
      </c>
      <c r="K6" s="305"/>
      <c r="L6" s="306"/>
      <c r="M6" s="307"/>
      <c r="N6" s="309"/>
      <c r="O6" s="309"/>
      <c r="P6" s="269"/>
      <c r="Q6" s="309"/>
      <c r="R6" s="366"/>
    </row>
    <row r="7" spans="1:19" ht="22.5" customHeight="1">
      <c r="A7" s="279"/>
      <c r="B7" s="303"/>
      <c r="C7" s="279"/>
      <c r="D7" s="279"/>
      <c r="E7" s="279"/>
      <c r="F7" s="279"/>
      <c r="G7" s="227" t="s">
        <v>18</v>
      </c>
      <c r="H7" s="225" t="s">
        <v>19</v>
      </c>
      <c r="I7" s="226" t="s">
        <v>18</v>
      </c>
      <c r="J7" s="60" t="s">
        <v>18</v>
      </c>
      <c r="K7" s="305"/>
      <c r="L7" s="227" t="s">
        <v>15</v>
      </c>
      <c r="M7" s="9" t="s">
        <v>16</v>
      </c>
      <c r="N7" s="227" t="s">
        <v>15</v>
      </c>
      <c r="O7" s="89" t="s">
        <v>16</v>
      </c>
      <c r="P7" s="310"/>
      <c r="Q7" s="309"/>
      <c r="R7" s="366"/>
    </row>
    <row r="8" spans="1:19" ht="27.6" customHeight="1">
      <c r="A8" s="200">
        <v>1</v>
      </c>
      <c r="B8" s="190" t="s">
        <v>190</v>
      </c>
      <c r="C8" s="198" t="s">
        <v>147</v>
      </c>
      <c r="D8" s="198" t="s">
        <v>81</v>
      </c>
      <c r="E8" s="11"/>
      <c r="F8" s="11" t="s">
        <v>66</v>
      </c>
      <c r="G8" s="74"/>
      <c r="H8" s="233">
        <v>163000</v>
      </c>
      <c r="I8" s="223">
        <v>3327.5934000000002</v>
      </c>
      <c r="J8" s="112"/>
      <c r="K8" s="200"/>
      <c r="L8" s="13"/>
      <c r="M8" s="12">
        <v>2150000</v>
      </c>
      <c r="N8" s="12"/>
      <c r="O8" s="12"/>
      <c r="P8" s="12"/>
      <c r="Q8" s="145">
        <f>SUM(L8:P8)</f>
        <v>2150000</v>
      </c>
      <c r="R8" s="238" t="s">
        <v>51</v>
      </c>
    </row>
    <row r="9" spans="1:19" ht="27.6" customHeight="1">
      <c r="A9" s="200">
        <v>2</v>
      </c>
      <c r="B9" s="190" t="s">
        <v>191</v>
      </c>
      <c r="C9" s="198">
        <v>11</v>
      </c>
      <c r="D9" s="198" t="s">
        <v>138</v>
      </c>
      <c r="E9" s="11"/>
      <c r="F9" s="11" t="s">
        <v>108</v>
      </c>
      <c r="G9" s="74"/>
      <c r="H9" s="233">
        <v>320000</v>
      </c>
      <c r="I9" s="233">
        <v>2784</v>
      </c>
      <c r="J9" s="112"/>
      <c r="K9" s="200"/>
      <c r="L9" s="13"/>
      <c r="M9" s="13">
        <v>2450000</v>
      </c>
      <c r="N9" s="12"/>
      <c r="O9" s="12">
        <f>197*500</f>
        <v>98500</v>
      </c>
      <c r="P9" s="12"/>
      <c r="Q9" s="145">
        <f t="shared" ref="Q9:Q38" si="0">SUM(L9:P9)</f>
        <v>2548500</v>
      </c>
      <c r="R9" s="127" t="s">
        <v>376</v>
      </c>
    </row>
    <row r="10" spans="1:19" ht="27.6" customHeight="1">
      <c r="A10" s="200">
        <v>3</v>
      </c>
      <c r="B10" s="190" t="s">
        <v>377</v>
      </c>
      <c r="C10" s="198" t="s">
        <v>378</v>
      </c>
      <c r="D10" s="198" t="s">
        <v>144</v>
      </c>
      <c r="E10" s="11"/>
      <c r="F10" s="11" t="s">
        <v>145</v>
      </c>
      <c r="G10" s="74"/>
      <c r="H10" s="233">
        <v>404600</v>
      </c>
      <c r="I10" s="223">
        <v>4190.6845999999996</v>
      </c>
      <c r="J10" s="112"/>
      <c r="K10" s="200"/>
      <c r="L10" s="13"/>
      <c r="M10" s="13">
        <v>2700000</v>
      </c>
      <c r="N10" s="12"/>
      <c r="O10" s="12"/>
      <c r="P10" s="12"/>
      <c r="Q10" s="145">
        <f t="shared" si="0"/>
        <v>2700000</v>
      </c>
      <c r="R10" s="78"/>
    </row>
    <row r="11" spans="1:19" ht="27.6" customHeight="1">
      <c r="A11" s="200">
        <v>4</v>
      </c>
      <c r="B11" s="190" t="s">
        <v>192</v>
      </c>
      <c r="C11" s="198" t="s">
        <v>189</v>
      </c>
      <c r="D11" s="198" t="s">
        <v>85</v>
      </c>
      <c r="E11" s="11"/>
      <c r="F11" s="11" t="s">
        <v>93</v>
      </c>
      <c r="G11" s="74"/>
      <c r="H11" s="233">
        <v>689800</v>
      </c>
      <c r="I11" s="223">
        <v>3315.0880000000002</v>
      </c>
      <c r="J11" s="88"/>
      <c r="K11" s="200"/>
      <c r="L11" s="13"/>
      <c r="M11" s="13">
        <v>2650000</v>
      </c>
      <c r="N11" s="17"/>
      <c r="O11" s="17"/>
      <c r="P11" s="17"/>
      <c r="Q11" s="145">
        <f t="shared" si="0"/>
        <v>2650000</v>
      </c>
      <c r="R11" s="127"/>
    </row>
    <row r="12" spans="1:19" ht="27.6" customHeight="1">
      <c r="A12" s="200">
        <v>5</v>
      </c>
      <c r="B12" s="190" t="s">
        <v>193</v>
      </c>
      <c r="C12" s="198" t="s">
        <v>379</v>
      </c>
      <c r="D12" s="198" t="s">
        <v>355</v>
      </c>
      <c r="E12" s="11"/>
      <c r="F12" s="11" t="s">
        <v>66</v>
      </c>
      <c r="G12" s="74"/>
      <c r="H12" s="233">
        <f>223800+101500</f>
        <v>325300</v>
      </c>
      <c r="I12" s="223">
        <f>3399.3356+1509.7701</f>
        <v>4909.1057000000001</v>
      </c>
      <c r="J12" s="88"/>
      <c r="K12" s="200"/>
      <c r="L12" s="13"/>
      <c r="M12" s="13">
        <v>2100000</v>
      </c>
      <c r="N12" s="17"/>
      <c r="O12" s="17"/>
      <c r="P12" s="17"/>
      <c r="Q12" s="145">
        <f t="shared" si="0"/>
        <v>2100000</v>
      </c>
      <c r="R12" s="127"/>
    </row>
    <row r="13" spans="1:19" ht="27.6" customHeight="1">
      <c r="A13" s="200">
        <v>6</v>
      </c>
      <c r="B13" s="190" t="s">
        <v>193</v>
      </c>
      <c r="C13" s="198" t="s">
        <v>380</v>
      </c>
      <c r="D13" s="198" t="s">
        <v>85</v>
      </c>
      <c r="E13" s="11"/>
      <c r="F13" s="11" t="s">
        <v>93</v>
      </c>
      <c r="G13" s="74"/>
      <c r="H13" s="233">
        <v>111600</v>
      </c>
      <c r="I13" s="223">
        <v>3672.2217999999998</v>
      </c>
      <c r="J13" s="112"/>
      <c r="K13" s="200"/>
      <c r="L13" s="13"/>
      <c r="M13" s="13">
        <v>2600000</v>
      </c>
      <c r="N13" s="19"/>
      <c r="O13" s="19">
        <v>200000</v>
      </c>
      <c r="P13" s="16"/>
      <c r="Q13" s="145">
        <f t="shared" si="0"/>
        <v>2800000</v>
      </c>
      <c r="R13" s="78" t="s">
        <v>156</v>
      </c>
    </row>
    <row r="14" spans="1:19" ht="27.6" customHeight="1">
      <c r="A14" s="200">
        <v>7</v>
      </c>
      <c r="B14" s="190" t="s">
        <v>196</v>
      </c>
      <c r="C14" s="198" t="s">
        <v>381</v>
      </c>
      <c r="D14" s="198" t="s">
        <v>81</v>
      </c>
      <c r="E14" s="11"/>
      <c r="F14" s="11" t="s">
        <v>66</v>
      </c>
      <c r="G14" s="74"/>
      <c r="H14" s="233">
        <f>153600+2937</f>
        <v>156537</v>
      </c>
      <c r="I14" s="223">
        <f>3009.93+906</f>
        <v>3915.93</v>
      </c>
      <c r="J14" s="112"/>
      <c r="K14" s="200"/>
      <c r="L14" s="13"/>
      <c r="M14" s="13">
        <v>2150000</v>
      </c>
      <c r="N14" s="13"/>
      <c r="O14" s="13"/>
      <c r="P14" s="16"/>
      <c r="Q14" s="145">
        <f t="shared" si="0"/>
        <v>2150000</v>
      </c>
      <c r="R14" s="78" t="s">
        <v>51</v>
      </c>
    </row>
    <row r="15" spans="1:19" ht="27.6" customHeight="1">
      <c r="A15" s="200">
        <v>8</v>
      </c>
      <c r="B15" s="190" t="s">
        <v>198</v>
      </c>
      <c r="C15" s="198" t="s">
        <v>382</v>
      </c>
      <c r="D15" s="198" t="s">
        <v>91</v>
      </c>
      <c r="E15" s="11"/>
      <c r="F15" s="11" t="s">
        <v>46</v>
      </c>
      <c r="G15" s="74"/>
      <c r="H15" s="233">
        <f>99120+35280</f>
        <v>134400</v>
      </c>
      <c r="I15" s="223">
        <f>2051.784+730.296</f>
        <v>2782.08</v>
      </c>
      <c r="J15" s="112"/>
      <c r="K15" s="200"/>
      <c r="L15" s="13"/>
      <c r="M15" s="13">
        <v>1900000</v>
      </c>
      <c r="N15" s="13"/>
      <c r="O15" s="13"/>
      <c r="P15" s="16"/>
      <c r="Q15" s="145">
        <f t="shared" si="0"/>
        <v>1900000</v>
      </c>
      <c r="R15" s="183"/>
    </row>
    <row r="16" spans="1:19" ht="27.6" customHeight="1">
      <c r="A16" s="200">
        <v>9</v>
      </c>
      <c r="B16" s="190" t="s">
        <v>198</v>
      </c>
      <c r="C16" s="198" t="s">
        <v>383</v>
      </c>
      <c r="D16" s="198" t="s">
        <v>85</v>
      </c>
      <c r="E16" s="11"/>
      <c r="F16" s="11" t="s">
        <v>93</v>
      </c>
      <c r="G16" s="74"/>
      <c r="H16" s="233">
        <v>234000</v>
      </c>
      <c r="I16" s="223">
        <v>2583.261</v>
      </c>
      <c r="J16" s="88"/>
      <c r="K16" s="200"/>
      <c r="L16" s="13"/>
      <c r="M16" s="13">
        <v>2650000</v>
      </c>
      <c r="N16" s="13"/>
      <c r="O16" s="13"/>
      <c r="P16" s="16"/>
      <c r="Q16" s="145">
        <f t="shared" si="0"/>
        <v>2650000</v>
      </c>
      <c r="R16" s="183"/>
    </row>
    <row r="17" spans="1:19" ht="27.6" customHeight="1">
      <c r="A17" s="326">
        <v>10</v>
      </c>
      <c r="B17" s="346" t="s">
        <v>200</v>
      </c>
      <c r="C17" s="198" t="s">
        <v>384</v>
      </c>
      <c r="D17" s="198" t="s">
        <v>243</v>
      </c>
      <c r="E17" s="11"/>
      <c r="F17" s="11" t="s">
        <v>66</v>
      </c>
      <c r="G17" s="74"/>
      <c r="H17" s="233">
        <v>150710</v>
      </c>
      <c r="I17" s="223">
        <v>2514.1181000000001</v>
      </c>
      <c r="J17" s="88"/>
      <c r="K17" s="200"/>
      <c r="L17" s="13"/>
      <c r="M17" s="336">
        <v>2200000</v>
      </c>
      <c r="N17" s="13"/>
      <c r="O17" s="13"/>
      <c r="P17" s="16"/>
      <c r="Q17" s="344">
        <f>SUM(L17:P18)</f>
        <v>2260000</v>
      </c>
      <c r="R17" s="183"/>
    </row>
    <row r="18" spans="1:19" ht="27.6" customHeight="1">
      <c r="A18" s="327"/>
      <c r="B18" s="347"/>
      <c r="C18" s="198">
        <v>50</v>
      </c>
      <c r="D18" s="198" t="s">
        <v>47</v>
      </c>
      <c r="E18" s="11"/>
      <c r="F18" s="11" t="s">
        <v>48</v>
      </c>
      <c r="G18" s="233"/>
      <c r="H18" s="233">
        <v>1045000</v>
      </c>
      <c r="I18" s="223">
        <v>1460</v>
      </c>
      <c r="J18" s="88"/>
      <c r="K18" s="200"/>
      <c r="L18" s="13"/>
      <c r="M18" s="337"/>
      <c r="N18" s="13"/>
      <c r="O18" s="13">
        <v>60000</v>
      </c>
      <c r="P18" s="16"/>
      <c r="Q18" s="345"/>
      <c r="R18" s="183" t="s">
        <v>94</v>
      </c>
    </row>
    <row r="19" spans="1:19" ht="27.6" customHeight="1">
      <c r="A19" s="200">
        <v>11</v>
      </c>
      <c r="B19" s="190" t="s">
        <v>203</v>
      </c>
      <c r="C19" s="198" t="s">
        <v>166</v>
      </c>
      <c r="D19" s="198" t="s">
        <v>55</v>
      </c>
      <c r="E19" s="11"/>
      <c r="F19" s="11" t="s">
        <v>71</v>
      </c>
      <c r="G19" s="74"/>
      <c r="H19" s="233">
        <v>44960</v>
      </c>
      <c r="I19" s="223">
        <v>2377.36</v>
      </c>
      <c r="J19" s="88"/>
      <c r="K19" s="200"/>
      <c r="L19" s="13"/>
      <c r="M19" s="13">
        <v>1950000</v>
      </c>
      <c r="N19" s="13"/>
      <c r="O19" s="13"/>
      <c r="P19" s="16"/>
      <c r="Q19" s="145">
        <f t="shared" si="0"/>
        <v>1950000</v>
      </c>
      <c r="R19" s="183"/>
    </row>
    <row r="20" spans="1:19" ht="27.6" customHeight="1">
      <c r="A20" s="200">
        <v>12</v>
      </c>
      <c r="B20" s="190" t="s">
        <v>203</v>
      </c>
      <c r="C20" s="198" t="s">
        <v>385</v>
      </c>
      <c r="D20" s="198" t="s">
        <v>85</v>
      </c>
      <c r="E20" s="11"/>
      <c r="F20" s="11" t="s">
        <v>93</v>
      </c>
      <c r="G20" s="74"/>
      <c r="H20" s="233">
        <v>361200</v>
      </c>
      <c r="I20" s="223">
        <v>4302.4192000000003</v>
      </c>
      <c r="J20" s="112"/>
      <c r="K20" s="200"/>
      <c r="L20" s="13"/>
      <c r="M20" s="13">
        <v>2600000</v>
      </c>
      <c r="N20" s="19"/>
      <c r="O20" s="19">
        <v>200000</v>
      </c>
      <c r="P20" s="19"/>
      <c r="Q20" s="145">
        <f t="shared" si="0"/>
        <v>2800000</v>
      </c>
      <c r="R20" s="183" t="s">
        <v>156</v>
      </c>
    </row>
    <row r="21" spans="1:19" ht="27.6" customHeight="1">
      <c r="A21" s="200">
        <v>13</v>
      </c>
      <c r="B21" s="190" t="s">
        <v>205</v>
      </c>
      <c r="C21" s="198" t="s">
        <v>185</v>
      </c>
      <c r="D21" s="198" t="s">
        <v>120</v>
      </c>
      <c r="E21" s="11"/>
      <c r="F21" s="11" t="s">
        <v>54</v>
      </c>
      <c r="G21" s="74"/>
      <c r="H21" s="233">
        <v>186000</v>
      </c>
      <c r="I21" s="223">
        <v>2092.5300000000002</v>
      </c>
      <c r="J21" s="74"/>
      <c r="K21" s="200"/>
      <c r="L21" s="13"/>
      <c r="M21" s="13">
        <v>1850000</v>
      </c>
      <c r="N21" s="19"/>
      <c r="O21" s="12"/>
      <c r="P21" s="19"/>
      <c r="Q21" s="145">
        <f t="shared" si="0"/>
        <v>1850000</v>
      </c>
      <c r="R21" s="130" t="s">
        <v>51</v>
      </c>
    </row>
    <row r="22" spans="1:19" ht="27.6" customHeight="1">
      <c r="A22" s="200">
        <v>14</v>
      </c>
      <c r="B22" s="190" t="s">
        <v>206</v>
      </c>
      <c r="C22" s="198" t="s">
        <v>386</v>
      </c>
      <c r="D22" s="198" t="s">
        <v>85</v>
      </c>
      <c r="E22" s="11"/>
      <c r="F22" s="11" t="s">
        <v>93</v>
      </c>
      <c r="G22" s="74"/>
      <c r="H22" s="233">
        <v>420800</v>
      </c>
      <c r="I22" s="223">
        <v>3325.752</v>
      </c>
      <c r="J22" s="74"/>
      <c r="K22" s="200"/>
      <c r="L22" s="13"/>
      <c r="M22" s="13">
        <v>2650000</v>
      </c>
      <c r="N22" s="13"/>
      <c r="O22" s="13"/>
      <c r="P22" s="19"/>
      <c r="Q22" s="145">
        <f t="shared" si="0"/>
        <v>2650000</v>
      </c>
      <c r="R22" s="130"/>
    </row>
    <row r="23" spans="1:19" ht="27.6" customHeight="1">
      <c r="A23" s="229">
        <v>15</v>
      </c>
      <c r="B23" s="235" t="s">
        <v>208</v>
      </c>
      <c r="C23" s="198">
        <v>3</v>
      </c>
      <c r="D23" s="198" t="s">
        <v>268</v>
      </c>
      <c r="E23" s="11"/>
      <c r="F23" s="11" t="s">
        <v>63</v>
      </c>
      <c r="G23" s="74"/>
      <c r="H23" s="233">
        <v>183490</v>
      </c>
      <c r="I23" s="223">
        <v>4220.4714999999997</v>
      </c>
      <c r="J23" s="74"/>
      <c r="K23" s="200"/>
      <c r="L23" s="13"/>
      <c r="M23" s="13">
        <v>1900000</v>
      </c>
      <c r="N23" s="13"/>
      <c r="O23" s="13"/>
      <c r="P23" s="19"/>
      <c r="Q23" s="145">
        <f t="shared" si="0"/>
        <v>1900000</v>
      </c>
      <c r="R23" s="250"/>
    </row>
    <row r="24" spans="1:19" ht="27.6" customHeight="1">
      <c r="A24" s="326">
        <v>16</v>
      </c>
      <c r="B24" s="346" t="s">
        <v>208</v>
      </c>
      <c r="C24" s="198">
        <v>22</v>
      </c>
      <c r="D24" s="198" t="s">
        <v>55</v>
      </c>
      <c r="E24" s="11"/>
      <c r="F24" s="11" t="s">
        <v>71</v>
      </c>
      <c r="G24" s="74"/>
      <c r="H24" s="233">
        <v>36400</v>
      </c>
      <c r="I24" s="223">
        <v>2323.944</v>
      </c>
      <c r="J24" s="74"/>
      <c r="K24" s="200"/>
      <c r="L24" s="13"/>
      <c r="M24" s="13">
        <v>2050000</v>
      </c>
      <c r="N24" s="13"/>
      <c r="O24" s="13">
        <v>585000</v>
      </c>
      <c r="P24" s="19"/>
      <c r="Q24" s="344">
        <f>SUM(L24:P25)</f>
        <v>3135000</v>
      </c>
      <c r="R24" s="209" t="s">
        <v>387</v>
      </c>
    </row>
    <row r="25" spans="1:19" ht="27.6" customHeight="1">
      <c r="A25" s="327"/>
      <c r="B25" s="347"/>
      <c r="C25" s="198">
        <v>32</v>
      </c>
      <c r="D25" s="198" t="s">
        <v>124</v>
      </c>
      <c r="E25" s="11"/>
      <c r="F25" s="11" t="s">
        <v>108</v>
      </c>
      <c r="G25" s="233">
        <v>1000</v>
      </c>
      <c r="H25" s="233"/>
      <c r="I25" s="206"/>
      <c r="J25" s="74"/>
      <c r="K25" s="200"/>
      <c r="L25" s="13">
        <v>500000</v>
      </c>
      <c r="M25" s="13"/>
      <c r="N25" s="13"/>
      <c r="O25" s="13"/>
      <c r="P25" s="19"/>
      <c r="Q25" s="345"/>
      <c r="R25" s="130"/>
      <c r="S25" s="208"/>
    </row>
    <row r="26" spans="1:19" ht="27.6" customHeight="1">
      <c r="A26" s="200">
        <v>17</v>
      </c>
      <c r="B26" s="190" t="s">
        <v>209</v>
      </c>
      <c r="C26" s="198" t="s">
        <v>388</v>
      </c>
      <c r="D26" s="198" t="s">
        <v>85</v>
      </c>
      <c r="E26" s="11"/>
      <c r="F26" s="11" t="s">
        <v>93</v>
      </c>
      <c r="G26" s="74"/>
      <c r="H26" s="233">
        <f>256400+510000</f>
        <v>766400</v>
      </c>
      <c r="I26" s="223">
        <f>3383.6096+714</f>
        <v>4097.6095999999998</v>
      </c>
      <c r="J26" s="112"/>
      <c r="K26" s="230"/>
      <c r="L26" s="13"/>
      <c r="M26" s="13">
        <v>2650000</v>
      </c>
      <c r="N26" s="10"/>
      <c r="O26" s="17"/>
      <c r="P26" s="19"/>
      <c r="Q26" s="145">
        <f t="shared" si="0"/>
        <v>2650000</v>
      </c>
      <c r="R26" s="183"/>
    </row>
    <row r="27" spans="1:19" ht="27.6" customHeight="1">
      <c r="A27" s="200">
        <v>18</v>
      </c>
      <c r="B27" s="190" t="s">
        <v>211</v>
      </c>
      <c r="C27" s="198">
        <v>9</v>
      </c>
      <c r="D27" s="198" t="s">
        <v>91</v>
      </c>
      <c r="E27" s="11"/>
      <c r="F27" s="11" t="s">
        <v>46</v>
      </c>
      <c r="G27" s="74"/>
      <c r="H27" s="233">
        <v>282000</v>
      </c>
      <c r="I27" s="223">
        <v>5890.6660000000002</v>
      </c>
      <c r="J27" s="112"/>
      <c r="K27" s="230"/>
      <c r="L27" s="13"/>
      <c r="M27" s="13">
        <v>1900000</v>
      </c>
      <c r="N27" s="19"/>
      <c r="O27" s="19"/>
      <c r="P27" s="19"/>
      <c r="Q27" s="145">
        <f t="shared" si="0"/>
        <v>1900000</v>
      </c>
      <c r="R27" s="183"/>
    </row>
    <row r="28" spans="1:19" ht="27.6" customHeight="1">
      <c r="A28" s="200">
        <v>19</v>
      </c>
      <c r="B28" s="190" t="s">
        <v>248</v>
      </c>
      <c r="C28" s="198" t="s">
        <v>389</v>
      </c>
      <c r="D28" s="198" t="s">
        <v>81</v>
      </c>
      <c r="E28" s="11"/>
      <c r="F28" s="11" t="s">
        <v>66</v>
      </c>
      <c r="G28" s="74"/>
      <c r="H28" s="233">
        <v>237120</v>
      </c>
      <c r="I28" s="223">
        <v>4537.3</v>
      </c>
      <c r="J28" s="112"/>
      <c r="K28" s="200"/>
      <c r="L28" s="13"/>
      <c r="M28" s="13">
        <v>2150000</v>
      </c>
      <c r="N28" s="17"/>
      <c r="O28" s="17"/>
      <c r="P28" s="17"/>
      <c r="Q28" s="145">
        <f t="shared" si="0"/>
        <v>2150000</v>
      </c>
      <c r="R28" s="183" t="s">
        <v>51</v>
      </c>
    </row>
    <row r="29" spans="1:19" ht="27.6" customHeight="1">
      <c r="A29" s="200">
        <v>20</v>
      </c>
      <c r="B29" s="190" t="s">
        <v>250</v>
      </c>
      <c r="C29" s="198" t="s">
        <v>390</v>
      </c>
      <c r="D29" s="198" t="s">
        <v>85</v>
      </c>
      <c r="E29" s="11"/>
      <c r="F29" s="11" t="s">
        <v>93</v>
      </c>
      <c r="G29" s="74"/>
      <c r="H29" s="233">
        <v>301560</v>
      </c>
      <c r="I29" s="223">
        <v>4981.1819999999998</v>
      </c>
      <c r="J29" s="146"/>
      <c r="K29" s="200"/>
      <c r="L29" s="13"/>
      <c r="M29" s="13">
        <v>2650000</v>
      </c>
      <c r="N29" s="17"/>
      <c r="O29" s="17"/>
      <c r="P29" s="17"/>
      <c r="Q29" s="145">
        <f t="shared" si="0"/>
        <v>2650000</v>
      </c>
      <c r="R29" s="183"/>
    </row>
    <row r="30" spans="1:19" ht="27.6" customHeight="1">
      <c r="A30" s="200">
        <v>21</v>
      </c>
      <c r="B30" s="190" t="s">
        <v>219</v>
      </c>
      <c r="C30" s="198" t="s">
        <v>391</v>
      </c>
      <c r="D30" s="198" t="s">
        <v>85</v>
      </c>
      <c r="E30" s="11"/>
      <c r="F30" s="11" t="s">
        <v>93</v>
      </c>
      <c r="G30" s="74"/>
      <c r="H30" s="233">
        <v>185956</v>
      </c>
      <c r="I30" s="223">
        <v>2047.8217999999999</v>
      </c>
      <c r="J30" s="74"/>
      <c r="K30" s="10"/>
      <c r="L30" s="13"/>
      <c r="M30" s="13">
        <v>2650000</v>
      </c>
      <c r="N30" s="17"/>
      <c r="O30" s="17"/>
      <c r="P30" s="17"/>
      <c r="Q30" s="145">
        <f t="shared" si="0"/>
        <v>2650000</v>
      </c>
      <c r="R30" s="241"/>
      <c r="S30" s="222"/>
    </row>
    <row r="31" spans="1:19" ht="27.6" customHeight="1">
      <c r="A31" s="200">
        <v>22</v>
      </c>
      <c r="B31" s="190" t="s">
        <v>221</v>
      </c>
      <c r="C31" s="198">
        <v>20</v>
      </c>
      <c r="D31" s="198" t="s">
        <v>83</v>
      </c>
      <c r="E31" s="11"/>
      <c r="F31" s="11" t="s">
        <v>69</v>
      </c>
      <c r="G31" s="74"/>
      <c r="H31" s="233">
        <v>631200</v>
      </c>
      <c r="I31" s="223">
        <v>3095.3694</v>
      </c>
      <c r="J31" s="74"/>
      <c r="K31" s="10"/>
      <c r="L31" s="13"/>
      <c r="M31" s="13">
        <v>950000</v>
      </c>
      <c r="N31" s="13"/>
      <c r="O31" s="13"/>
      <c r="P31" s="16"/>
      <c r="Q31" s="145">
        <f t="shared" si="0"/>
        <v>950000</v>
      </c>
      <c r="R31" s="130"/>
    </row>
    <row r="32" spans="1:19" ht="28.2" customHeight="1">
      <c r="A32" s="200">
        <v>23</v>
      </c>
      <c r="B32" s="190" t="s">
        <v>221</v>
      </c>
      <c r="C32" s="198">
        <v>38</v>
      </c>
      <c r="D32" s="198" t="s">
        <v>79</v>
      </c>
      <c r="E32" s="11"/>
      <c r="F32" s="11" t="s">
        <v>77</v>
      </c>
      <c r="G32" s="74">
        <v>5250</v>
      </c>
      <c r="H32" s="74"/>
      <c r="I32" s="129"/>
      <c r="J32" s="74"/>
      <c r="K32" s="10"/>
      <c r="L32" s="13">
        <v>1650000</v>
      </c>
      <c r="M32" s="13"/>
      <c r="N32" s="17"/>
      <c r="O32" s="17"/>
      <c r="P32" s="17"/>
      <c r="Q32" s="145">
        <f t="shared" si="0"/>
        <v>1650000</v>
      </c>
      <c r="R32" s="130" t="s">
        <v>53</v>
      </c>
    </row>
    <row r="33" spans="1:19" ht="27.6" customHeight="1">
      <c r="A33" s="326">
        <v>24</v>
      </c>
      <c r="B33" s="346" t="s">
        <v>225</v>
      </c>
      <c r="C33" s="198">
        <v>6</v>
      </c>
      <c r="D33" s="198" t="s">
        <v>392</v>
      </c>
      <c r="E33" s="11"/>
      <c r="F33" s="11" t="s">
        <v>52</v>
      </c>
      <c r="G33" s="74">
        <v>3520</v>
      </c>
      <c r="H33" s="233"/>
      <c r="I33" s="223"/>
      <c r="J33" s="10"/>
      <c r="K33" s="10"/>
      <c r="L33" s="13">
        <v>700000</v>
      </c>
      <c r="M33" s="13"/>
      <c r="N33" s="17"/>
      <c r="O33" s="17"/>
      <c r="P33" s="17"/>
      <c r="Q33" s="344">
        <f>SUM(L33:P34)</f>
        <v>1600000</v>
      </c>
      <c r="R33" s="130" t="s">
        <v>51</v>
      </c>
    </row>
    <row r="34" spans="1:19" ht="27.6" customHeight="1">
      <c r="A34" s="327"/>
      <c r="B34" s="347"/>
      <c r="C34" s="198">
        <v>31</v>
      </c>
      <c r="D34" s="198" t="s">
        <v>56</v>
      </c>
      <c r="E34" s="11"/>
      <c r="F34" s="11" t="s">
        <v>33</v>
      </c>
      <c r="G34" s="74"/>
      <c r="H34" s="233">
        <v>235400</v>
      </c>
      <c r="I34" s="223">
        <v>1976.9652000000001</v>
      </c>
      <c r="J34" s="52"/>
      <c r="K34" s="10"/>
      <c r="L34" s="13"/>
      <c r="M34" s="13">
        <v>900000</v>
      </c>
      <c r="N34" s="200"/>
      <c r="O34" s="10"/>
      <c r="P34" s="16"/>
      <c r="Q34" s="345"/>
      <c r="R34" s="127"/>
    </row>
    <row r="35" spans="1:19" ht="27.6" customHeight="1">
      <c r="A35" s="200">
        <v>25</v>
      </c>
      <c r="B35" s="190" t="s">
        <v>225</v>
      </c>
      <c r="C35" s="198" t="s">
        <v>393</v>
      </c>
      <c r="D35" s="198" t="s">
        <v>85</v>
      </c>
      <c r="E35" s="11"/>
      <c r="F35" s="11" t="s">
        <v>93</v>
      </c>
      <c r="G35" s="74"/>
      <c r="H35" s="233">
        <v>750095</v>
      </c>
      <c r="I35" s="223">
        <v>6503.9749000000002</v>
      </c>
      <c r="J35" s="52"/>
      <c r="K35" s="10"/>
      <c r="L35" s="13"/>
      <c r="M35" s="13">
        <v>2600000</v>
      </c>
      <c r="N35" s="200"/>
      <c r="O35" s="10">
        <v>200000</v>
      </c>
      <c r="P35" s="16"/>
      <c r="Q35" s="145">
        <f t="shared" si="0"/>
        <v>2800000</v>
      </c>
      <c r="R35" s="127" t="s">
        <v>156</v>
      </c>
    </row>
    <row r="36" spans="1:19" ht="27.6" customHeight="1">
      <c r="A36" s="200">
        <v>26</v>
      </c>
      <c r="B36" s="190" t="s">
        <v>228</v>
      </c>
      <c r="C36" s="198" t="s">
        <v>394</v>
      </c>
      <c r="D36" s="198" t="s">
        <v>91</v>
      </c>
      <c r="E36" s="11"/>
      <c r="F36" s="11" t="s">
        <v>46</v>
      </c>
      <c r="G36" s="74">
        <v>527</v>
      </c>
      <c r="H36" s="233">
        <f>30000+149840</f>
        <v>179840</v>
      </c>
      <c r="I36" s="223">
        <f>739.8675+3070.0257</f>
        <v>3809.8932</v>
      </c>
      <c r="J36" s="52"/>
      <c r="K36" s="10"/>
      <c r="L36" s="10">
        <v>100000</v>
      </c>
      <c r="M36" s="13">
        <v>1850000</v>
      </c>
      <c r="N36" s="200"/>
      <c r="O36" s="10"/>
      <c r="P36" s="16"/>
      <c r="Q36" s="145">
        <f t="shared" si="0"/>
        <v>1950000</v>
      </c>
      <c r="R36" s="127" t="s">
        <v>51</v>
      </c>
    </row>
    <row r="37" spans="1:19" ht="27.6" customHeight="1">
      <c r="A37" s="200">
        <v>27</v>
      </c>
      <c r="B37" s="190" t="s">
        <v>232</v>
      </c>
      <c r="C37" s="11">
        <v>33</v>
      </c>
      <c r="D37" s="198" t="s">
        <v>91</v>
      </c>
      <c r="E37" s="11"/>
      <c r="F37" s="11" t="s">
        <v>46</v>
      </c>
      <c r="G37" s="74"/>
      <c r="H37" s="233">
        <v>134400</v>
      </c>
      <c r="I37" s="223">
        <v>2782.08</v>
      </c>
      <c r="J37" s="52"/>
      <c r="K37" s="10"/>
      <c r="L37" s="10"/>
      <c r="M37" s="13">
        <v>1900000</v>
      </c>
      <c r="N37" s="200"/>
      <c r="O37" s="10"/>
      <c r="P37" s="16">
        <v>900000</v>
      </c>
      <c r="Q37" s="145">
        <f t="shared" si="0"/>
        <v>2800000</v>
      </c>
      <c r="R37" s="208" t="s">
        <v>395</v>
      </c>
    </row>
    <row r="38" spans="1:19" ht="25.2" customHeight="1">
      <c r="A38" s="200">
        <v>28</v>
      </c>
      <c r="B38" s="190" t="s">
        <v>232</v>
      </c>
      <c r="C38" s="198" t="s">
        <v>396</v>
      </c>
      <c r="D38" s="198" t="s">
        <v>85</v>
      </c>
      <c r="E38" s="11"/>
      <c r="F38" s="11" t="s">
        <v>93</v>
      </c>
      <c r="G38" s="74"/>
      <c r="H38" s="233">
        <v>287200</v>
      </c>
      <c r="I38" s="223">
        <v>4613.9715999999999</v>
      </c>
      <c r="J38" s="52"/>
      <c r="K38" s="10"/>
      <c r="L38" s="10"/>
      <c r="M38" s="13">
        <v>2600000</v>
      </c>
      <c r="N38" s="200"/>
      <c r="O38" s="10"/>
      <c r="P38" s="16"/>
      <c r="Q38" s="145">
        <f t="shared" si="0"/>
        <v>2600000</v>
      </c>
      <c r="R38" s="208" t="s">
        <v>53</v>
      </c>
    </row>
    <row r="39" spans="1:19" s="21" customFormat="1" ht="27" customHeight="1">
      <c r="A39" s="323" t="s">
        <v>20</v>
      </c>
      <c r="B39" s="324"/>
      <c r="C39" s="324"/>
      <c r="D39" s="324"/>
      <c r="E39" s="324"/>
      <c r="F39" s="325"/>
      <c r="G39" s="20">
        <f t="shared" ref="G39:Q39" si="1">SUM(G8:G38)</f>
        <v>10297</v>
      </c>
      <c r="H39" s="20">
        <f t="shared" si="1"/>
        <v>8958968</v>
      </c>
      <c r="I39" s="20">
        <f t="shared" si="1"/>
        <v>98433.393000000025</v>
      </c>
      <c r="J39" s="61">
        <f t="shared" si="1"/>
        <v>0</v>
      </c>
      <c r="K39" s="20">
        <f t="shared" si="1"/>
        <v>0</v>
      </c>
      <c r="L39" s="20">
        <f t="shared" si="1"/>
        <v>2950000</v>
      </c>
      <c r="M39" s="20">
        <f t="shared" si="1"/>
        <v>59350000</v>
      </c>
      <c r="N39" s="20">
        <f t="shared" si="1"/>
        <v>0</v>
      </c>
      <c r="O39" s="20">
        <f t="shared" si="1"/>
        <v>1343500</v>
      </c>
      <c r="P39" s="20">
        <f t="shared" si="1"/>
        <v>900000</v>
      </c>
      <c r="Q39" s="140">
        <f t="shared" si="1"/>
        <v>64543500</v>
      </c>
      <c r="R39" s="62"/>
      <c r="S39" s="215" t="e">
        <f>Q39/#REF!</f>
        <v>#REF!</v>
      </c>
    </row>
    <row r="40" spans="1:19" s="21" customFormat="1" ht="26.4" customHeight="1">
      <c r="A40" s="317" t="s">
        <v>21</v>
      </c>
      <c r="B40" s="317"/>
      <c r="C40" s="317"/>
      <c r="D40" s="317"/>
      <c r="E40" s="317"/>
      <c r="F40" s="317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>
        <f>8%*Q39</f>
        <v>5163480</v>
      </c>
      <c r="R40" s="63"/>
      <c r="S40" s="228"/>
    </row>
    <row r="41" spans="1:19" s="21" customFormat="1" ht="27" customHeight="1">
      <c r="A41" s="317" t="s">
        <v>22</v>
      </c>
      <c r="B41" s="317"/>
      <c r="C41" s="317"/>
      <c r="D41" s="317"/>
      <c r="E41" s="317"/>
      <c r="F41" s="317"/>
      <c r="G41" s="20"/>
      <c r="H41" s="20"/>
      <c r="I41" s="20"/>
      <c r="J41" s="61"/>
      <c r="K41" s="20"/>
      <c r="L41" s="20"/>
      <c r="M41" s="20"/>
      <c r="N41" s="20"/>
      <c r="O41" s="20"/>
      <c r="P41" s="20"/>
      <c r="Q41" s="20">
        <f>Q40+Q39</f>
        <v>69706980</v>
      </c>
      <c r="R41" s="64"/>
      <c r="S41" s="26"/>
    </row>
    <row r="42" spans="1:19" s="21" customFormat="1" ht="28.95" customHeight="1">
      <c r="A42" s="23"/>
      <c r="B42" s="144"/>
      <c r="C42" s="23"/>
      <c r="D42" s="23"/>
      <c r="E42" s="23"/>
      <c r="F42" s="23"/>
      <c r="G42" s="24"/>
      <c r="H42" s="24"/>
      <c r="I42" s="24"/>
      <c r="J42" s="65"/>
      <c r="K42" s="24"/>
      <c r="L42" s="24"/>
      <c r="M42" s="24"/>
      <c r="N42" s="24"/>
      <c r="O42" s="24"/>
      <c r="P42" s="24"/>
      <c r="Q42" s="24"/>
      <c r="R42" s="48"/>
      <c r="S42" s="26"/>
    </row>
    <row r="43" spans="1:19" s="21" customFormat="1" ht="24.6" customHeight="1">
      <c r="A43" s="314" t="s">
        <v>23</v>
      </c>
      <c r="B43" s="314"/>
      <c r="C43" s="314"/>
      <c r="D43" s="314"/>
      <c r="E43" s="314"/>
      <c r="F43" s="314"/>
      <c r="G43" s="27">
        <f>G39</f>
        <v>10297</v>
      </c>
      <c r="H43" s="27"/>
      <c r="I43" s="27"/>
      <c r="J43" s="66"/>
      <c r="K43" s="28">
        <f>G39+I39</f>
        <v>108730.39300000003</v>
      </c>
      <c r="L43" s="27"/>
      <c r="M43" s="27"/>
      <c r="N43" s="27"/>
      <c r="O43" s="27"/>
      <c r="P43" s="27"/>
      <c r="Q43" s="27">
        <f>L39+N39</f>
        <v>2950000</v>
      </c>
      <c r="R43" s="67">
        <f>Q43/G43</f>
        <v>286.49121103233949</v>
      </c>
      <c r="S43" s="215"/>
    </row>
    <row r="44" spans="1:19" s="21" customFormat="1" ht="24.6" customHeight="1">
      <c r="A44" s="314" t="s">
        <v>24</v>
      </c>
      <c r="B44" s="314"/>
      <c r="C44" s="314"/>
      <c r="D44" s="314"/>
      <c r="E44" s="314"/>
      <c r="F44" s="314"/>
      <c r="G44" s="27"/>
      <c r="H44" s="27"/>
      <c r="I44" s="27">
        <f>I39</f>
        <v>98433.393000000025</v>
      </c>
      <c r="J44" s="66"/>
      <c r="K44" s="27"/>
      <c r="L44" s="27"/>
      <c r="M44" s="27"/>
      <c r="N44" s="27"/>
      <c r="O44" s="27"/>
      <c r="P44" s="27"/>
      <c r="Q44" s="27">
        <f>M39+O39</f>
        <v>60693500</v>
      </c>
      <c r="R44" s="67">
        <f>Q44/I44</f>
        <v>616.59461439066706</v>
      </c>
      <c r="S44" s="215"/>
    </row>
    <row r="45" spans="1:19" s="21" customFormat="1" ht="24.6" customHeight="1">
      <c r="A45" s="314" t="s">
        <v>25</v>
      </c>
      <c r="B45" s="314"/>
      <c r="C45" s="314"/>
      <c r="D45" s="314"/>
      <c r="E45" s="314"/>
      <c r="F45" s="314"/>
      <c r="G45" s="27"/>
      <c r="H45" s="27"/>
      <c r="I45" s="27"/>
      <c r="J45" s="66"/>
      <c r="K45" s="27"/>
      <c r="L45" s="27"/>
      <c r="M45" s="27"/>
      <c r="N45" s="27"/>
      <c r="O45" s="27"/>
      <c r="P45" s="27">
        <f>J39</f>
        <v>0</v>
      </c>
      <c r="Q45" s="27">
        <f>P39</f>
        <v>900000</v>
      </c>
      <c r="R45" s="67" t="e">
        <f>Q45/P45</f>
        <v>#DIV/0!</v>
      </c>
      <c r="S45" s="215">
        <f>Q43+Q44+Q45</f>
        <v>64543500</v>
      </c>
    </row>
    <row r="46" spans="1:19" s="21" customFormat="1" ht="24.6" hidden="1" customHeight="1">
      <c r="A46" s="314" t="s">
        <v>26</v>
      </c>
      <c r="B46" s="314"/>
      <c r="C46" s="314"/>
      <c r="D46" s="314"/>
      <c r="E46" s="314"/>
      <c r="F46" s="314"/>
      <c r="G46" s="27"/>
      <c r="H46" s="27"/>
      <c r="I46" s="27"/>
      <c r="J46" s="66"/>
      <c r="K46" s="27" t="e">
        <f>SUM(#REF!)</f>
        <v>#REF!</v>
      </c>
      <c r="L46" s="27"/>
      <c r="M46" s="27"/>
      <c r="N46" s="27"/>
      <c r="O46" s="27"/>
      <c r="P46" s="27"/>
      <c r="Q46" s="27" t="e">
        <f>SUM(#REF!)</f>
        <v>#REF!</v>
      </c>
      <c r="R46" s="67" t="e">
        <f>Q46/P46</f>
        <v>#REF!</v>
      </c>
      <c r="S46" s="215" t="e">
        <f>Q44+Q45+Q46</f>
        <v>#REF!</v>
      </c>
    </row>
    <row r="47" spans="1:19" ht="21" customHeight="1">
      <c r="A47" s="31"/>
      <c r="B47" s="147"/>
      <c r="C47" s="3" t="s">
        <v>27</v>
      </c>
      <c r="D47" s="32"/>
      <c r="E47" s="33"/>
      <c r="F47" s="33"/>
      <c r="G47" s="34" t="s">
        <v>163</v>
      </c>
      <c r="H47" s="35"/>
      <c r="I47" s="35"/>
      <c r="J47" s="68"/>
      <c r="K47" s="36"/>
      <c r="M47" s="7">
        <f>+Q39-Q43-Q44-Q45</f>
        <v>0</v>
      </c>
      <c r="N47" s="1"/>
      <c r="O47" s="1"/>
      <c r="P47" s="1"/>
      <c r="Q47" s="141" t="s">
        <v>28</v>
      </c>
    </row>
    <row r="48" spans="1:19" ht="21" customHeight="1">
      <c r="B48" s="100"/>
      <c r="D48" s="32"/>
      <c r="E48" s="37"/>
      <c r="F48" s="37"/>
      <c r="G48" s="38"/>
      <c r="H48" s="31"/>
      <c r="I48" s="32"/>
      <c r="J48" s="69"/>
      <c r="K48" s="32"/>
    </row>
    <row r="49" spans="1:19" s="8" customFormat="1" ht="21" customHeight="1">
      <c r="A49" s="1"/>
      <c r="B49" s="100"/>
      <c r="C49" s="3"/>
      <c r="D49" s="3"/>
      <c r="E49" s="3"/>
      <c r="F49" s="3"/>
      <c r="G49" s="39"/>
      <c r="J49" s="70"/>
      <c r="L49" s="4"/>
      <c r="M49" s="4"/>
      <c r="Q49" s="124"/>
      <c r="R49" s="3"/>
      <c r="S49" s="3"/>
    </row>
    <row r="50" spans="1:19">
      <c r="B50" s="100"/>
      <c r="E50" s="37"/>
      <c r="F50" s="37"/>
      <c r="G50" s="38"/>
      <c r="H50" s="31"/>
      <c r="I50" s="32"/>
      <c r="J50" s="69"/>
      <c r="K50" s="32"/>
    </row>
    <row r="51" spans="1:19">
      <c r="H51" s="43"/>
      <c r="Q51" s="21"/>
    </row>
    <row r="52" spans="1:19">
      <c r="C52" s="45"/>
      <c r="G52" s="34" t="str">
        <f>'[1]A VIEN'!G68</f>
        <v>Đặng Thị Mỹ Tin</v>
      </c>
      <c r="H52" s="43"/>
      <c r="Q52" s="113" t="s">
        <v>29</v>
      </c>
    </row>
    <row r="55" spans="1:19">
      <c r="R55" s="49"/>
    </row>
  </sheetData>
  <autoFilter ref="A5:R50" xr:uid="{00000000-0009-0000-0000-000007000000}">
    <filterColumn colId="4" showButton="0"/>
    <filterColumn colId="6" showButton="0"/>
    <filterColumn colId="7" showButton="0"/>
    <filterColumn colId="8" showButton="0"/>
    <filterColumn colId="11" showButton="0"/>
    <filterColumn colId="13" showButton="0"/>
  </autoFilter>
  <mergeCells count="36">
    <mergeCell ref="A1:S1"/>
    <mergeCell ref="A2:S2"/>
    <mergeCell ref="A3:S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N5:O6"/>
    <mergeCell ref="E6:E7"/>
    <mergeCell ref="R5:R7"/>
    <mergeCell ref="F6:F7"/>
    <mergeCell ref="A41:F41"/>
    <mergeCell ref="A43:F43"/>
    <mergeCell ref="A44:F44"/>
    <mergeCell ref="A45:F45"/>
    <mergeCell ref="A46:F46"/>
    <mergeCell ref="H6:I6"/>
    <mergeCell ref="P5:P7"/>
    <mergeCell ref="Q5:Q7"/>
    <mergeCell ref="A17:A18"/>
    <mergeCell ref="B17:B18"/>
    <mergeCell ref="M17:M18"/>
    <mergeCell ref="Q17:Q18"/>
    <mergeCell ref="A39:F39"/>
    <mergeCell ref="A40:F40"/>
    <mergeCell ref="A24:A25"/>
    <mergeCell ref="B24:B25"/>
    <mergeCell ref="Q24:Q25"/>
    <mergeCell ref="A33:A34"/>
    <mergeCell ref="B33:B34"/>
    <mergeCell ref="Q33:Q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F14" sqref="F14"/>
    </sheetView>
  </sheetViews>
  <sheetFormatPr defaultRowHeight="14.4"/>
  <cols>
    <col min="1" max="1" width="5.6640625" customWidth="1"/>
    <col min="2" max="2" width="11.33203125" customWidth="1"/>
    <col min="3" max="3" width="19.77734375" customWidth="1"/>
    <col min="4" max="4" width="13.21875" customWidth="1"/>
    <col min="5" max="5" width="16.21875" customWidth="1"/>
    <col min="7" max="7" width="12" bestFit="1" customWidth="1"/>
  </cols>
  <sheetData>
    <row r="1" spans="1:7" ht="30.6" customHeight="1">
      <c r="A1" s="87" t="s">
        <v>37</v>
      </c>
      <c r="B1" s="87" t="s">
        <v>38</v>
      </c>
      <c r="C1" s="87" t="s">
        <v>39</v>
      </c>
      <c r="D1" s="87" t="s">
        <v>40</v>
      </c>
      <c r="E1" s="87" t="s">
        <v>41</v>
      </c>
    </row>
    <row r="2" spans="1:7" ht="22.8" customHeight="1">
      <c r="A2" s="84">
        <v>1</v>
      </c>
      <c r="B2" s="84" t="s">
        <v>43</v>
      </c>
      <c r="C2" s="85">
        <f>HIEU!Q47</f>
        <v>32805000</v>
      </c>
      <c r="D2" s="85">
        <f>C2*8%</f>
        <v>2624400</v>
      </c>
      <c r="E2" s="85">
        <f>C2+D2</f>
        <v>35429400</v>
      </c>
      <c r="G2" s="187"/>
    </row>
    <row r="3" spans="1:7" ht="22.8" customHeight="1">
      <c r="A3" s="84">
        <v>2</v>
      </c>
      <c r="B3" s="84" t="s">
        <v>34</v>
      </c>
      <c r="C3" s="85">
        <f>NAM!Q52</f>
        <v>31810000</v>
      </c>
      <c r="D3" s="85">
        <f t="shared" ref="D3:D8" si="0">C3*8%</f>
        <v>2544800</v>
      </c>
      <c r="E3" s="85">
        <f t="shared" ref="E3:E8" si="1">C3+D3</f>
        <v>34354800</v>
      </c>
      <c r="G3" s="187"/>
    </row>
    <row r="4" spans="1:7" ht="22.8" customHeight="1">
      <c r="A4" s="84">
        <v>3</v>
      </c>
      <c r="B4" s="84" t="s">
        <v>174</v>
      </c>
      <c r="C4" s="104">
        <f>HUNG!Q46</f>
        <v>32918000</v>
      </c>
      <c r="D4" s="85">
        <f t="shared" si="0"/>
        <v>2633440</v>
      </c>
      <c r="E4" s="85">
        <f t="shared" si="1"/>
        <v>35551440</v>
      </c>
      <c r="G4" s="187"/>
    </row>
    <row r="5" spans="1:7" ht="22.8" customHeight="1">
      <c r="A5" s="84">
        <v>4</v>
      </c>
      <c r="B5" s="84" t="s">
        <v>35</v>
      </c>
      <c r="C5" s="104">
        <f>HOANG!Q61</f>
        <v>44826900</v>
      </c>
      <c r="D5" s="85">
        <f t="shared" si="0"/>
        <v>3586152</v>
      </c>
      <c r="E5" s="85">
        <f t="shared" si="1"/>
        <v>48413052</v>
      </c>
      <c r="G5" s="187"/>
    </row>
    <row r="6" spans="1:7" ht="22.8" customHeight="1">
      <c r="A6" s="84">
        <v>5</v>
      </c>
      <c r="B6" s="84" t="s">
        <v>44</v>
      </c>
      <c r="C6" s="85">
        <f>TUAN!Q53</f>
        <v>49222600</v>
      </c>
      <c r="D6" s="85">
        <f t="shared" si="0"/>
        <v>3937808</v>
      </c>
      <c r="E6" s="85">
        <f t="shared" si="1"/>
        <v>53160408</v>
      </c>
      <c r="G6" s="187"/>
    </row>
    <row r="7" spans="1:7" ht="22.8" customHeight="1">
      <c r="A7" s="84">
        <v>6</v>
      </c>
      <c r="B7" s="84" t="s">
        <v>111</v>
      </c>
      <c r="C7" s="149">
        <f>'TU 4T'!Q55</f>
        <v>48147400</v>
      </c>
      <c r="D7" s="85">
        <f t="shared" si="0"/>
        <v>3851792</v>
      </c>
      <c r="E7" s="85">
        <f t="shared" si="1"/>
        <v>51999192</v>
      </c>
    </row>
    <row r="8" spans="1:7" ht="22.8" customHeight="1">
      <c r="A8" s="84">
        <v>7</v>
      </c>
      <c r="B8" s="84" t="s">
        <v>36</v>
      </c>
      <c r="C8" s="85">
        <f>HUU!Q39</f>
        <v>64543500</v>
      </c>
      <c r="D8" s="85">
        <f t="shared" si="0"/>
        <v>5163480</v>
      </c>
      <c r="E8" s="85">
        <f t="shared" si="1"/>
        <v>69706980</v>
      </c>
    </row>
    <row r="9" spans="1:7" ht="22.8" customHeight="1">
      <c r="A9" s="84">
        <v>8</v>
      </c>
      <c r="B9" s="84" t="s">
        <v>59</v>
      </c>
      <c r="C9" s="85">
        <f>DANH!Q52</f>
        <v>61569600</v>
      </c>
      <c r="D9" s="85">
        <f t="shared" ref="D9" si="2">C9*8%</f>
        <v>4925568</v>
      </c>
      <c r="E9" s="85">
        <f t="shared" ref="E9" si="3">C9+D9</f>
        <v>66495168</v>
      </c>
    </row>
    <row r="10" spans="1:7" ht="22.8" customHeight="1">
      <c r="A10" s="86" t="s">
        <v>42</v>
      </c>
      <c r="B10" s="86"/>
      <c r="C10" s="90">
        <f>SUM(C2:C9)</f>
        <v>365843000</v>
      </c>
      <c r="D10" s="90">
        <f>SUM(D2:D9)</f>
        <v>29267440</v>
      </c>
      <c r="E10" s="150">
        <f>SUM(E2:E9)</f>
        <v>395110440</v>
      </c>
      <c r="G10" s="187"/>
    </row>
    <row r="15" spans="1:7">
      <c r="D15" s="18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HIEU</vt:lpstr>
      <vt:lpstr>NAM</vt:lpstr>
      <vt:lpstr>HUNG</vt:lpstr>
      <vt:lpstr>HOANG</vt:lpstr>
      <vt:lpstr>TUAN</vt:lpstr>
      <vt:lpstr>DANH</vt:lpstr>
      <vt:lpstr>TU 4T</vt:lpstr>
      <vt:lpstr>HUU</vt:lpstr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Trọng</cp:lastModifiedBy>
  <dcterms:created xsi:type="dcterms:W3CDTF">2023-12-29T07:26:22Z</dcterms:created>
  <dcterms:modified xsi:type="dcterms:W3CDTF">2026-01-28T10:19:02Z</dcterms:modified>
</cp:coreProperties>
</file>
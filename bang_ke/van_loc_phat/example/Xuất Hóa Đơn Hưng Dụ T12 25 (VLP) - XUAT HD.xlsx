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GitHub\Tools\bang_ke\van_loc_phat\example\"/>
    </mc:Choice>
  </mc:AlternateContent>
  <xr:revisionPtr revIDLastSave="0" documentId="13_ncr:1_{BF44A781-ACF3-43F8-BCFF-3430DD935023}" xr6:coauthVersionLast="47" xr6:coauthVersionMax="47" xr10:uidLastSave="{00000000-0000-0000-0000-000000000000}"/>
  <bookViews>
    <workbookView xWindow="-108" yWindow="-108" windowWidth="23256" windowHeight="12456" tabRatio="579" activeTab="7" xr2:uid="{00000000-000D-0000-FFFF-FFFF00000000}"/>
  </bookViews>
  <sheets>
    <sheet name="A HIEU" sheetId="76" r:id="rId1"/>
    <sheet name="A NAM" sheetId="88" r:id="rId2"/>
    <sheet name="A HUNG" sheetId="87" r:id="rId3"/>
    <sheet name="CHU HOANG" sheetId="86" r:id="rId4"/>
    <sheet name="A HUU" sheetId="85" r:id="rId5"/>
    <sheet name="A DANH" sheetId="84" r:id="rId6"/>
    <sheet name="A TUẤN" sheetId="83" r:id="rId7"/>
    <sheet name="TÚ 4T" sheetId="82" r:id="rId8"/>
  </sheets>
  <definedNames>
    <definedName name="_xlnm._FilterDatabase" localSheetId="5" hidden="1">'A DANH'!$A$12:$IT$30</definedName>
    <definedName name="_xlnm._FilterDatabase" localSheetId="0" hidden="1">'A HIEU'!$A$12:$IT$39</definedName>
    <definedName name="_xlnm._FilterDatabase" localSheetId="2" hidden="1">'A HUNG'!$A$12:$IT$36</definedName>
    <definedName name="_xlnm._FilterDatabase" localSheetId="4" hidden="1">'A HUU'!$A$12:$IT$34</definedName>
    <definedName name="_xlnm._FilterDatabase" localSheetId="1" hidden="1">'A NAM'!$A$12:$IT$38</definedName>
    <definedName name="_xlnm._FilterDatabase" localSheetId="6" hidden="1">'A TUẤN'!$A$12:$IT$21</definedName>
    <definedName name="_xlnm._FilterDatabase" localSheetId="3" hidden="1">'CHU HOANG'!$A$12:$IT$41</definedName>
    <definedName name="_xlnm._FilterDatabase" localSheetId="7" hidden="1">'TÚ 4T'!$A$12:$IT$46</definedName>
  </definedNames>
  <calcPr calcId="191029"/>
</workbook>
</file>

<file path=xl/calcChain.xml><?xml version="1.0" encoding="utf-8"?>
<calcChain xmlns="http://schemas.openxmlformats.org/spreadsheetml/2006/main">
  <c r="F41" i="83" l="1"/>
  <c r="F39" i="83"/>
  <c r="F35" i="83"/>
  <c r="F31" i="83"/>
  <c r="F29" i="83"/>
  <c r="F28" i="83"/>
  <c r="F27" i="83"/>
  <c r="F26" i="83"/>
  <c r="F25" i="83"/>
  <c r="F23" i="83"/>
  <c r="F22" i="83"/>
  <c r="F20" i="83"/>
  <c r="F18" i="83"/>
  <c r="F38" i="82"/>
  <c r="F18" i="82"/>
  <c r="F26" i="82"/>
  <c r="F23" i="82"/>
  <c r="F21" i="82"/>
  <c r="F31" i="82"/>
  <c r="F28" i="82"/>
  <c r="F39" i="82"/>
  <c r="F13" i="82"/>
  <c r="F22" i="82"/>
  <c r="F24" i="82"/>
  <c r="F27" i="82"/>
  <c r="F37" i="82"/>
  <c r="F35" i="82"/>
  <c r="F16" i="82"/>
  <c r="F45" i="82"/>
  <c r="F42" i="82"/>
  <c r="F41" i="82"/>
  <c r="F43" i="82"/>
  <c r="F33" i="82"/>
  <c r="F40" i="82"/>
  <c r="F36" i="82"/>
  <c r="F25" i="82"/>
  <c r="F29" i="82"/>
  <c r="F20" i="82"/>
  <c r="F15" i="82"/>
  <c r="F30" i="82"/>
  <c r="F19" i="82"/>
  <c r="F46" i="82"/>
  <c r="F32" i="82"/>
  <c r="F15" i="83"/>
  <c r="F38" i="83"/>
  <c r="F30" i="83"/>
  <c r="F34" i="83"/>
  <c r="F36" i="83"/>
  <c r="F14" i="83"/>
  <c r="F42" i="83"/>
  <c r="F37" i="83"/>
  <c r="F21" i="83"/>
  <c r="F40" i="83"/>
  <c r="F24" i="83"/>
  <c r="F32" i="83"/>
  <c r="F13" i="83"/>
  <c r="F33" i="83"/>
  <c r="F16" i="83"/>
  <c r="F14" i="84"/>
  <c r="F15" i="84"/>
  <c r="F29" i="84"/>
  <c r="F26" i="84"/>
  <c r="F17" i="84"/>
  <c r="F19" i="84"/>
  <c r="F27" i="84"/>
  <c r="F28" i="84"/>
  <c r="F30" i="84"/>
  <c r="F18" i="84"/>
  <c r="F22" i="84"/>
  <c r="F25" i="84"/>
  <c r="F23" i="84"/>
  <c r="F21" i="84"/>
  <c r="F24" i="84"/>
  <c r="F16" i="84"/>
  <c r="F13" i="84"/>
  <c r="F34" i="85"/>
  <c r="F32" i="85"/>
  <c r="F16" i="85"/>
  <c r="F23" i="85"/>
  <c r="F30" i="85"/>
  <c r="F17" i="85"/>
  <c r="F33" i="85"/>
  <c r="F20" i="85"/>
  <c r="F29" i="85"/>
  <c r="F14" i="85"/>
  <c r="F21" i="85"/>
  <c r="F25" i="85"/>
  <c r="F13" i="85"/>
  <c r="F28" i="85"/>
  <c r="F26" i="85"/>
  <c r="F19" i="85"/>
  <c r="F24" i="85"/>
  <c r="F27" i="85"/>
  <c r="F23" i="86"/>
  <c r="F28" i="86"/>
  <c r="F34" i="86"/>
  <c r="F27" i="86"/>
  <c r="F40" i="86"/>
  <c r="F30" i="86"/>
  <c r="F39" i="86"/>
  <c r="F35" i="86"/>
  <c r="F20" i="86"/>
  <c r="F18" i="86"/>
  <c r="F15" i="86"/>
  <c r="F19" i="86"/>
  <c r="F14" i="86"/>
  <c r="F21" i="86"/>
  <c r="F24" i="86"/>
  <c r="F36" i="86"/>
  <c r="F16" i="86"/>
  <c r="F41" i="86"/>
  <c r="F32" i="86"/>
  <c r="F13" i="86"/>
  <c r="F37" i="86"/>
  <c r="F33" i="86"/>
  <c r="F29" i="86"/>
  <c r="F17" i="86"/>
  <c r="F25" i="86"/>
  <c r="F31" i="86"/>
  <c r="F38" i="86"/>
  <c r="F26" i="86"/>
  <c r="F32" i="87"/>
  <c r="F26" i="87"/>
  <c r="F25" i="87"/>
  <c r="F29" i="87"/>
  <c r="F27" i="87"/>
  <c r="F19" i="87"/>
  <c r="F35" i="87"/>
  <c r="F20" i="87"/>
  <c r="F14" i="87"/>
  <c r="F33" i="87"/>
  <c r="F21" i="87"/>
  <c r="F16" i="87"/>
  <c r="F30" i="87"/>
  <c r="F31" i="87"/>
  <c r="F15" i="87"/>
  <c r="F17" i="87"/>
  <c r="F18" i="87"/>
  <c r="F36" i="87"/>
  <c r="F18" i="88"/>
  <c r="F19" i="88"/>
  <c r="F20" i="88"/>
  <c r="F21" i="88"/>
  <c r="F22" i="88"/>
  <c r="F23" i="88"/>
  <c r="F24" i="88"/>
  <c r="F25" i="88"/>
  <c r="F26" i="88"/>
  <c r="F27" i="88"/>
  <c r="F28" i="88"/>
  <c r="F29" i="88"/>
  <c r="F30" i="88"/>
  <c r="F31" i="88"/>
  <c r="F32" i="88"/>
  <c r="F33" i="88"/>
  <c r="F34" i="88"/>
  <c r="F35" i="88"/>
  <c r="F36" i="88"/>
  <c r="F37" i="88"/>
  <c r="F38" i="88"/>
  <c r="F13" i="88"/>
  <c r="F14" i="88"/>
  <c r="F15" i="88"/>
  <c r="F16" i="88"/>
  <c r="F15" i="76"/>
  <c r="F16" i="76"/>
  <c r="F17" i="76"/>
  <c r="F18" i="76"/>
  <c r="F19" i="76"/>
  <c r="F20" i="76"/>
  <c r="F21" i="76"/>
  <c r="F22" i="76"/>
  <c r="F23" i="76"/>
  <c r="F24" i="76"/>
  <c r="F25" i="76"/>
  <c r="F26" i="76"/>
  <c r="F27" i="76"/>
  <c r="F28" i="76"/>
  <c r="F29" i="76"/>
  <c r="F30" i="76"/>
  <c r="F31" i="76"/>
  <c r="F32" i="76"/>
  <c r="F33" i="76"/>
  <c r="F34" i="76"/>
  <c r="F35" i="76"/>
  <c r="F36" i="76"/>
  <c r="F37" i="76"/>
  <c r="F38" i="76"/>
  <c r="F39" i="76"/>
  <c r="F40" i="76"/>
  <c r="F41" i="76"/>
  <c r="F42" i="76"/>
  <c r="F43" i="76"/>
  <c r="F14" i="76"/>
  <c r="F17" i="83" l="1"/>
  <c r="F14" i="82"/>
  <c r="F34" i="82"/>
  <c r="F44" i="82"/>
  <c r="F15" i="85" l="1"/>
  <c r="F31" i="85"/>
  <c r="F18" i="85"/>
  <c r="F34" i="87"/>
  <c r="F24" i="87"/>
  <c r="F13" i="87"/>
  <c r="F23" i="87"/>
  <c r="F22" i="87"/>
  <c r="F17" i="88" l="1"/>
  <c r="F40" i="88" s="1"/>
  <c r="F41" i="88" s="1"/>
  <c r="F42" i="88" s="1"/>
  <c r="F28" i="87"/>
  <c r="F38" i="87" s="1"/>
  <c r="F39" i="87" s="1"/>
  <c r="F40" i="87" s="1"/>
  <c r="F22" i="86"/>
  <c r="F43" i="86" s="1"/>
  <c r="F44" i="86" s="1"/>
  <c r="F45" i="86" s="1"/>
  <c r="F22" i="85"/>
  <c r="F36" i="85" s="1"/>
  <c r="F37" i="85" s="1"/>
  <c r="F38" i="85" s="1"/>
  <c r="F20" i="84"/>
  <c r="F32" i="84" s="1"/>
  <c r="F33" i="84" s="1"/>
  <c r="F34" i="84" s="1"/>
  <c r="F19" i="83"/>
  <c r="F44" i="83" s="1"/>
  <c r="F45" i="83" s="1"/>
  <c r="F46" i="83" s="1"/>
  <c r="F17" i="82"/>
  <c r="F48" i="82" s="1"/>
  <c r="F49" i="82" s="1"/>
  <c r="F50" i="82" s="1"/>
  <c r="F13" i="76" l="1"/>
  <c r="F45" i="76" l="1"/>
  <c r="F46" i="76" l="1"/>
  <c r="F47" i="76" s="1"/>
</calcChain>
</file>

<file path=xl/sharedStrings.xml><?xml version="1.0" encoding="utf-8"?>
<sst xmlns="http://schemas.openxmlformats.org/spreadsheetml/2006/main" count="580" uniqueCount="171">
  <si>
    <t>HÓA ĐƠN</t>
  </si>
  <si>
    <t xml:space="preserve">Số: </t>
  </si>
  <si>
    <t xml:space="preserve">Bên bán: </t>
  </si>
  <si>
    <t xml:space="preserve">Ngày: </t>
  </si>
  <si>
    <t xml:space="preserve">Địa chỉ: </t>
  </si>
  <si>
    <t xml:space="preserve">MST:  </t>
  </si>
  <si>
    <t>Bên mua: CÔNG TY TNHH HƯNG DỤ</t>
  </si>
  <si>
    <t>Địa chỉ: Số 32 đường Dân Chủ, Khu công nghiệp Việt Nam - Singapore II, Phường Hòa Phú, Thành Phố Thủ Dầu Một, Tỉnh Bình Dương, Việt Nam</t>
  </si>
  <si>
    <t>MST:  3700818678</t>
  </si>
  <si>
    <t>Hình thức thanh toán: Chuyển khoản</t>
  </si>
  <si>
    <t>STT</t>
  </si>
  <si>
    <t>Tên hàng hóa, dịch vụ</t>
  </si>
  <si>
    <t>Đơn vị tính</t>
  </si>
  <si>
    <t>Số lượng</t>
  </si>
  <si>
    <t>Đơn giá</t>
  </si>
  <si>
    <t>Thành tiền</t>
  </si>
  <si>
    <t>Chuyến</t>
  </si>
  <si>
    <t>Tổng cộng</t>
  </si>
  <si>
    <t>Thuế VAT 8%</t>
  </si>
  <si>
    <t>Tổng cộng sau thuế</t>
  </si>
  <si>
    <t>Biển số xe 61H - 05658 - Cước vận chuyển từ Vsip II, Bình Dương đi Bến Cát, Bình Dương (Địa Chỉ Cũ)</t>
  </si>
  <si>
    <t>Biển số xe 61E - 04152 - Cước vận chuyển từ Vsip II, Bình Dương đi Tân Uyên, Bình Dương (Địa Chỉ Cũ)</t>
  </si>
  <si>
    <t>Biển số xe 61H - 09504 - Cước vận chuyển từ Vsip II, Bình Dương đi Mỹ Phước 3, Bình Dương (Địa Chỉ Cũ)</t>
  </si>
  <si>
    <t>Biển số xe 61H - 14505 - Cước vận chuyển từ Vsip II, Bình Dương đi Mỹ Phước 3, Bình Dương (Địa Chỉ Cũ)</t>
  </si>
  <si>
    <t>Biển số xe 61H - 05658 - Cước vận chuyển từ Vsip II, Bình Dương đi Bình Tân, TP Hồ Chí Minh (Địa Chỉ Cũ)</t>
  </si>
  <si>
    <t>Biển số xe 61H - 05658 - Cước vận chuyển từ Vsip II, Bình Dương đi Vsip II, Bình Dương (Địa Chỉ Cũ)</t>
  </si>
  <si>
    <t>Biển số xe 61H - 05658 - Cước vận chuyển từ Vsip II, Bình Dương đi Quận 12, TP Hồ Chí Minh (Địa Chỉ Cũ)</t>
  </si>
  <si>
    <t>Biển số xe 61H - 05658 - Cước vận chuyển từ Vsip II, Bình Dương đi Nhà Bè - Quận 10 - Bình Chánh, TP Hồ Chí Minh (Địa Chỉ Cũ)</t>
  </si>
  <si>
    <t>Biển số xe 61H - 05658 - Cước vận chuyển từ Vsip II, Bình Dương đi Quận 8, TP Hồ Chí Minh (Địa Chỉ Cũ)</t>
  </si>
  <si>
    <t>Biển số xe 61H - 05658 - Cước vận chuyển từ Vsip II, Bình Dương đi Gò Vấp, TP Hồ Chí Minh (Địa Chỉ Cũ)</t>
  </si>
  <si>
    <t>Biển số xe 61H - 05658 - Cước vận chuyển từ Vsip II, Bình Dương đi Bình Tân - Quận 12, TP Hồ Chí Minh (Địa Chỉ Cũ)</t>
  </si>
  <si>
    <t>Biển số xe 61H - 05658 - Cước vận chuyển từ Vsip II, Bình Dương đi Thủ Đức - Quận 9 - Ga Sóng Thần, TP Hồ Chí Minh (Địa Chỉ Cũ)</t>
  </si>
  <si>
    <t>Biển số xe 61H - 05658 - Cước vận chuyển từ Vsip II, Bình Dương đi Tân Bình, TP Hồ Chí Minh (Địa Chỉ Cũ)</t>
  </si>
  <si>
    <t>Biển số xe 61H - 05658 - Cước vận chuyển từ Vsip II, Bình Dương đi Tân Phú, TP Hồ Chí Minh (Địa Chỉ Cũ)</t>
  </si>
  <si>
    <t>Biển số xe 61H - 05658 - Cước vận chuyển từ Vsip II, Bình Dương đi Quận 6, TP Hồ Chí Minh (Địa Chỉ Cũ)</t>
  </si>
  <si>
    <t>Biển số xe 61H - 05658 - Cước vận chuyển từ Vsip II, Bình Dương đi Bình Chánh, TP Hồ Chí Minh (Địa Chỉ Cũ)</t>
  </si>
  <si>
    <t>Biển số xe 61H - 05658 - Cước vận chuyển từ Vsip II, Bình Dương đi Biên Hòa, Đồng Nai (Địa Chỉ Cũ)</t>
  </si>
  <si>
    <t>Biển số xe 61H - 05658 - Cước vận chuyển từ Vsip II, Bình Dương đi Đức Hòa, Long An (Địa Chỉ Cũ)</t>
  </si>
  <si>
    <t>Biển số xe 61H - 05658 - Cước vận chuyển từ Vsip II, Bình Dương đi Bình Tân - Quận 6 - Bình Chánh, TP Hồ Chí Minh (Địa Chỉ Cũ)</t>
  </si>
  <si>
    <t>Biển số xe 61H - 05658 - Cước vận chuyển từ Vsip II, Bình Dương đi Tân Bình - Quận 8 - Tân Phú, TP Hồ Chí Minh (Địa Chỉ Cũ)</t>
  </si>
  <si>
    <t>Biển số xe 61H - 05658 - Cước vận chuyển từ Vsip II, Bình Dương đi Thủ Dầu Một, Bình Dương (Địa Chỉ Cũ)</t>
  </si>
  <si>
    <t>Biển số xe 61H - 05658 - Cước vận chuyển từ Vsip II, Bình Dương đi Thủ Đức, TP Hồ Chí Minh (Địa Chỉ Cũ)</t>
  </si>
  <si>
    <t>Biển số xe 61H - 05658 - Cước vận chuyển từ Vsip II, Bình Dương đi Quận 6 - Hóc Môn, TP Hồ Chí Minh (Địa Chỉ Cũ)</t>
  </si>
  <si>
    <t>Biển số xe 61H - 10845 - Cước vận chuyển từ Vsip II, Bình Dương đi Thủ Đức, TP Hồ Chí Minh (Địa Chỉ Cũ)</t>
  </si>
  <si>
    <t>Biển số xe 61H - 10845 - Cước vận chuyển từ Vsip II, Bình Dương đi Quận 9, TP Hồ Chí Minh (Địa Chỉ Cũ)</t>
  </si>
  <si>
    <t>Biển số xe 61H - 10845 - Cước vận chuyển từ Vsip II, Bình Dương đi Bình Thạnh - Quận 12 - Bình Tân, TP Hồ Chí Minh (Địa Chỉ Cũ)</t>
  </si>
  <si>
    <t>Biển số xe 61H - 10845 - Cước vận chuyển từ Vsip II, Bình Dương đi Nhơn Trạch, Đồng Nai (Địa Chỉ Cũ)</t>
  </si>
  <si>
    <t>Biển số xe 61H - 10845 - Cước vận chuyển từ Vsip II, Bình Dương đi Bình Tân, TP Hồ Chí Minh (Địa Chỉ Cũ)</t>
  </si>
  <si>
    <t>Biển số xe 61H - 10845 - Cước vận chuyển từ Vsip II, Bình Dương đi Quận 8, TP Hồ Chí Minh (Địa Chỉ Cũ)</t>
  </si>
  <si>
    <t>Biển số xe 61H - 10845 - Cước vận chuyển từ Vsip II, Bình Dương đi Bình Chánh - Bình Tân, TP Hồ Chí Minh (Địa Chỉ Cũ)</t>
  </si>
  <si>
    <t>Biển số xe 61H - 10845 - Cước vận chuyển từ Vsip II, Bình Dương đi Tân Phú, TP Hồ Chí Minh (Địa Chỉ Cũ)</t>
  </si>
  <si>
    <t>Biển số xe 61H - 10845 - Cước vận chuyển từ Vsip II, Bình Dương đi Quận 12 - Bình Tân - Hóc Môn, TP Hồ Chí Minh (Địa Chỉ Cũ)</t>
  </si>
  <si>
    <t>Biển số xe 61H - 10845 - Cước vận chuyển từ Vsip II, Bình Dương đi Cần Giuộc, TP Hồ Chí Minh (Địa Chỉ Cũ)</t>
  </si>
  <si>
    <t>Biển số xe 61H - 10845 - Cước vận chuyển từ Vsip II, Bình Dương đi Cần Giuộc - Quận 9, TP Hồ Chí Minh (Địa Chỉ Cũ)</t>
  </si>
  <si>
    <t>Biển số xe 61H - 10845 - Cước vận chuyển từ Vsip II, Bình Dương đi Tân Phú - Quận 8, TP Hồ Chí Minh (Địa Chỉ Cũ)</t>
  </si>
  <si>
    <t>Biển số xe 61H - 10845 - Cước vận chuyển từ Vsip II, Bình Dương đi Biên Hòa, Đồng Nai (Địa Chỉ Cũ)</t>
  </si>
  <si>
    <t>Biển số xe 61H - 10845 - Cước vận chuyển từ Vsip II, Bình Dương đi Bình Chánh, TP Hồ Chí Minh (Địa Chỉ Cũ)</t>
  </si>
  <si>
    <t>Biển số xe 61H - 10845 - Cước vận chuyển từ Vsip II, Bình Dương đi Tân Bình, TP Hồ Chí Minh (Địa Chỉ Cũ)</t>
  </si>
  <si>
    <t>Biển số xe 61H - 10845 - Cước vận chuyển từ Vsip II, Bình Dương đi Thủ Dầu Một, Bình Dương (Địa Chỉ Cũ)</t>
  </si>
  <si>
    <t>Biển số xe 61H - 10845 - Cước vận chuyển từ Vsip II, Bình Dương đi Tân Phú - Quận 2, TP Hồ Chí Minh (Địa Chỉ Cũ)</t>
  </si>
  <si>
    <t>Biển số xe 61H - 10845 - Cước vận chuyển từ Vsip II, Bình Dương đi Quận 9, TP Hồ Chí Minh - Biên Hòa, Đồng Nai (Địa Chỉ Cũ)</t>
  </si>
  <si>
    <t>Biển số xe 61H - 10845 - Cước vận chuyển từ Vsip II, Bình Dương đi Hóc Môn, TP Hồ Chí Minh (Địa Chỉ Cũ)</t>
  </si>
  <si>
    <t>Biển số xe 61H - 09665 - Cước vận chuyển từ Vsip II, Bình Dương đi Bình Tân, TP Hồ Chí Minh (Địa Chỉ Cũ)</t>
  </si>
  <si>
    <t>Biển số xe 61H - 09665 - Cước vận chuyển từ Vsip II, Bình Dương đi Bình Tân - Tân Phú, TP Hồ Chí Minh (Địa Chỉ Cũ)</t>
  </si>
  <si>
    <t>Biển số xe 61H - 09665 - Cước vận chuyển từ Vsip II, Bình Dương đi Quận 9, TP Hồ Chí Minh (Địa Chỉ Cũ)</t>
  </si>
  <si>
    <t>Biển số xe 61H - 09665 - Cước vận chuyển từ Vsip II, Bình Dương đi Tân Bình, TP Hồ Chí Minh (Địa Chỉ Cũ)</t>
  </si>
  <si>
    <t>Biển số xe 61H - 09665 - Cước vận chuyển từ Vsip II, Bình Dương đi Tân Phú, TP Hồ Chí Minh (Địa Chỉ Cũ)</t>
  </si>
  <si>
    <t>Biển số xe 61H - 09665 - Cước vận chuyển từ Vsip II, Bình Dương đi Hóc Môn, TP Hồ Chí Minh (Địa Chỉ Cũ)</t>
  </si>
  <si>
    <t>Biển số xe 61H - 09665 - Cước vận chuyển từ Vsip II, Bình Dương đi Thủ Đức, TP Hồ Chí Minh (Địa Chỉ Cũ)</t>
  </si>
  <si>
    <t>Biển số xe 61H - 09665 - Cước vận chuyển từ Vsip II, Bình Dương đi Thủ Dầu Một, Bình Dương (Địa Chỉ Cũ)</t>
  </si>
  <si>
    <t>Biển số xe 61H - 09665 - Cước vận chuyển từ Vsip II, Bình Dương đi Quận 8, TP Hồ Chí Minh (Địa Chỉ Cũ)</t>
  </si>
  <si>
    <t>Biển số xe 61H - 09665 - Cước vận chuyển từ Vsip II, Bình Dương đi Gò Vấp, TP Hồ Chí Minh (Địa Chỉ Cũ)</t>
  </si>
  <si>
    <t>Biển số xe 61H - 09665 - Cước vận chuyển từ Vsip II, Bình Dương đi Tân Bình - Tân Phú, TP Hồ Chí Minh (Địa Chỉ Cũ)</t>
  </si>
  <si>
    <t>Biển số xe 61H - 09665 - Cước vận chuyển từ Vsip II, Bình Dương đi Bình Chánh, TP Hồ Chí Minh (Địa Chỉ Cũ)</t>
  </si>
  <si>
    <t>Biển số xe 61H - 09665 - Cước vận chuyển từ Vsip II, Bình Dương đi Dĩ An, Bình Dương (Địa Chỉ Cũ)</t>
  </si>
  <si>
    <t>Biển số xe 61H - 09665 - Cước vận chuyển từ Vsip II, Bình Dương đi Quận 12, TP Hồ Chí Minh (Địa Chỉ Cũ)</t>
  </si>
  <si>
    <t>Biển số xe 61H - 09665 - Cước vận chuyển từ Vsip II, Bình Dương đi Bình Tân - Quận 8, TP Hồ Chí Minh (Địa Chỉ Cũ)</t>
  </si>
  <si>
    <t>Biển số xe 61H - 09665 - Cước vận chuyển từ Vsip II, Bình Dương đi Thủ Đức, TP Hồ Chí Minh - Thủ Dầu Một, Bình Dương (Địa Chỉ Cũ)</t>
  </si>
  <si>
    <t>Biển số xe 61H - 09665 - Cước vận chuyển từ Vsip II, Bình Dương đi Vsip II, Bình Dương (Địa Chỉ Cũ)</t>
  </si>
  <si>
    <t>Biển số xe 61H - 09665 - Cước vận chuyển từ Vsip II, Bình Dương đi Quận 6, TP Hồ Chí Minh (Địa Chỉ Cũ)</t>
  </si>
  <si>
    <t>Biển số xe 61H - 06657 - Cước vận chuyển từ Vsip II, Bình Dương đi Thủ Dầu Một - Dĩ An - Bến Cát, Bình Dương (Địa Chỉ Cũ)</t>
  </si>
  <si>
    <t>Biển số xe 61H - 06657 - Cước vận chuyển từ Vsip II, Bình Dương đi Củ Chi - Hóc Môn, TP Hồ Chí Minh (Địa Chỉ Cũ)</t>
  </si>
  <si>
    <t>Biển số xe 61H - 06657 - Cước vận chuyển từ Vsip II, Bình Dương đi Bình Tân, TP Hồ Chí Minh (Địa Chỉ Cũ)</t>
  </si>
  <si>
    <t>Biển số xe 61H - 06657 - Cước vận chuyển từ Vsip II, Bình Dương đi Đức Hòa, Long An - Bình Chánh, TP Hồ Chí Minh (Địa Chỉ Cũ)</t>
  </si>
  <si>
    <t>Biển số xe 61H - 06657 - Cước vận chuyển từ Vsip II, Bình Dương đi Đức Hòa, Long An (Địa Chỉ Cũ)</t>
  </si>
  <si>
    <t>Biển số xe 61H - 06657 - Cước vận chuyển từ Vsip II, Bình Dương đi Nhơn Trạch, Đồng Nai (Địa Chỉ Cũ)</t>
  </si>
  <si>
    <t>Biển số xe 61H - 06657 - Cước vận chuyển từ Vsip II, Bình Dương đi Long Thành, Đồng Nai - Tân Uyên, Bình Dương (Địa Chỉ Cũ)</t>
  </si>
  <si>
    <t>Biển số xe 61H - 06657 - Cước vận chuyển từ Vsip II, Bình Dương đi Bình Chánh, TP Hồ Chí Minh (Địa Chỉ Cũ)</t>
  </si>
  <si>
    <t>Biển số xe 61H - 06657 - Cước vận chuyển từ Vsip II, Bình Dương đi Hóc Môn, TP Hồ Chí Minh (Địa Chỉ Cũ)</t>
  </si>
  <si>
    <t>Biển số xe 61H - 06657 - Cước vận chuyển từ Vsip II, Bình Dương đi Mỹ Phước 3, Bình Dương (Địa Chỉ Cũ)</t>
  </si>
  <si>
    <t>Biển số xe 61H - 06657 - Cước vận chuyển từ Vsip II, Bình Dương đi Tân Uyên, Bình Dương (Địa Chỉ Cũ)</t>
  </si>
  <si>
    <t>Biển số xe 61H - 06657 - Cước vận chuyển từ Vsip II, Bình Dương đi Dĩ An, Bình Dương (Địa Chỉ Cũ)</t>
  </si>
  <si>
    <t>Biển số xe 61H - 06657 - Cước vận chuyển từ Vsip II, Bình Dương đi Vsip II A, Bình Dương (Địa Chỉ Cũ)</t>
  </si>
  <si>
    <t>Biển số xe 61H - 06657 - Cước vận chuyển từ Vsip II, Bình Dương đi Thủ Đức - Hóc Môn, TP Hồ Chí Minh (Địa Chỉ Cũ)</t>
  </si>
  <si>
    <t>Biển số xe 61H - 06657 - Cước vận chuyển từ Vsip II, Bình Dương đi Bình Chánh - Củ Chi - Bình Tân, TP Hồ Chí Minh (Địa Chỉ Cũ)</t>
  </si>
  <si>
    <t>Biển số xe 61H - 06657 - Cước vận chuyển từ Vsip II, Bình Dương đi Bình Tân - Bình Chánh, TP Hồ Chí Minh (Địa Chỉ Cũ)</t>
  </si>
  <si>
    <t>Biển số xe 61H - 06657 - Cước vận chuyển từ Vsip II, Bình Dương đi Thủ Dầu Một, Bình Dương (Địa Chỉ Cũ)</t>
  </si>
  <si>
    <t>Biển số xe 61H - 06657 - Cước vận chuyển từ Vsip II, Bình Dương đi Quận 9, TP Hồ Chí Minh (Địa Chỉ Cũ)</t>
  </si>
  <si>
    <t>Biển số xe 61H - 06657 - Cước vận chuyển từ Vsip II, Bình Dương đi Bình Tân - Hóc Môn - Bình Chánh, TP Hồ Chí Minh (Địa Chỉ Cũ)</t>
  </si>
  <si>
    <t>Biển số xe 61H - 06657 - Cước vận chuyển từ Vsip II, Bình Dương đi Bến Cát, Bình Dương (Địa Chỉ Cũ)</t>
  </si>
  <si>
    <t>Biển số xe 61H - 06657 - Cước vận chuyển từ Vsip II, Bình Dương đi Bình Chánh - Hóc Môn, TP Hồ Chí Minh (Địa Chỉ Cũ)</t>
  </si>
  <si>
    <t>Biển số xe 61H - 06657 - Cước vận chuyển từ Vsip II, Bình Dương đi Bà Rịa Vũng Tàu, Vũng Tàu (Địa Chỉ Cũ)</t>
  </si>
  <si>
    <t>Biển số xe 61H - 06657 - Cước vận chuyển từ Vsip II, Bình Dương đi Hóc Môn - Bình Tân, TP Hồ Chí Minh (Địa Chỉ Cũ)</t>
  </si>
  <si>
    <t>Biển số xe 61E - 04152 - Cước vận chuyển từ Vsip II, Bình Dương đi Bình Chánh, TP Hồ Chí Minh (Địa Chỉ Cũ)</t>
  </si>
  <si>
    <t>Biển số xe 61E - 04152 - Cước vận chuyển từ Vsip II, Bình Dương đi Long Thành, Đồng Nai (Địa Chỉ Cũ)</t>
  </si>
  <si>
    <t>Biển số xe 61E - 04152 - Cước vận chuyển từ Vsip II, Bình Dương đi Bến Lức, Long An (Địa Chỉ Cũ)</t>
  </si>
  <si>
    <t>Biển số xe 61E - 04152 - Cước vận chuyển từ Vsip II, Bình Dương đi Hóc Môn, TP Hồ Chí Minh (Địa Chỉ Cũ)</t>
  </si>
  <si>
    <t>Biển số xe 61E - 04152 - Cước vận chuyển từ Vsip II, Bình Dương đi Bình Thuận, Bình Thuận (Địa Chỉ Cũ)</t>
  </si>
  <si>
    <t>Biển số xe 61E - 04152 - Cước vận chuyển từ Vsip II, Bình Dương đi Quận 9, TP Hồ Chí Minh (Địa Chỉ Cũ)</t>
  </si>
  <si>
    <t>Biển số xe 61E - 04152 - Cước vận chuyển từ Vsip II, Bình Dương đi Mỹ Phước 3, Bình Dương (Địa Chỉ Cũ)</t>
  </si>
  <si>
    <t>Biển số xe 61E - 04152 - Cước vận chuyển từ Vsip II, Bình Dương đi Thuận An, Bình Dương - Quận 12, TP Hồ Chí Minh (Địa Chỉ Cũ)</t>
  </si>
  <si>
    <t>Biển số xe 61E - 04152 - Cước vận chuyển từ Vsip II, Bình Dương đi Đức Hòa, Long An (Địa Chỉ Cũ)</t>
  </si>
  <si>
    <t>Biển số xe 61E - 04152 - Cước vận chuyển từ Vsip II, Bình Dương đi Cần Giuộc, TP Hồ Chí Minh (Địa Chỉ Cũ)</t>
  </si>
  <si>
    <t>Biển số xe 61E - 04152 - Cước vận chuyển từ Vsip II, Bình Dương đi Dĩ An, Bình Dương - Quận 9, TP Hồ Chí Minh (Địa Chỉ Cũ)</t>
  </si>
  <si>
    <t>Biển số xe 61C - 36292 - Cước vận chuyển từ Vsip II, Bình Dương đi Quận 12 - Bình Chánh, TP Hồ Chí Minh (Địa Chỉ Cũ)</t>
  </si>
  <si>
    <t>Biển số xe 61C - 36292 - Cước vận chuyển từ Vsip II, Bình Dương đi Dĩ An, Bình Dương (Địa Chỉ Cũ)</t>
  </si>
  <si>
    <t>Biển số xe 61C - 36292 - Cước vận chuyển từ Vsip II, Bình Dương đi Hóc Môn, TP Hồ Chí Minh (Địa Chỉ Cũ)</t>
  </si>
  <si>
    <t>Biển số xe 61C - 36292 - Cước vận chuyển từ Vsip II, Bình Dương đi Thuận An, Bình Dương - Quận 9, TP Hồ Chí Minh (Địa Chỉ Cũ)</t>
  </si>
  <si>
    <t>Biển số xe 61C - 36292 - Cước vận chuyển từ Vsip II, Bình Dương đi Quận 9, TP Hồ Chí Minh - Thủ Dầu Một, Bình Dương (Địa Chỉ Cũ)</t>
  </si>
  <si>
    <t>Biển số xe 61C - 36292 - Cước vận chuyển từ Vsip II, Bình Dương đi Bình Tân, TP Hồ Chí Minh (Địa Chỉ Cũ)</t>
  </si>
  <si>
    <t>Biển số xe 61C - 36292 - Cước vận chuyển từ Vsip II, Bình Dương đi Bình Chánh, TP Hồ Chí Minh (Địa Chỉ Cũ)</t>
  </si>
  <si>
    <t>Biển số xe 61C - 36292 - Cước vận chuyển từ Vsip II, Bình Dương đi Long Thành, Đồng Nai (Địa Chỉ Cũ)</t>
  </si>
  <si>
    <t>Biển số xe 61C - 36292 - Cước vận chuyển từ Vsip II, Bình Dương đi Long Khánh, Đồng Nai (Địa Chỉ Cũ)</t>
  </si>
  <si>
    <t>Biển số xe 61C - 36292 - Cước vận chuyển từ Vsip II, Bình Dương đi Bình Chánh, TP Hồ Chí Minh - Đức Hòa, Long An (Địa Chỉ Cũ)</t>
  </si>
  <si>
    <t>Biển số xe 61C - 36292 - Cước vận chuyển từ Vsip II, Bình Dương đi Biên Hòa, Đồng Nai - Quận 9, TP Hồ Chí Minh (Địa Chỉ Cũ)</t>
  </si>
  <si>
    <t>Biển số xe 61C - 36292 - Cước vận chuyển từ Vsip II, Bình Dương đi Bến Cát, Bình Dương (Địa Chỉ Cũ)</t>
  </si>
  <si>
    <t>Biển số xe 61H - 09504 - Cước vận chuyển từ Vsip II, Bình Dương đi Mỹ Phước 3 - Mỹ Phước 1, Bình Dương (Địa Chỉ Cũ)</t>
  </si>
  <si>
    <t>Biển số xe 61H - 09504 - Cước vận chuyển từ Vsip II, Bình Dương đi Quận 12, TP Hồ Chí Minh (Địa Chỉ Cũ)</t>
  </si>
  <si>
    <t>Biển số xe 61H - 09504 - Cước vận chuyển từ Vsip II, Bình Dương đi Đức Hòa, Long An (Địa Chỉ Cũ)</t>
  </si>
  <si>
    <t>Biển số xe 61H - 09504 - Cước vận chuyển từ Vsip II, Bình Dương đi Đức Hòa, Long An - Hóc Môn - Bình Tân, TP Hồ Chí Minh (Địa Chỉ Cũ)</t>
  </si>
  <si>
    <t>Biển số xe 61H - 09504 - Cước vận chuyển từ Vsip II, Bình Dương đi Đức Hòa, Long An - Bình Chánh, TP Hồ Chí Minh (Địa Chỉ Cũ)</t>
  </si>
  <si>
    <t>Biển số xe 61H - 09504 - Cước vận chuyển từ Vsip II, Bình Dương đi Bến Cát, Bình Dương (Địa Chỉ Cũ)</t>
  </si>
  <si>
    <t>Biển số xe 61H - 09504 - Cước vận chuyển từ Vsip II, Bình Dương đi Nhơn Trạch - Bình An - Đồng Nai - Long Thành, Đồng Nai (Địa Chỉ Cũ)</t>
  </si>
  <si>
    <t>Biển số xe 61H - 09504 - Cước vận chuyển từ Vsip II, Bình Dương đi Thuận An - Dĩ An, Bình Dương (Địa Chỉ Cũ)</t>
  </si>
  <si>
    <t>Biển số xe 61H - 09504 - Cước vận chuyển từ Vsip II, Bình Dương đi Dĩ An, Bình Dương (Địa Chỉ Cũ)</t>
  </si>
  <si>
    <t>Biển số xe 61H - 09504 - Cước vận chuyển từ Vsip II, Bình Dương đi Dĩ An, Bình Dương - Quận 9, TP Hồ Chí Minh (Địa Chỉ Cũ)</t>
  </si>
  <si>
    <t>Biển số xe 61H - 09504 - Cước vận chuyển từ Vsip II, Bình Dương đi Dĩ An - Tân Uyên, Bình Dương (Địa Chỉ Cũ)</t>
  </si>
  <si>
    <t>Biển số xe 61H - 09504 - Cước vận chuyển từ Vsip II, Bình Dương đi Vsip II A, Bình Dương (Địa Chỉ Cũ)</t>
  </si>
  <si>
    <t>Biển số xe 61H - 09504 - Cước vận chuyển từ Vsip II, Bình Dương đi Quận 9, TP Hồ Chí Minh (Địa Chỉ Cũ)</t>
  </si>
  <si>
    <t>Biển số xe 61H - 09504 - Cước vận chuyển từ Vsip II, Bình Dương đi Tân Uyên, Bình Dương (Địa Chỉ Cũ)</t>
  </si>
  <si>
    <t>Biển số xe 61H - 09504 - Cước vận chuyển từ Vsip II, Bình Dương đi Bình Chánh, TP Hồ Chí Minh (Địa Chỉ Cũ)</t>
  </si>
  <si>
    <t>Biển số xe 61H - 09504 - Cước vận chuyển từ Vsip II, Bình Dương đi Nhà Bè, TP Hồ Chí Minh (Địa Chỉ Cũ)</t>
  </si>
  <si>
    <t>Biển số xe 61H - 09504 - Cước vận chuyển từ Vsip II, Bình Dương đi Đức Hòa, Long An - Củ Chi, TP Hồ Chí Minh (Địa Chỉ Cũ)</t>
  </si>
  <si>
    <t>Biển số xe 61H - 09504 - Cước vận chuyển từ Vsip II, Bình Dương đi Hóc Môn - Bình Chánh - Bình Tân, TP Hồ Chí Minh (Địa Chỉ Cũ)</t>
  </si>
  <si>
    <t>Biển số xe 61H - 09504 - Cước vận chuyển từ Vsip II, Bình Dương đi Long Bình - Biên Hòa, Đồng Nai (Địa Chỉ Cũ)</t>
  </si>
  <si>
    <t>Biển số xe 61H - 09504 - Cước vận chuyển từ Vsip II, Bình Dương đi Quận 12 - Củ Chi, TP Hồ Chí Minh (Địa Chỉ Cũ)</t>
  </si>
  <si>
    <t>Biển số xe 61H - 09504 - Cước vận chuyển từ Vsip II, Bình Dương đi Bàu Bàng, Bình Dương (Địa Chỉ Cũ)</t>
  </si>
  <si>
    <t>Biển số xe 61H - 09504 - Cước vận chuyển từ Vsip II, Bình Dương đi Củ Chi, TP Hồ Chí Minh (Địa Chỉ Cũ)</t>
  </si>
  <si>
    <t>Biển số xe 61H - 14505 - Cước vận chuyển từ Vsip II, Bình Dương đi Tân Uyên, Bình Dương (Địa Chỉ Cũ)</t>
  </si>
  <si>
    <t>Biển số xe 61H - 14505 - Cước vận chuyển từ Vsip II, Bình Dương đi Quận 9, TP Hồ Chí Minh (Địa Chỉ Cũ)</t>
  </si>
  <si>
    <t>Biển số xe 61H - 14505 - Cước vận chuyển từ Vsip II, Bình Dương đi Mỹ Phước 3 - Bến Cát, Bình Dương (Địa Chỉ Cũ)</t>
  </si>
  <si>
    <t>Biển số xe 61H - 14505 - Cước vận chuyển từ Vsip II, Bình Dương đi Bình Chánh, TP Hồ Chí Minh (Địa Chỉ Cũ)</t>
  </si>
  <si>
    <t>Biển số xe 61H - 14505 - Cước vận chuyển từ Vsip II, Bình Dương đi Hóc Môn, TP Hồ Chí Minh (Địa Chỉ Cũ)</t>
  </si>
  <si>
    <t>Biển số xe 61H - 14505 - Cước vận chuyển từ Vsip II, Bình Dương đi Củ Chi, TP Hồ Chí Minh (Địa Chỉ Cũ)</t>
  </si>
  <si>
    <t>Biển số xe 61H - 14505 - Cước vận chuyển từ Vsip II, Bình Dương đi Đức Hòa, Long An (Địa Chỉ Cũ)</t>
  </si>
  <si>
    <t>Biển số xe 61H - 14505 - Cước vận chuyển từ Vsip II, Bình Dương đi Vsip II A, Bình Dương (Địa Chỉ Cũ)</t>
  </si>
  <si>
    <t>Biển số xe 61H - 14505 - Cước vận chuyển từ Vsip II, Bình Dương đi Dĩ An, Bình Dương (Địa Chỉ Cũ)</t>
  </si>
  <si>
    <t>Biển số xe 61H - 14505 - Cước vận chuyển từ Vsip II, Bình Dương đi Quận 12, TP Hồ Chí Minh (Địa Chỉ Cũ)</t>
  </si>
  <si>
    <t>Biển số xe 61H - 14505 - Cước vận chuyển từ Vsip II, Bình Dương đi Biên Hòa, Đồng Nai (Địa Chỉ Cũ)</t>
  </si>
  <si>
    <t>Biển số xe 61H - 14505 - Cước vận chuyển từ Vsip II, Bình Dương đi Đức Hòa, Long An - Bình Chánh, TP Hồ Chí Minh (Địa Chỉ Cũ)</t>
  </si>
  <si>
    <t>Biển số xe 61H - 14505 - Cước vận chuyển từ Vsip II, Bình Dương đi Bến Cát, Bình Dương (Địa Chỉ Cũ)</t>
  </si>
  <si>
    <t>Biển số xe 61H - 14505 - Cước vận chuyển từ Vsip II, Bình Dương đi Nhơn Trạch, Đồng Nai (Địa Chỉ Cũ)</t>
  </si>
  <si>
    <t>Biển số xe 61H - 14505 - Cước vận chuyển từ Vsip II, Bình Dương đi Dĩ An, Bình Dương - Quận 9, TP Hồ Chí Minh (Địa Chỉ Cũ)</t>
  </si>
  <si>
    <t>Biển số xe 61H - 14505 - Cước vận chuyển từ Vsip II, Bình Dương đi Bình Chánh - Bình Tân, TP Hồ Chí Minh (Địa Chỉ Cũ)</t>
  </si>
  <si>
    <t>Biển số xe 61H - 14505 - Cước vận chuyển từ Vsip II, Bình Dương đi Củ Chi - Hóc Môn, TP Hồ Chí Minh (Địa Chỉ Cũ)</t>
  </si>
  <si>
    <t>Biển số xe 61H - 14505 - Cước vận chuyển từ Vsip II, Bình Dương đi Thủ Đức - Quận 12, TP Hồ Chí Minh - Thuận An, Bình Dương (Địa Chỉ Cũ)</t>
  </si>
  <si>
    <t>Biển số xe 61H - 14505 - Cước vận chuyển từ Vsip II, Bình Dương đi Thủ Dầu Một - Vsip II, Bình Dương (Địa Chỉ Cũ)</t>
  </si>
  <si>
    <t>Biển số xe 61H - 14505 - Cước vận chuyển từ Vsip II, Bình Dương đi Thủ Dầu Một - Mỹ Phước 3, Bình Dương (Địa Chỉ Cũ)</t>
  </si>
  <si>
    <t>Biển số xe 61H - 14505 - Cước vận chuyển từ Vsip II, Bình Dương đi Đà Lạt, Lâm Đồng (Địa Chỉ Cũ)</t>
  </si>
  <si>
    <t>Biển số xe 61H - 14505 - Cước vận chuyển từ Vsip II, Bình Dương đi Nhà Bè, TP Hồ Chí Minh (Địa Chỉ Cũ)</t>
  </si>
  <si>
    <t>Biển số xe 61H - 14505 - Cước vận chuyển từ Vsip II, Bình Dương đi Long Khánh, Đồng Nai (Địa Chỉ Cũ)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</si>
</sst>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14">
    <font>
      <sz val="11"/>
      <color theme="1"/>
      <name val="Calibri"/>
      <charset val="134"/>
      <scheme val="minor"/>
    </font>
    <font>
      <sz val="11"/>
      <name val="Times New Roman"/>
      <charset val="134"/>
    </font>
    <font>
      <sz val="10"/>
      <name val="Times New Roman"/>
      <charset val="134"/>
    </font>
    <font>
      <b/>
      <sz val="11"/>
      <name val="Times New Roman"/>
      <charset val="134"/>
    </font>
    <font>
      <sz val="11"/>
      <name val="Times New Roman"/>
    </font>
    <font>
      <sz val="11"/>
      <color theme="1"/>
      <name val="Calibri"/>
      <scheme val="minor"/>
    </font>
    <font>
      <b/>
      <sz val="12"/>
      <name val="Times New Roman"/>
    </font>
    <font>
      <b/>
      <sz val="11"/>
      <name val="Times New Roman"/>
    </font>
    <font>
      <b/>
      <sz val="11"/>
      <color rgb="FFFF0000"/>
      <name val="Times New Roman"/>
    </font>
    <font>
      <sz val="11"/>
      <color rgb="FFFF0000"/>
      <name val="Times New Roman"/>
    </font>
    <font>
      <sz val="12"/>
      <color indexed="8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9">
    <xf numFmtId="0" fontId="0" fillId="0" borderId="0">
      <alignment horizontal="center" vertical="center"/>
    </xf>
    <xf numFmtId="43" fontId="12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1" fillId="0" borderId="0">
      <alignment vertical="center"/>
    </xf>
    <xf numFmtId="164" fontId="10" fillId="0" borderId="0" applyFont="0" applyFill="0" applyBorder="0" applyAlignment="0" applyProtection="0"/>
    <xf numFmtId="0" fontId="11" fillId="0" borderId="0"/>
    <xf numFmtId="164" fontId="10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1" fillId="0" borderId="0">
      <alignment vertical="center"/>
    </xf>
    <xf numFmtId="0" fontId="11" fillId="0" borderId="0"/>
    <xf numFmtId="0" fontId="12" fillId="0" borderId="0"/>
    <xf numFmtId="0" fontId="12" fillId="0" borderId="0"/>
  </cellStyleXfs>
  <cellXfs count="44">
    <xf numFmtId="0" fontId="0" fillId="0" borderId="0" xfId="0">
      <alignment horizontal="center" vertical="center"/>
    </xf>
    <xf numFmtId="0" fontId="1" fillId="2" borderId="0" xfId="0" applyFont="1" applyFill="1">
      <alignment horizontal="center" vertic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/>
    <xf numFmtId="165" fontId="3" fillId="2" borderId="1" xfId="1" applyNumberFormat="1" applyFont="1" applyFill="1" applyBorder="1" applyAlignment="1">
      <alignment horizontal="center" vertical="center"/>
    </xf>
    <xf numFmtId="0" fontId="4" fillId="2" borderId="0" xfId="0" applyFont="1" applyFill="1">
      <alignment horizontal="center" vertic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5" fillId="0" borderId="0" xfId="0" applyFont="1">
      <alignment horizontal="center" vertical="center"/>
    </xf>
    <xf numFmtId="0" fontId="4" fillId="2" borderId="0" xfId="0" applyFont="1" applyFill="1" applyAlignment="1">
      <alignment vertical="center"/>
    </xf>
    <xf numFmtId="12" fontId="4" fillId="2" borderId="0" xfId="0" applyNumberFormat="1" applyFont="1" applyFill="1">
      <alignment horizontal="center" vertical="center"/>
    </xf>
    <xf numFmtId="0" fontId="4" fillId="2" borderId="0" xfId="0" applyFont="1" applyFill="1" applyAlignment="1">
      <alignment horizontal="left" vertical="center"/>
    </xf>
    <xf numFmtId="164" fontId="4" fillId="2" borderId="0" xfId="1" applyNumberFormat="1" applyFont="1" applyFill="1" applyAlignment="1">
      <alignment horizontal="left"/>
    </xf>
    <xf numFmtId="165" fontId="4" fillId="2" borderId="0" xfId="1" applyNumberFormat="1" applyFont="1" applyFill="1" applyAlignment="1">
      <alignment horizontal="center" vertical="center"/>
    </xf>
    <xf numFmtId="0" fontId="7" fillId="2" borderId="0" xfId="0" applyFont="1" applyFill="1" applyAlignment="1"/>
    <xf numFmtId="0" fontId="7" fillId="0" borderId="0" xfId="0" applyFont="1" applyAlignment="1" applyProtection="1">
      <protection locked="0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4" fillId="0" borderId="0" xfId="0" applyFont="1" applyAlignment="1" applyProtection="1">
      <protection locked="0"/>
    </xf>
    <xf numFmtId="0" fontId="4" fillId="2" borderId="0" xfId="0" applyFont="1" applyFill="1" applyAlignment="1"/>
    <xf numFmtId="0" fontId="3" fillId="0" borderId="0" xfId="0" applyFont="1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top" wrapText="1"/>
    </xf>
    <xf numFmtId="165" fontId="3" fillId="2" borderId="1" xfId="0" applyNumberFormat="1" applyFont="1" applyFill="1" applyBorder="1" applyAlignment="1">
      <alignment horizontal="center" vertical="top" wrapText="1"/>
    </xf>
    <xf numFmtId="165" fontId="3" fillId="2" borderId="1" xfId="1" applyNumberFormat="1" applyFont="1" applyFill="1" applyBorder="1" applyAlignment="1">
      <alignment horizontal="center" vertical="top" wrapText="1"/>
    </xf>
    <xf numFmtId="165" fontId="2" fillId="2" borderId="0" xfId="0" applyNumberFormat="1" applyFont="1" applyFill="1" applyAlignment="1">
      <alignment horizontal="center" vertical="top"/>
    </xf>
    <xf numFmtId="1" fontId="1" fillId="2" borderId="1" xfId="1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>
      <alignment horizontal="center" vertical="center"/>
    </xf>
    <xf numFmtId="0" fontId="9" fillId="2" borderId="0" xfId="0" applyFont="1" applyFill="1" applyAlignment="1">
      <alignment vertical="center"/>
    </xf>
    <xf numFmtId="12" fontId="9" fillId="2" borderId="0" xfId="0" applyNumberFormat="1" applyFont="1" applyFill="1">
      <alignment horizontal="center" vertical="center"/>
    </xf>
    <xf numFmtId="3" fontId="1" fillId="2" borderId="2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65" fontId="1" fillId="2" borderId="2" xfId="1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3" fillId="0" borderId="1" xfId="0" applyFont="1" applyBorder="1">
      <alignment horizontal="center" vertical="center"/>
    </xf>
    <xf numFmtId="0" fontId="13" fillId="0" borderId="2" xfId="0" applyFont="1" applyBorder="1">
      <alignment horizontal="center" vertical="center"/>
    </xf>
    <xf numFmtId="0" fontId="6" fillId="2" borderId="0" xfId="0" applyFont="1" applyFill="1" applyAlignment="1">
      <alignment horizontal="center"/>
    </xf>
    <xf numFmtId="0" fontId="1" fillId="0" borderId="0" xfId="0" applyFont="1" applyAlignment="1" applyProtection="1">
      <alignment horizontal="left" vertical="top" wrapText="1"/>
      <protection locked="0"/>
    </xf>
    <xf numFmtId="1" fontId="3" fillId="2" borderId="1" xfId="1" applyNumberFormat="1" applyFont="1" applyFill="1" applyBorder="1" applyAlignment="1">
      <alignment horizontal="center" vertical="center"/>
    </xf>
    <xf numFmtId="3" fontId="1" fillId="2" borderId="1" xfId="1" applyNumberFormat="1" applyFont="1" applyFill="1" applyBorder="1" applyAlignment="1">
      <alignment horizontal="center" vertical="center"/>
    </xf>
  </cellXfs>
  <cellStyles count="19">
    <cellStyle name="Comma" xfId="1" builtinId="3"/>
    <cellStyle name="Comma 2" xfId="9" xr:uid="{00000000-0005-0000-0000-000001000000}"/>
    <cellStyle name="Comma 2 2" xfId="7" xr:uid="{00000000-0005-0000-0000-000002000000}"/>
    <cellStyle name="Comma 2 2 2" xfId="10" xr:uid="{00000000-0005-0000-0000-000003000000}"/>
    <cellStyle name="Comma 2 3" xfId="8" xr:uid="{00000000-0005-0000-0000-000004000000}"/>
    <cellStyle name="Comma 3" xfId="11" xr:uid="{00000000-0005-0000-0000-000005000000}"/>
    <cellStyle name="Comma 3 2" xfId="12" xr:uid="{00000000-0005-0000-0000-000006000000}"/>
    <cellStyle name="Comma 3 2 2" xfId="5" xr:uid="{00000000-0005-0000-0000-000007000000}"/>
    <cellStyle name="Comma 3 3" xfId="2" xr:uid="{00000000-0005-0000-0000-000008000000}"/>
    <cellStyle name="Comma 4" xfId="13" xr:uid="{00000000-0005-0000-0000-000009000000}"/>
    <cellStyle name="Comma 4 2" xfId="3" xr:uid="{00000000-0005-0000-0000-00000A000000}"/>
    <cellStyle name="Comma 5" xfId="14" xr:uid="{00000000-0005-0000-0000-00000B000000}"/>
    <cellStyle name="Normal" xfId="0" builtinId="0"/>
    <cellStyle name="Normal 2" xfId="4" xr:uid="{00000000-0005-0000-0000-00000D000000}"/>
    <cellStyle name="Normal 2 2" xfId="15" xr:uid="{00000000-0005-0000-0000-00000E000000}"/>
    <cellStyle name="Normal 3" xfId="6" xr:uid="{00000000-0005-0000-0000-00000F000000}"/>
    <cellStyle name="Normal 3 2" xfId="16" xr:uid="{00000000-0005-0000-0000-000010000000}"/>
    <cellStyle name="Normal 4" xfId="17" xr:uid="{00000000-0005-0000-0000-000011000000}"/>
    <cellStyle name="Normal 5" xfId="18" xr:uid="{00000000-0005-0000-0000-000012000000}"/>
  </cellStyles>
  <dxfs count="0"/>
  <tableStyles count="0" defaultTableStyle="TableStyleMedium9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T54"/>
  <sheetViews>
    <sheetView topLeftCell="A37" zoomScaleNormal="100" workbookViewId="0">
      <selection activeCell="B15" sqref="B15"/>
    </sheetView>
  </sheetViews>
  <sheetFormatPr defaultColWidth="8.6640625" defaultRowHeight="14.4"/>
  <cols>
    <col min="1" max="1" width="12.6640625" style="11" customWidth="1"/>
    <col min="2" max="2" width="53.33203125" style="12" customWidth="1"/>
    <col min="3" max="3" width="11.33203125" style="13" customWidth="1"/>
    <col min="4" max="4" width="8.109375" style="14" customWidth="1"/>
    <col min="5" max="5" width="12.33203125" style="15" customWidth="1"/>
    <col min="6" max="6" width="17.6640625" style="15" customWidth="1"/>
    <col min="7" max="7" width="12.33203125" style="6" customWidth="1"/>
    <col min="8" max="9" width="14.6640625" style="6" customWidth="1"/>
    <col min="10" max="10" width="12" style="6"/>
    <col min="11" max="11" width="15.6640625" style="6"/>
    <col min="12" max="12" width="10.6640625" style="6"/>
    <col min="13" max="14" width="12" style="6"/>
    <col min="15" max="15" width="34.33203125" style="6" customWidth="1"/>
    <col min="16" max="216" width="9.109375" style="6"/>
    <col min="217" max="238" width="8.6640625" style="6"/>
    <col min="239" max="16384" width="8.6640625" style="10"/>
  </cols>
  <sheetData>
    <row r="1" spans="1:254" s="6" customFormat="1">
      <c r="A1" s="11"/>
      <c r="B1" s="12"/>
      <c r="C1" s="13"/>
      <c r="D1" s="14"/>
      <c r="E1" s="15"/>
      <c r="F1" s="15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</row>
    <row r="2" spans="1:254" s="6" customFormat="1" ht="15.6">
      <c r="A2" s="40" t="s">
        <v>0</v>
      </c>
      <c r="B2" s="40"/>
      <c r="C2" s="40"/>
      <c r="D2" s="40"/>
      <c r="E2" s="40"/>
      <c r="F2" s="40"/>
    </row>
    <row r="3" spans="1:254" s="6" customFormat="1" ht="13.8">
      <c r="A3" s="16"/>
      <c r="B3" s="16"/>
      <c r="C3" s="16" t="s">
        <v>1</v>
      </c>
      <c r="D3" s="16"/>
      <c r="E3" s="16"/>
      <c r="F3" s="16"/>
    </row>
    <row r="4" spans="1:254" s="7" customFormat="1" ht="13.8">
      <c r="A4" s="17" t="s">
        <v>2</v>
      </c>
      <c r="B4" s="18"/>
      <c r="C4" s="19" t="s">
        <v>3</v>
      </c>
      <c r="D4" s="20"/>
      <c r="E4" s="20"/>
      <c r="F4" s="20"/>
    </row>
    <row r="5" spans="1:254" s="7" customFormat="1" ht="13.8">
      <c r="A5" s="21" t="s">
        <v>4</v>
      </c>
      <c r="B5" s="20"/>
      <c r="C5" s="20"/>
      <c r="D5" s="20"/>
      <c r="E5" s="20"/>
      <c r="F5" s="20"/>
    </row>
    <row r="6" spans="1:254" s="7" customFormat="1" ht="13.8">
      <c r="A6" s="22" t="s">
        <v>5</v>
      </c>
      <c r="B6" s="20"/>
      <c r="C6" s="20"/>
      <c r="D6" s="20"/>
      <c r="E6" s="20"/>
      <c r="F6" s="20"/>
    </row>
    <row r="7" spans="1:254" s="1" customFormat="1" ht="18" customHeight="1">
      <c r="A7" s="23" t="s">
        <v>6</v>
      </c>
      <c r="B7" s="24"/>
      <c r="C7" s="24"/>
      <c r="D7" s="3"/>
      <c r="E7" s="3"/>
      <c r="F7" s="3"/>
    </row>
    <row r="8" spans="1:254" s="1" customFormat="1" ht="31.95" customHeight="1">
      <c r="A8" s="41" t="s">
        <v>7</v>
      </c>
      <c r="B8" s="41"/>
      <c r="C8" s="41"/>
      <c r="D8" s="41"/>
      <c r="E8" s="41"/>
      <c r="F8" s="41"/>
    </row>
    <row r="9" spans="1:254" s="1" customFormat="1" ht="13.8">
      <c r="A9" s="4" t="s">
        <v>8</v>
      </c>
      <c r="B9" s="2"/>
      <c r="C9" s="2"/>
      <c r="D9" s="2"/>
      <c r="E9" s="2"/>
      <c r="F9" s="2"/>
    </row>
    <row r="10" spans="1:254" s="7" customFormat="1" ht="19.95" customHeight="1">
      <c r="A10" s="4" t="s">
        <v>9</v>
      </c>
    </row>
    <row r="11" spans="1:254" s="7" customFormat="1" ht="19.95" customHeight="1">
      <c r="A11" s="4"/>
    </row>
    <row r="12" spans="1:254" s="8" customFormat="1" ht="31.95" customHeight="1">
      <c r="A12" s="25" t="s">
        <v>10</v>
      </c>
      <c r="B12" s="25" t="s">
        <v>11</v>
      </c>
      <c r="C12" s="26" t="s">
        <v>12</v>
      </c>
      <c r="D12" s="26" t="s">
        <v>13</v>
      </c>
      <c r="E12" s="27" t="s">
        <v>14</v>
      </c>
      <c r="F12" s="25" t="s">
        <v>15</v>
      </c>
    </row>
    <row r="13" spans="1:254" s="9" customFormat="1" ht="30" customHeight="1">
      <c r="A13" s="29">
        <v>1</v>
      </c>
      <c r="B13" s="37" t="s">
        <v>20</v>
      </c>
      <c r="C13" s="35" t="s">
        <v>16</v>
      </c>
      <c r="D13" s="29">
        <v>2</v>
      </c>
      <c r="E13" s="33">
        <v>550000</v>
      </c>
      <c r="F13" s="36">
        <f>D13*E13</f>
        <v>1100000</v>
      </c>
      <c r="G13" s="2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s="9" customFormat="1" ht="30" customHeight="1">
      <c r="A14" s="29">
        <v>2</v>
      </c>
      <c r="B14" s="37" t="s">
        <v>25</v>
      </c>
      <c r="C14" s="35" t="s">
        <v>16</v>
      </c>
      <c r="D14" s="29">
        <v>1</v>
      </c>
      <c r="E14" s="33">
        <v>550000</v>
      </c>
      <c r="F14" s="36">
        <f>D14*E14</f>
        <v>550000</v>
      </c>
      <c r="G14" s="2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</row>
    <row r="15" spans="1:254" s="9" customFormat="1" ht="30" customHeight="1">
      <c r="A15" s="29">
        <v>3</v>
      </c>
      <c r="B15" s="37" t="s">
        <v>40</v>
      </c>
      <c r="C15" s="35" t="s">
        <v>16</v>
      </c>
      <c r="D15" s="29">
        <v>1</v>
      </c>
      <c r="E15" s="33">
        <v>550000</v>
      </c>
      <c r="F15" s="36">
        <f>D15*E15</f>
        <v>550000</v>
      </c>
      <c r="G15" s="2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</row>
    <row r="16" spans="1:254" s="9" customFormat="1" ht="30" customHeight="1">
      <c r="A16" s="29">
        <v>4</v>
      </c>
      <c r="B16" s="37" t="s">
        <v>20</v>
      </c>
      <c r="C16" s="35" t="s">
        <v>16</v>
      </c>
      <c r="D16" s="29">
        <v>1</v>
      </c>
      <c r="E16" s="33">
        <v>850000</v>
      </c>
      <c r="F16" s="36">
        <f>D16*E16</f>
        <v>850000</v>
      </c>
      <c r="G16" s="2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</row>
    <row r="17" spans="1:254" s="9" customFormat="1" ht="30" customHeight="1">
      <c r="A17" s="29">
        <v>5</v>
      </c>
      <c r="B17" s="37" t="s">
        <v>26</v>
      </c>
      <c r="C17" s="35" t="s">
        <v>16</v>
      </c>
      <c r="D17" s="29">
        <v>1</v>
      </c>
      <c r="E17" s="33">
        <v>1000000</v>
      </c>
      <c r="F17" s="36">
        <f>D17*E17</f>
        <v>1000000</v>
      </c>
      <c r="G17" s="2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</row>
    <row r="18" spans="1:254" s="9" customFormat="1" ht="30" customHeight="1">
      <c r="A18" s="29">
        <v>6</v>
      </c>
      <c r="B18" s="37" t="s">
        <v>41</v>
      </c>
      <c r="C18" s="35" t="s">
        <v>16</v>
      </c>
      <c r="D18" s="29">
        <v>1</v>
      </c>
      <c r="E18" s="33">
        <v>1000000</v>
      </c>
      <c r="F18" s="36">
        <f>D18*E18</f>
        <v>1000000</v>
      </c>
      <c r="G18" s="2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</row>
    <row r="19" spans="1:254" s="9" customFormat="1" ht="30" customHeight="1">
      <c r="A19" s="29">
        <v>7</v>
      </c>
      <c r="B19" s="37" t="s">
        <v>26</v>
      </c>
      <c r="C19" s="35" t="s">
        <v>16</v>
      </c>
      <c r="D19" s="29">
        <v>1</v>
      </c>
      <c r="E19" s="33">
        <v>1040000</v>
      </c>
      <c r="F19" s="36">
        <f>D19*E19</f>
        <v>1040000</v>
      </c>
      <c r="G19" s="2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</row>
    <row r="20" spans="1:254" s="9" customFormat="1" ht="30" customHeight="1">
      <c r="A20" s="29">
        <v>8</v>
      </c>
      <c r="B20" s="37" t="s">
        <v>24</v>
      </c>
      <c r="C20" s="35" t="s">
        <v>16</v>
      </c>
      <c r="D20" s="29">
        <v>1</v>
      </c>
      <c r="E20" s="33">
        <v>1050000</v>
      </c>
      <c r="F20" s="36">
        <f>D20*E20</f>
        <v>1050000</v>
      </c>
      <c r="G20" s="2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</row>
    <row r="21" spans="1:254" s="9" customFormat="1" ht="30" customHeight="1">
      <c r="A21" s="29">
        <v>9</v>
      </c>
      <c r="B21" s="37" t="s">
        <v>41</v>
      </c>
      <c r="C21" s="35" t="s">
        <v>16</v>
      </c>
      <c r="D21" s="29">
        <v>1</v>
      </c>
      <c r="E21" s="33">
        <v>1050000</v>
      </c>
      <c r="F21" s="36">
        <f>D21*E21</f>
        <v>1050000</v>
      </c>
      <c r="G21" s="2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</row>
    <row r="22" spans="1:254" s="9" customFormat="1" ht="30" customHeight="1">
      <c r="A22" s="29">
        <v>10</v>
      </c>
      <c r="B22" s="37" t="s">
        <v>29</v>
      </c>
      <c r="C22" s="35" t="s">
        <v>16</v>
      </c>
      <c r="D22" s="29">
        <v>1</v>
      </c>
      <c r="E22" s="33">
        <v>1054500</v>
      </c>
      <c r="F22" s="36">
        <f>D22*E22</f>
        <v>1054500</v>
      </c>
      <c r="G22" s="2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</row>
    <row r="23" spans="1:254" s="9" customFormat="1" ht="30" customHeight="1">
      <c r="A23" s="29">
        <v>11</v>
      </c>
      <c r="B23" s="37" t="s">
        <v>24</v>
      </c>
      <c r="C23" s="35" t="s">
        <v>16</v>
      </c>
      <c r="D23" s="29">
        <v>4</v>
      </c>
      <c r="E23" s="33">
        <v>1100000</v>
      </c>
      <c r="F23" s="36">
        <f>D23*E23</f>
        <v>4400000</v>
      </c>
      <c r="G23" s="2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</row>
    <row r="24" spans="1:254" s="9" customFormat="1" ht="30" customHeight="1">
      <c r="A24" s="29">
        <v>12</v>
      </c>
      <c r="B24" s="37" t="s">
        <v>32</v>
      </c>
      <c r="C24" s="35" t="s">
        <v>16</v>
      </c>
      <c r="D24" s="29">
        <v>2</v>
      </c>
      <c r="E24" s="33">
        <v>1100000</v>
      </c>
      <c r="F24" s="36">
        <f>D24*E24</f>
        <v>2200000</v>
      </c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</row>
    <row r="25" spans="1:254" s="9" customFormat="1" ht="30" customHeight="1">
      <c r="A25" s="29">
        <v>13</v>
      </c>
      <c r="B25" s="37" t="s">
        <v>33</v>
      </c>
      <c r="C25" s="35" t="s">
        <v>16</v>
      </c>
      <c r="D25" s="29">
        <v>3</v>
      </c>
      <c r="E25" s="33">
        <v>1100000</v>
      </c>
      <c r="F25" s="36">
        <f>D25*E25</f>
        <v>3300000</v>
      </c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</row>
    <row r="26" spans="1:254" s="9" customFormat="1" ht="30" customHeight="1">
      <c r="A26" s="29">
        <v>14</v>
      </c>
      <c r="B26" s="37" t="s">
        <v>25</v>
      </c>
      <c r="C26" s="35" t="s">
        <v>16</v>
      </c>
      <c r="D26" s="29">
        <v>1</v>
      </c>
      <c r="E26" s="33">
        <v>1150000</v>
      </c>
      <c r="F26" s="36">
        <f>D26*E26</f>
        <v>1150000</v>
      </c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</row>
    <row r="27" spans="1:254" s="9" customFormat="1" ht="30" customHeight="1">
      <c r="A27" s="29">
        <v>15</v>
      </c>
      <c r="B27" s="37" t="s">
        <v>28</v>
      </c>
      <c r="C27" s="35" t="s">
        <v>16</v>
      </c>
      <c r="D27" s="29">
        <v>1</v>
      </c>
      <c r="E27" s="33">
        <v>1150000</v>
      </c>
      <c r="F27" s="36">
        <f>D27*E27</f>
        <v>1150000</v>
      </c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</row>
    <row r="28" spans="1:254" s="9" customFormat="1" ht="30" customHeight="1">
      <c r="A28" s="29">
        <v>16</v>
      </c>
      <c r="B28" s="37" t="s">
        <v>30</v>
      </c>
      <c r="C28" s="35" t="s">
        <v>16</v>
      </c>
      <c r="D28" s="29">
        <v>1</v>
      </c>
      <c r="E28" s="33">
        <v>1150000</v>
      </c>
      <c r="F28" s="36">
        <f>D28*E28</f>
        <v>1150000</v>
      </c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</row>
    <row r="29" spans="1:254" s="9" customFormat="1" ht="30" customHeight="1">
      <c r="A29" s="29">
        <v>17</v>
      </c>
      <c r="B29" s="37" t="s">
        <v>35</v>
      </c>
      <c r="C29" s="35" t="s">
        <v>16</v>
      </c>
      <c r="D29" s="29">
        <v>1</v>
      </c>
      <c r="E29" s="33">
        <v>1150000</v>
      </c>
      <c r="F29" s="36">
        <f>D29*E29</f>
        <v>1150000</v>
      </c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</row>
    <row r="30" spans="1:254" s="9" customFormat="1" ht="30" customHeight="1">
      <c r="A30" s="29">
        <v>18</v>
      </c>
      <c r="B30" s="37" t="s">
        <v>36</v>
      </c>
      <c r="C30" s="35" t="s">
        <v>16</v>
      </c>
      <c r="D30" s="29">
        <v>1</v>
      </c>
      <c r="E30" s="33">
        <v>1150000</v>
      </c>
      <c r="F30" s="36">
        <f>D30*E30</f>
        <v>1150000</v>
      </c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</row>
    <row r="31" spans="1:254" s="8" customFormat="1" ht="30" customHeight="1">
      <c r="A31" s="29">
        <v>19</v>
      </c>
      <c r="B31" s="37" t="s">
        <v>24</v>
      </c>
      <c r="C31" s="35" t="s">
        <v>16</v>
      </c>
      <c r="D31" s="29">
        <v>1</v>
      </c>
      <c r="E31" s="33">
        <v>1160000</v>
      </c>
      <c r="F31" s="36">
        <f>D31*E31</f>
        <v>1160000</v>
      </c>
      <c r="G31" s="28"/>
    </row>
    <row r="32" spans="1:254" s="8" customFormat="1" ht="30" customHeight="1">
      <c r="A32" s="29">
        <v>20</v>
      </c>
      <c r="B32" s="37" t="s">
        <v>34</v>
      </c>
      <c r="C32" s="35" t="s">
        <v>16</v>
      </c>
      <c r="D32" s="29">
        <v>1</v>
      </c>
      <c r="E32" s="33">
        <v>1160000</v>
      </c>
      <c r="F32" s="36">
        <f>D32*E32</f>
        <v>1160000</v>
      </c>
      <c r="G32" s="28"/>
    </row>
    <row r="33" spans="1:7" s="8" customFormat="1" ht="30" customHeight="1">
      <c r="A33" s="29">
        <v>21</v>
      </c>
      <c r="B33" s="37" t="s">
        <v>34</v>
      </c>
      <c r="C33" s="35" t="s">
        <v>16</v>
      </c>
      <c r="D33" s="29">
        <v>1</v>
      </c>
      <c r="E33" s="33">
        <v>1200000</v>
      </c>
      <c r="F33" s="36">
        <f>D33*E33</f>
        <v>1200000</v>
      </c>
      <c r="G33" s="28"/>
    </row>
    <row r="34" spans="1:7" s="8" customFormat="1" ht="30" customHeight="1">
      <c r="A34" s="29">
        <v>22</v>
      </c>
      <c r="B34" s="37" t="s">
        <v>37</v>
      </c>
      <c r="C34" s="35" t="s">
        <v>16</v>
      </c>
      <c r="D34" s="29">
        <v>1</v>
      </c>
      <c r="E34" s="33">
        <v>1200000</v>
      </c>
      <c r="F34" s="36">
        <f>D34*E34</f>
        <v>1200000</v>
      </c>
      <c r="G34" s="28"/>
    </row>
    <row r="35" spans="1:7" s="8" customFormat="1" ht="30" customHeight="1">
      <c r="A35" s="29">
        <v>23</v>
      </c>
      <c r="B35" s="37" t="s">
        <v>24</v>
      </c>
      <c r="C35" s="35" t="s">
        <v>16</v>
      </c>
      <c r="D35" s="29">
        <v>1</v>
      </c>
      <c r="E35" s="33">
        <v>1218500</v>
      </c>
      <c r="F35" s="36">
        <f>D35*E35</f>
        <v>1218500</v>
      </c>
      <c r="G35" s="28"/>
    </row>
    <row r="36" spans="1:7" s="8" customFormat="1" ht="30" customHeight="1">
      <c r="A36" s="29">
        <v>24</v>
      </c>
      <c r="B36" s="37" t="s">
        <v>24</v>
      </c>
      <c r="C36" s="35" t="s">
        <v>16</v>
      </c>
      <c r="D36" s="29">
        <v>1</v>
      </c>
      <c r="E36" s="33">
        <v>1221000</v>
      </c>
      <c r="F36" s="36">
        <f>D36*E36</f>
        <v>1221000</v>
      </c>
      <c r="G36" s="28"/>
    </row>
    <row r="37" spans="1:7" s="8" customFormat="1" ht="30" customHeight="1">
      <c r="A37" s="29">
        <v>25</v>
      </c>
      <c r="B37" s="37" t="s">
        <v>31</v>
      </c>
      <c r="C37" s="35" t="s">
        <v>16</v>
      </c>
      <c r="D37" s="29">
        <v>1</v>
      </c>
      <c r="E37" s="33">
        <v>1250000</v>
      </c>
      <c r="F37" s="36">
        <f>D37*E37</f>
        <v>1250000</v>
      </c>
      <c r="G37" s="28"/>
    </row>
    <row r="38" spans="1:7" s="8" customFormat="1" ht="30" customHeight="1">
      <c r="A38" s="29">
        <v>26</v>
      </c>
      <c r="B38" s="37" t="s">
        <v>24</v>
      </c>
      <c r="C38" s="35" t="s">
        <v>16</v>
      </c>
      <c r="D38" s="29">
        <v>1</v>
      </c>
      <c r="E38" s="33">
        <v>1250000</v>
      </c>
      <c r="F38" s="36">
        <f>D38*E38</f>
        <v>1250000</v>
      </c>
      <c r="G38" s="28"/>
    </row>
    <row r="39" spans="1:7" s="8" customFormat="1" ht="30" customHeight="1">
      <c r="A39" s="29">
        <v>27</v>
      </c>
      <c r="B39" s="37" t="s">
        <v>39</v>
      </c>
      <c r="C39" s="35" t="s">
        <v>16</v>
      </c>
      <c r="D39" s="29">
        <v>1</v>
      </c>
      <c r="E39" s="33">
        <v>1250000</v>
      </c>
      <c r="F39" s="36">
        <f>D39*E39</f>
        <v>1250000</v>
      </c>
      <c r="G39" s="28"/>
    </row>
    <row r="40" spans="1:7" s="8" customFormat="1" ht="30" customHeight="1">
      <c r="A40" s="29">
        <v>28</v>
      </c>
      <c r="B40" s="37" t="s">
        <v>42</v>
      </c>
      <c r="C40" s="35" t="s">
        <v>16</v>
      </c>
      <c r="D40" s="29">
        <v>1</v>
      </c>
      <c r="E40" s="33">
        <v>1260000</v>
      </c>
      <c r="F40" s="36">
        <f>D40*E40</f>
        <v>1260000</v>
      </c>
      <c r="G40" s="28"/>
    </row>
    <row r="41" spans="1:7" s="8" customFormat="1" ht="30" customHeight="1">
      <c r="A41" s="29">
        <v>29</v>
      </c>
      <c r="B41" s="37" t="s">
        <v>28</v>
      </c>
      <c r="C41" s="35" t="s">
        <v>16</v>
      </c>
      <c r="D41" s="29">
        <v>1</v>
      </c>
      <c r="E41" s="33">
        <v>1300000</v>
      </c>
      <c r="F41" s="36">
        <f>D41*E41</f>
        <v>1300000</v>
      </c>
      <c r="G41" s="28"/>
    </row>
    <row r="42" spans="1:7" s="8" customFormat="1" ht="30" customHeight="1">
      <c r="A42" s="29">
        <v>30</v>
      </c>
      <c r="B42" s="37" t="s">
        <v>38</v>
      </c>
      <c r="C42" s="35" t="s">
        <v>16</v>
      </c>
      <c r="D42" s="29">
        <v>1</v>
      </c>
      <c r="E42" s="33">
        <v>1410000</v>
      </c>
      <c r="F42" s="36">
        <f>D42*E42</f>
        <v>1410000</v>
      </c>
      <c r="G42" s="28"/>
    </row>
    <row r="43" spans="1:7" s="8" customFormat="1" ht="30" customHeight="1">
      <c r="A43" s="29">
        <v>31</v>
      </c>
      <c r="B43" s="37" t="s">
        <v>27</v>
      </c>
      <c r="C43" s="35" t="s">
        <v>16</v>
      </c>
      <c r="D43" s="29">
        <v>1</v>
      </c>
      <c r="E43" s="33">
        <v>1650000</v>
      </c>
      <c r="F43" s="36">
        <f>D43*E43</f>
        <v>1650000</v>
      </c>
      <c r="G43" s="28"/>
    </row>
    <row r="44" spans="1:7" s="8" customFormat="1" ht="30" customHeight="1">
      <c r="A44" s="29"/>
      <c r="B44" s="34"/>
      <c r="C44" s="35"/>
      <c r="D44" s="29"/>
      <c r="E44" s="33"/>
      <c r="F44" s="36"/>
      <c r="G44" s="28"/>
    </row>
    <row r="45" spans="1:7" s="1" customFormat="1" ht="21" customHeight="1">
      <c r="A45" s="42" t="s">
        <v>17</v>
      </c>
      <c r="B45" s="42"/>
      <c r="C45" s="42"/>
      <c r="D45" s="42"/>
      <c r="E45" s="5"/>
      <c r="F45" s="5">
        <f>SUM(F6:F44)</f>
        <v>41424000</v>
      </c>
      <c r="G45" s="30"/>
    </row>
    <row r="46" spans="1:7" s="1" customFormat="1" ht="21" customHeight="1">
      <c r="A46" s="42" t="s">
        <v>18</v>
      </c>
      <c r="B46" s="42"/>
      <c r="C46" s="42"/>
      <c r="D46" s="42"/>
      <c r="E46" s="5"/>
      <c r="F46" s="5">
        <f>F45*8%</f>
        <v>3313920</v>
      </c>
    </row>
    <row r="47" spans="1:7" s="1" customFormat="1" ht="21" customHeight="1">
      <c r="A47" s="42" t="s">
        <v>19</v>
      </c>
      <c r="B47" s="42"/>
      <c r="C47" s="42"/>
      <c r="D47" s="42"/>
      <c r="E47" s="5"/>
      <c r="F47" s="5">
        <f>F45+F46</f>
        <v>44737920</v>
      </c>
    </row>
    <row r="54" spans="1:2">
      <c r="A54" s="31"/>
      <c r="B54" s="32"/>
    </row>
  </sheetData>
  <autoFilter ref="A12:IT39" xr:uid="{00000000-0009-0000-0000-000000000000}">
    <sortState xmlns:xlrd2="http://schemas.microsoft.com/office/spreadsheetml/2017/richdata2" ref="A13:IT43">
      <sortCondition ref="E12:E39"/>
    </sortState>
  </autoFilter>
  <sortState xmlns:xlrd2="http://schemas.microsoft.com/office/spreadsheetml/2017/richdata2" ref="B13:F46">
    <sortCondition ref="E13:E46"/>
  </sortState>
  <mergeCells count="5">
    <mergeCell ref="A2:F2"/>
    <mergeCell ref="A8:F8"/>
    <mergeCell ref="A45:D45"/>
    <mergeCell ref="A46:D46"/>
    <mergeCell ref="A47:D47"/>
  </mergeCells>
  <pageMargins left="0.47222222222222199" right="0.27500000000000002" top="0.51180555555555596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6B24-8B2B-4FED-A552-1919A4AAD940}">
  <dimension ref="A1:IT42"/>
  <sheetViews>
    <sheetView topLeftCell="A38" zoomScaleNormal="100" workbookViewId="0">
      <selection activeCell="D43" sqref="D43"/>
    </sheetView>
  </sheetViews>
  <sheetFormatPr defaultColWidth="8.6640625" defaultRowHeight="14.4"/>
  <cols>
    <col min="1" max="1" width="12.6640625" style="11" customWidth="1"/>
    <col min="2" max="2" width="53.33203125" style="12" customWidth="1"/>
    <col min="3" max="3" width="11.33203125" style="13" customWidth="1"/>
    <col min="4" max="4" width="8.109375" style="14" customWidth="1"/>
    <col min="5" max="5" width="12.33203125" style="15" customWidth="1"/>
    <col min="6" max="6" width="17.6640625" style="15" customWidth="1"/>
    <col min="7" max="7" width="12.33203125" style="6" customWidth="1"/>
    <col min="8" max="9" width="14.6640625" style="6" customWidth="1"/>
    <col min="10" max="14" width="8.6640625" style="6"/>
    <col min="15" max="15" width="34.33203125" style="6" customWidth="1"/>
    <col min="16" max="238" width="8.6640625" style="6"/>
    <col min="239" max="16384" width="8.6640625" style="10"/>
  </cols>
  <sheetData>
    <row r="1" spans="1:254" s="6" customFormat="1">
      <c r="A1" s="11"/>
      <c r="B1" s="12"/>
      <c r="C1" s="13"/>
      <c r="D1" s="14"/>
      <c r="E1" s="15"/>
      <c r="F1" s="15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</row>
    <row r="2" spans="1:254" s="6" customFormat="1" ht="15.6">
      <c r="A2" s="40" t="s">
        <v>0</v>
      </c>
      <c r="B2" s="40"/>
      <c r="C2" s="40"/>
      <c r="D2" s="40"/>
      <c r="E2" s="40"/>
      <c r="F2" s="40"/>
    </row>
    <row r="3" spans="1:254" s="6" customFormat="1" ht="13.8">
      <c r="A3" s="16"/>
      <c r="B3" s="16"/>
      <c r="C3" s="16" t="s">
        <v>1</v>
      </c>
      <c r="D3" s="16"/>
      <c r="E3" s="16"/>
      <c r="F3" s="16"/>
    </row>
    <row r="4" spans="1:254" s="7" customFormat="1" ht="13.8">
      <c r="A4" s="17" t="s">
        <v>2</v>
      </c>
      <c r="B4" s="18"/>
      <c r="C4" s="19" t="s">
        <v>3</v>
      </c>
      <c r="D4" s="20"/>
      <c r="E4" s="20"/>
      <c r="F4" s="20"/>
    </row>
    <row r="5" spans="1:254" s="7" customFormat="1" ht="13.8">
      <c r="A5" s="21" t="s">
        <v>4</v>
      </c>
      <c r="B5" s="20"/>
      <c r="C5" s="20"/>
      <c r="D5" s="20"/>
      <c r="E5" s="20"/>
      <c r="F5" s="20"/>
    </row>
    <row r="6" spans="1:254" s="7" customFormat="1" ht="13.8">
      <c r="A6" s="22" t="s">
        <v>5</v>
      </c>
      <c r="B6" s="20"/>
      <c r="C6" s="20"/>
      <c r="D6" s="20"/>
      <c r="E6" s="20"/>
      <c r="F6" s="20"/>
    </row>
    <row r="7" spans="1:254" s="1" customFormat="1" ht="18" customHeight="1">
      <c r="A7" s="23" t="s">
        <v>6</v>
      </c>
      <c r="B7" s="24"/>
      <c r="C7" s="24"/>
      <c r="D7" s="3"/>
      <c r="E7" s="3"/>
      <c r="F7" s="3"/>
    </row>
    <row r="8" spans="1:254" s="1" customFormat="1" ht="31.95" customHeight="1">
      <c r="A8" s="41" t="s">
        <v>7</v>
      </c>
      <c r="B8" s="41"/>
      <c r="C8" s="41"/>
      <c r="D8" s="41"/>
      <c r="E8" s="41"/>
      <c r="F8" s="41"/>
    </row>
    <row r="9" spans="1:254" s="1" customFormat="1" ht="13.8">
      <c r="A9" s="4" t="s">
        <v>8</v>
      </c>
      <c r="B9" s="2"/>
      <c r="C9" s="2"/>
      <c r="D9" s="2"/>
      <c r="E9" s="2"/>
      <c r="F9" s="2"/>
    </row>
    <row r="10" spans="1:254" s="7" customFormat="1" ht="19.95" customHeight="1">
      <c r="A10" s="4" t="s">
        <v>9</v>
      </c>
    </row>
    <row r="11" spans="1:254" s="7" customFormat="1" ht="19.95" customHeight="1">
      <c r="A11" s="4"/>
    </row>
    <row r="12" spans="1:254" s="8" customFormat="1" ht="31.95" customHeight="1">
      <c r="A12" s="25" t="s">
        <v>10</v>
      </c>
      <c r="B12" s="25" t="s">
        <v>11</v>
      </c>
      <c r="C12" s="26" t="s">
        <v>12</v>
      </c>
      <c r="D12" s="26" t="s">
        <v>13</v>
      </c>
      <c r="E12" s="27" t="s">
        <v>14</v>
      </c>
      <c r="F12" s="25" t="s">
        <v>15</v>
      </c>
    </row>
    <row r="13" spans="1:254" s="9" customFormat="1" ht="30" customHeight="1">
      <c r="A13" s="29">
        <v>1</v>
      </c>
      <c r="B13" s="37" t="s">
        <v>58</v>
      </c>
      <c r="C13" s="35" t="s">
        <v>16</v>
      </c>
      <c r="D13" s="29">
        <v>1</v>
      </c>
      <c r="E13" s="33">
        <v>550000</v>
      </c>
      <c r="F13" s="36">
        <f>D13*E13</f>
        <v>550000</v>
      </c>
      <c r="G13" s="2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s="9" customFormat="1" ht="30" customHeight="1">
      <c r="A14" s="29">
        <v>2</v>
      </c>
      <c r="B14" s="37" t="s">
        <v>43</v>
      </c>
      <c r="C14" s="35" t="s">
        <v>16</v>
      </c>
      <c r="D14" s="29">
        <v>2</v>
      </c>
      <c r="E14" s="33">
        <v>950000</v>
      </c>
      <c r="F14" s="36">
        <f>D14*E14</f>
        <v>1900000</v>
      </c>
      <c r="G14" s="2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</row>
    <row r="15" spans="1:254" s="9" customFormat="1" ht="30" customHeight="1">
      <c r="A15" s="29">
        <v>3</v>
      </c>
      <c r="B15" s="37" t="s">
        <v>43</v>
      </c>
      <c r="C15" s="35" t="s">
        <v>16</v>
      </c>
      <c r="D15" s="29">
        <v>1</v>
      </c>
      <c r="E15" s="33">
        <v>1000000</v>
      </c>
      <c r="F15" s="36">
        <f>D15*E15</f>
        <v>1000000</v>
      </c>
      <c r="G15" s="2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</row>
    <row r="16" spans="1:254" s="9" customFormat="1" ht="30" customHeight="1">
      <c r="A16" s="29">
        <v>4</v>
      </c>
      <c r="B16" s="37" t="s">
        <v>61</v>
      </c>
      <c r="C16" s="35" t="s">
        <v>16</v>
      </c>
      <c r="D16" s="29">
        <v>1</v>
      </c>
      <c r="E16" s="33">
        <v>1000000</v>
      </c>
      <c r="F16" s="36">
        <f>D16*E16</f>
        <v>1000000</v>
      </c>
      <c r="G16" s="2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</row>
    <row r="17" spans="1:254" s="9" customFormat="1" ht="30" customHeight="1">
      <c r="A17" s="29">
        <v>5</v>
      </c>
      <c r="B17" s="37" t="s">
        <v>43</v>
      </c>
      <c r="C17" s="35" t="s">
        <v>16</v>
      </c>
      <c r="D17" s="29">
        <v>2</v>
      </c>
      <c r="E17" s="33">
        <v>1050000</v>
      </c>
      <c r="F17" s="36">
        <f>D17*E17</f>
        <v>2100000</v>
      </c>
      <c r="G17" s="2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</row>
    <row r="18" spans="1:254" s="9" customFormat="1" ht="30" customHeight="1">
      <c r="A18" s="29">
        <v>6</v>
      </c>
      <c r="B18" s="37" t="s">
        <v>47</v>
      </c>
      <c r="C18" s="35" t="s">
        <v>16</v>
      </c>
      <c r="D18" s="29">
        <v>3</v>
      </c>
      <c r="E18" s="33">
        <v>1100000</v>
      </c>
      <c r="F18" s="36">
        <f>D18*E18</f>
        <v>3300000</v>
      </c>
      <c r="G18" s="2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</row>
    <row r="19" spans="1:254" s="9" customFormat="1" ht="30" customHeight="1">
      <c r="A19" s="29">
        <v>7</v>
      </c>
      <c r="B19" s="37" t="s">
        <v>50</v>
      </c>
      <c r="C19" s="35" t="s">
        <v>16</v>
      </c>
      <c r="D19" s="29">
        <v>2</v>
      </c>
      <c r="E19" s="33">
        <v>1100000</v>
      </c>
      <c r="F19" s="36">
        <f>D19*E19</f>
        <v>2200000</v>
      </c>
      <c r="G19" s="2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</row>
    <row r="20" spans="1:254" s="9" customFormat="1" ht="30" customHeight="1">
      <c r="A20" s="29">
        <v>8</v>
      </c>
      <c r="B20" s="37" t="s">
        <v>55</v>
      </c>
      <c r="C20" s="35" t="s">
        <v>16</v>
      </c>
      <c r="D20" s="29">
        <v>1</v>
      </c>
      <c r="E20" s="33">
        <v>1100000</v>
      </c>
      <c r="F20" s="36">
        <f>D20*E20</f>
        <v>1100000</v>
      </c>
      <c r="G20" s="2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</row>
    <row r="21" spans="1:254" s="9" customFormat="1" ht="30" customHeight="1">
      <c r="A21" s="29">
        <v>9</v>
      </c>
      <c r="B21" s="37" t="s">
        <v>44</v>
      </c>
      <c r="C21" s="35" t="s">
        <v>16</v>
      </c>
      <c r="D21" s="29">
        <v>1</v>
      </c>
      <c r="E21" s="33">
        <v>1100000</v>
      </c>
      <c r="F21" s="36">
        <f>D21*E21</f>
        <v>1100000</v>
      </c>
      <c r="G21" s="2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</row>
    <row r="22" spans="1:254" s="9" customFormat="1" ht="30" customHeight="1">
      <c r="A22" s="29">
        <v>10</v>
      </c>
      <c r="B22" s="37" t="s">
        <v>44</v>
      </c>
      <c r="C22" s="35" t="s">
        <v>16</v>
      </c>
      <c r="D22" s="29">
        <v>2</v>
      </c>
      <c r="E22" s="33">
        <v>1150000</v>
      </c>
      <c r="F22" s="36">
        <f>D22*E22</f>
        <v>2300000</v>
      </c>
      <c r="G22" s="2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</row>
    <row r="23" spans="1:254" s="9" customFormat="1" ht="30" customHeight="1">
      <c r="A23" s="29">
        <v>11</v>
      </c>
      <c r="B23" s="37" t="s">
        <v>56</v>
      </c>
      <c r="C23" s="35" t="s">
        <v>16</v>
      </c>
      <c r="D23" s="29">
        <v>1</v>
      </c>
      <c r="E23" s="33">
        <v>1150000</v>
      </c>
      <c r="F23" s="36">
        <f>D23*E23</f>
        <v>1150000</v>
      </c>
      <c r="G23" s="2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</row>
    <row r="24" spans="1:254" s="9" customFormat="1" ht="30" customHeight="1">
      <c r="A24" s="29">
        <v>12</v>
      </c>
      <c r="B24" s="37" t="s">
        <v>57</v>
      </c>
      <c r="C24" s="35" t="s">
        <v>16</v>
      </c>
      <c r="D24" s="29">
        <v>1</v>
      </c>
      <c r="E24" s="33">
        <v>1150000</v>
      </c>
      <c r="F24" s="36">
        <f>D24*E24</f>
        <v>1150000</v>
      </c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</row>
    <row r="25" spans="1:254" s="9" customFormat="1" ht="30" customHeight="1">
      <c r="A25" s="29">
        <v>13</v>
      </c>
      <c r="B25" s="37" t="s">
        <v>47</v>
      </c>
      <c r="C25" s="35" t="s">
        <v>16</v>
      </c>
      <c r="D25" s="29">
        <v>1</v>
      </c>
      <c r="E25" s="33">
        <v>1150000</v>
      </c>
      <c r="F25" s="36">
        <f>D25*E25</f>
        <v>1150000</v>
      </c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</row>
    <row r="26" spans="1:254" s="9" customFormat="1" ht="30" customHeight="1">
      <c r="A26" s="29">
        <v>14</v>
      </c>
      <c r="B26" s="37" t="s">
        <v>51</v>
      </c>
      <c r="C26" s="35" t="s">
        <v>16</v>
      </c>
      <c r="D26" s="29">
        <v>1</v>
      </c>
      <c r="E26" s="33">
        <v>1200000</v>
      </c>
      <c r="F26" s="36">
        <f>D26*E26</f>
        <v>1200000</v>
      </c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</row>
    <row r="27" spans="1:254" s="9" customFormat="1" ht="30" customHeight="1">
      <c r="A27" s="29">
        <v>15</v>
      </c>
      <c r="B27" s="37" t="s">
        <v>54</v>
      </c>
      <c r="C27" s="35" t="s">
        <v>16</v>
      </c>
      <c r="D27" s="29">
        <v>1</v>
      </c>
      <c r="E27" s="33">
        <v>1200000</v>
      </c>
      <c r="F27" s="36">
        <f>D27*E27</f>
        <v>1200000</v>
      </c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</row>
    <row r="28" spans="1:254" s="9" customFormat="1" ht="30" customHeight="1">
      <c r="A28" s="29">
        <v>16</v>
      </c>
      <c r="B28" s="37" t="s">
        <v>59</v>
      </c>
      <c r="C28" s="35" t="s">
        <v>16</v>
      </c>
      <c r="D28" s="29">
        <v>1</v>
      </c>
      <c r="E28" s="33">
        <v>1200000</v>
      </c>
      <c r="F28" s="36">
        <f>D28*E28</f>
        <v>1200000</v>
      </c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</row>
    <row r="29" spans="1:254" s="9" customFormat="1" ht="30" customHeight="1">
      <c r="A29" s="29">
        <v>17</v>
      </c>
      <c r="B29" s="37" t="s">
        <v>45</v>
      </c>
      <c r="C29" s="35" t="s">
        <v>16</v>
      </c>
      <c r="D29" s="29">
        <v>1</v>
      </c>
      <c r="E29" s="33">
        <v>1250000</v>
      </c>
      <c r="F29" s="36">
        <f>D29*E29</f>
        <v>1250000</v>
      </c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</row>
    <row r="30" spans="1:254" s="9" customFormat="1" ht="30" customHeight="1">
      <c r="A30" s="29">
        <v>18</v>
      </c>
      <c r="B30" s="37" t="s">
        <v>47</v>
      </c>
      <c r="C30" s="35" t="s">
        <v>16</v>
      </c>
      <c r="D30" s="29">
        <v>1</v>
      </c>
      <c r="E30" s="33">
        <v>1250000</v>
      </c>
      <c r="F30" s="36">
        <f>D30*E30</f>
        <v>1250000</v>
      </c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</row>
    <row r="31" spans="1:254" s="9" customFormat="1" ht="30" customHeight="1">
      <c r="A31" s="29">
        <v>19</v>
      </c>
      <c r="B31" s="37" t="s">
        <v>48</v>
      </c>
      <c r="C31" s="35" t="s">
        <v>16</v>
      </c>
      <c r="D31" s="29">
        <v>1</v>
      </c>
      <c r="E31" s="33">
        <v>1360000</v>
      </c>
      <c r="F31" s="36">
        <f>D31*E31</f>
        <v>1360000</v>
      </c>
      <c r="G31" s="2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</row>
    <row r="32" spans="1:254" s="9" customFormat="1" ht="30" customHeight="1">
      <c r="A32" s="29">
        <v>20</v>
      </c>
      <c r="B32" s="37" t="s">
        <v>57</v>
      </c>
      <c r="C32" s="35" t="s">
        <v>16</v>
      </c>
      <c r="D32" s="29">
        <v>1</v>
      </c>
      <c r="E32" s="33">
        <v>1400000</v>
      </c>
      <c r="F32" s="36">
        <f>D32*E32</f>
        <v>1400000</v>
      </c>
      <c r="G32" s="2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</row>
    <row r="33" spans="1:7" s="8" customFormat="1" ht="30" customHeight="1">
      <c r="A33" s="29">
        <v>21</v>
      </c>
      <c r="B33" s="37" t="s">
        <v>49</v>
      </c>
      <c r="C33" s="35" t="s">
        <v>16</v>
      </c>
      <c r="D33" s="29">
        <v>1</v>
      </c>
      <c r="E33" s="33">
        <v>1500000</v>
      </c>
      <c r="F33" s="36">
        <f>D33*E33</f>
        <v>1500000</v>
      </c>
      <c r="G33" s="28"/>
    </row>
    <row r="34" spans="1:7" s="8" customFormat="1" ht="30" customHeight="1">
      <c r="A34" s="29">
        <v>22</v>
      </c>
      <c r="B34" s="37" t="s">
        <v>46</v>
      </c>
      <c r="C34" s="35" t="s">
        <v>16</v>
      </c>
      <c r="D34" s="29">
        <v>1</v>
      </c>
      <c r="E34" s="33">
        <v>1550000</v>
      </c>
      <c r="F34" s="36">
        <f>D34*E34</f>
        <v>1550000</v>
      </c>
      <c r="G34" s="28"/>
    </row>
    <row r="35" spans="1:7" s="8" customFormat="1" ht="30" customHeight="1">
      <c r="A35" s="29">
        <v>23</v>
      </c>
      <c r="B35" s="37" t="s">
        <v>60</v>
      </c>
      <c r="C35" s="35" t="s">
        <v>16</v>
      </c>
      <c r="D35" s="29">
        <v>1</v>
      </c>
      <c r="E35" s="33">
        <v>1700000</v>
      </c>
      <c r="F35" s="36">
        <f>D35*E35</f>
        <v>1700000</v>
      </c>
      <c r="G35" s="28"/>
    </row>
    <row r="36" spans="1:7" s="8" customFormat="1" ht="30" customHeight="1">
      <c r="A36" s="29">
        <v>24</v>
      </c>
      <c r="B36" s="37" t="s">
        <v>48</v>
      </c>
      <c r="C36" s="35" t="s">
        <v>16</v>
      </c>
      <c r="D36" s="29">
        <v>1</v>
      </c>
      <c r="E36" s="33">
        <v>1725000</v>
      </c>
      <c r="F36" s="36">
        <f>D36*E36</f>
        <v>1725000</v>
      </c>
      <c r="G36" s="28"/>
    </row>
    <row r="37" spans="1:7" s="8" customFormat="1" ht="30" customHeight="1">
      <c r="A37" s="29">
        <v>25</v>
      </c>
      <c r="B37" s="37" t="s">
        <v>52</v>
      </c>
      <c r="C37" s="35" t="s">
        <v>16</v>
      </c>
      <c r="D37" s="29">
        <v>1</v>
      </c>
      <c r="E37" s="33">
        <v>1900000</v>
      </c>
      <c r="F37" s="36">
        <f>D37*E37</f>
        <v>1900000</v>
      </c>
      <c r="G37" s="28"/>
    </row>
    <row r="38" spans="1:7" s="8" customFormat="1" ht="30" customHeight="1">
      <c r="A38" s="29">
        <v>26</v>
      </c>
      <c r="B38" s="37" t="s">
        <v>53</v>
      </c>
      <c r="C38" s="35" t="s">
        <v>16</v>
      </c>
      <c r="D38" s="29">
        <v>1</v>
      </c>
      <c r="E38" s="33">
        <v>1950000</v>
      </c>
      <c r="F38" s="36">
        <f>D38*E38</f>
        <v>1950000</v>
      </c>
      <c r="G38" s="28"/>
    </row>
    <row r="39" spans="1:7" s="8" customFormat="1" ht="30" customHeight="1">
      <c r="A39" s="29"/>
      <c r="B39" s="34"/>
      <c r="C39" s="35"/>
      <c r="D39" s="29"/>
      <c r="E39" s="33"/>
      <c r="F39" s="36"/>
      <c r="G39" s="28"/>
    </row>
    <row r="40" spans="1:7" s="1" customFormat="1" ht="21" customHeight="1">
      <c r="A40" s="42" t="s">
        <v>17</v>
      </c>
      <c r="B40" s="42"/>
      <c r="C40" s="42"/>
      <c r="D40" s="42"/>
      <c r="E40" s="5"/>
      <c r="F40" s="5">
        <f>SUM(F6:F39)</f>
        <v>39185000</v>
      </c>
      <c r="G40" s="30"/>
    </row>
    <row r="41" spans="1:7" s="1" customFormat="1" ht="21" customHeight="1">
      <c r="A41" s="42" t="s">
        <v>18</v>
      </c>
      <c r="B41" s="42"/>
      <c r="C41" s="42"/>
      <c r="D41" s="42"/>
      <c r="E41" s="5"/>
      <c r="F41" s="5">
        <f>F40*8%</f>
        <v>3134800</v>
      </c>
    </row>
    <row r="42" spans="1:7" s="1" customFormat="1" ht="21" customHeight="1">
      <c r="A42" s="42" t="s">
        <v>19</v>
      </c>
      <c r="B42" s="42"/>
      <c r="C42" s="42"/>
      <c r="D42" s="42"/>
      <c r="E42" s="5"/>
      <c r="F42" s="5">
        <f>F40+F41</f>
        <v>42319800</v>
      </c>
    </row>
  </sheetData>
  <autoFilter ref="A12:IT38" xr:uid="{00000000-0009-0000-0000-000000000000}">
    <sortState xmlns:xlrd2="http://schemas.microsoft.com/office/spreadsheetml/2017/richdata2" ref="A13:IT38">
      <sortCondition ref="E12:E38"/>
    </sortState>
  </autoFilter>
  <mergeCells count="5">
    <mergeCell ref="A40:D40"/>
    <mergeCell ref="A41:D41"/>
    <mergeCell ref="A42:D42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A273-497B-4BB7-A272-E2DC6F4ACD28}">
  <dimension ref="A1:IT40"/>
  <sheetViews>
    <sheetView topLeftCell="A31" zoomScale="85" zoomScaleNormal="85" workbookViewId="0">
      <selection activeCell="D21" sqref="D21"/>
    </sheetView>
  </sheetViews>
  <sheetFormatPr defaultColWidth="8.6640625" defaultRowHeight="14.4"/>
  <cols>
    <col min="1" max="1" width="12.6640625" style="11" customWidth="1"/>
    <col min="2" max="2" width="53.33203125" style="12" customWidth="1"/>
    <col min="3" max="3" width="11.33203125" style="13" customWidth="1"/>
    <col min="4" max="4" width="8.109375" style="14" customWidth="1"/>
    <col min="5" max="5" width="12.33203125" style="15" customWidth="1"/>
    <col min="6" max="6" width="17.6640625" style="15" customWidth="1"/>
    <col min="7" max="7" width="12.33203125" style="6" customWidth="1"/>
    <col min="8" max="9" width="14.6640625" style="6" customWidth="1"/>
    <col min="10" max="14" width="8.6640625" style="6"/>
    <col min="15" max="15" width="34.33203125" style="6" customWidth="1"/>
    <col min="16" max="238" width="8.6640625" style="6"/>
    <col min="239" max="16384" width="8.6640625" style="10"/>
  </cols>
  <sheetData>
    <row r="1" spans="1:254" s="6" customFormat="1">
      <c r="A1" s="11"/>
      <c r="B1" s="12"/>
      <c r="C1" s="13"/>
      <c r="D1" s="14"/>
      <c r="E1" s="15"/>
      <c r="F1" s="15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</row>
    <row r="2" spans="1:254" s="6" customFormat="1" ht="15.6">
      <c r="A2" s="40" t="s">
        <v>0</v>
      </c>
      <c r="B2" s="40"/>
      <c r="C2" s="40"/>
      <c r="D2" s="40"/>
      <c r="E2" s="40"/>
      <c r="F2" s="40"/>
    </row>
    <row r="3" spans="1:254" s="6" customFormat="1" ht="13.8">
      <c r="A3" s="16"/>
      <c r="B3" s="16"/>
      <c r="C3" s="16" t="s">
        <v>1</v>
      </c>
      <c r="D3" s="16"/>
      <c r="E3" s="16"/>
      <c r="F3" s="16"/>
    </row>
    <row r="4" spans="1:254" s="7" customFormat="1" ht="13.8">
      <c r="A4" s="17" t="s">
        <v>2</v>
      </c>
      <c r="B4" s="18"/>
      <c r="C4" s="19" t="s">
        <v>3</v>
      </c>
      <c r="D4" s="20"/>
      <c r="E4" s="20"/>
      <c r="F4" s="20"/>
    </row>
    <row r="5" spans="1:254" s="7" customFormat="1" ht="13.8">
      <c r="A5" s="21" t="s">
        <v>4</v>
      </c>
      <c r="B5" s="20"/>
      <c r="C5" s="20"/>
      <c r="D5" s="20"/>
      <c r="E5" s="20"/>
      <c r="F5" s="20"/>
    </row>
    <row r="6" spans="1:254" s="7" customFormat="1" ht="13.8">
      <c r="A6" s="22" t="s">
        <v>5</v>
      </c>
      <c r="B6" s="20"/>
      <c r="C6" s="20"/>
      <c r="D6" s="20"/>
      <c r="E6" s="20"/>
      <c r="F6" s="20"/>
    </row>
    <row r="7" spans="1:254" s="1" customFormat="1" ht="18" customHeight="1">
      <c r="A7" s="23" t="s">
        <v>6</v>
      </c>
      <c r="B7" s="24"/>
      <c r="C7" s="24"/>
      <c r="D7" s="3"/>
      <c r="E7" s="3"/>
      <c r="F7" s="3"/>
    </row>
    <row r="8" spans="1:254" s="1" customFormat="1" ht="31.95" customHeight="1">
      <c r="A8" s="41" t="s">
        <v>7</v>
      </c>
      <c r="B8" s="41"/>
      <c r="C8" s="41"/>
      <c r="D8" s="41"/>
      <c r="E8" s="41"/>
      <c r="F8" s="41"/>
    </row>
    <row r="9" spans="1:254" s="1" customFormat="1" ht="13.8">
      <c r="A9" s="4" t="s">
        <v>8</v>
      </c>
      <c r="B9" s="2"/>
      <c r="C9" s="2"/>
      <c r="D9" s="2"/>
      <c r="E9" s="2"/>
      <c r="F9" s="2"/>
    </row>
    <row r="10" spans="1:254" s="7" customFormat="1" ht="19.95" customHeight="1">
      <c r="A10" s="4" t="s">
        <v>9</v>
      </c>
    </row>
    <row r="11" spans="1:254" s="7" customFormat="1" ht="19.95" customHeight="1">
      <c r="A11" s="4"/>
    </row>
    <row r="12" spans="1:254" s="8" customFormat="1" ht="31.95" customHeight="1">
      <c r="A12" s="25" t="s">
        <v>10</v>
      </c>
      <c r="B12" s="25" t="s">
        <v>11</v>
      </c>
      <c r="C12" s="26" t="s">
        <v>12</v>
      </c>
      <c r="D12" s="26" t="s">
        <v>13</v>
      </c>
      <c r="E12" s="27" t="s">
        <v>14</v>
      </c>
      <c r="F12" s="25" t="s">
        <v>15</v>
      </c>
    </row>
    <row r="13" spans="1:254" s="9" customFormat="1" ht="30" customHeight="1">
      <c r="A13" s="29">
        <v>1</v>
      </c>
      <c r="B13" s="37" t="s">
        <v>78</v>
      </c>
      <c r="C13" s="35" t="s">
        <v>16</v>
      </c>
      <c r="D13" s="29">
        <v>1</v>
      </c>
      <c r="E13" s="43">
        <v>300000</v>
      </c>
      <c r="F13" s="36">
        <f>D13*E13</f>
        <v>300000</v>
      </c>
      <c r="G13" s="2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s="9" customFormat="1" ht="30" customHeight="1">
      <c r="A14" s="29">
        <v>2</v>
      </c>
      <c r="B14" s="37" t="s">
        <v>69</v>
      </c>
      <c r="C14" s="35" t="s">
        <v>16</v>
      </c>
      <c r="D14" s="29">
        <v>1</v>
      </c>
      <c r="E14" s="39">
        <v>550000</v>
      </c>
      <c r="F14" s="36">
        <f>D14*E14</f>
        <v>550000</v>
      </c>
      <c r="G14" s="2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</row>
    <row r="15" spans="1:254" s="9" customFormat="1" ht="30" customHeight="1">
      <c r="A15" s="29">
        <v>3</v>
      </c>
      <c r="B15" s="37" t="s">
        <v>74</v>
      </c>
      <c r="C15" s="35" t="s">
        <v>16</v>
      </c>
      <c r="D15" s="29">
        <v>1</v>
      </c>
      <c r="E15" s="39">
        <v>900000</v>
      </c>
      <c r="F15" s="36">
        <f>D15*E15</f>
        <v>900000</v>
      </c>
      <c r="G15" s="2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</row>
    <row r="16" spans="1:254" s="9" customFormat="1" ht="30" customHeight="1">
      <c r="A16" s="29">
        <v>5</v>
      </c>
      <c r="B16" s="37" t="s">
        <v>68</v>
      </c>
      <c r="C16" s="35" t="s">
        <v>16</v>
      </c>
      <c r="D16" s="29">
        <v>1</v>
      </c>
      <c r="E16" s="39">
        <v>950000</v>
      </c>
      <c r="F16" s="36">
        <f>D16*E16</f>
        <v>950000</v>
      </c>
      <c r="G16" s="2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</row>
    <row r="17" spans="1:254" s="9" customFormat="1" ht="30" customHeight="1">
      <c r="A17" s="29">
        <v>6</v>
      </c>
      <c r="B17" s="37" t="s">
        <v>74</v>
      </c>
      <c r="C17" s="35" t="s">
        <v>16</v>
      </c>
      <c r="D17" s="29">
        <v>1</v>
      </c>
      <c r="E17" s="39">
        <v>950000</v>
      </c>
      <c r="F17" s="36">
        <f>D17*E17</f>
        <v>950000</v>
      </c>
      <c r="G17" s="2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</row>
    <row r="18" spans="1:254" s="9" customFormat="1" ht="30" customHeight="1">
      <c r="A18" s="29">
        <v>7</v>
      </c>
      <c r="B18" s="37" t="s">
        <v>75</v>
      </c>
      <c r="C18" s="35" t="s">
        <v>16</v>
      </c>
      <c r="D18" s="29">
        <v>1</v>
      </c>
      <c r="E18" s="39">
        <v>950000</v>
      </c>
      <c r="F18" s="36">
        <f>D18*E18</f>
        <v>950000</v>
      </c>
      <c r="G18" s="2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</row>
    <row r="19" spans="1:254" s="9" customFormat="1" ht="30" customHeight="1">
      <c r="A19" s="29">
        <v>4</v>
      </c>
      <c r="B19" s="37" t="s">
        <v>67</v>
      </c>
      <c r="C19" s="35" t="s">
        <v>16</v>
      </c>
      <c r="D19" s="29">
        <v>2</v>
      </c>
      <c r="E19" s="39">
        <v>950000</v>
      </c>
      <c r="F19" s="36">
        <f>D19*E19</f>
        <v>1900000</v>
      </c>
      <c r="G19" s="2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</row>
    <row r="20" spans="1:254" s="9" customFormat="1" ht="30" customHeight="1">
      <c r="A20" s="29">
        <v>8</v>
      </c>
      <c r="B20" s="37" t="s">
        <v>68</v>
      </c>
      <c r="C20" s="35" t="s">
        <v>16</v>
      </c>
      <c r="D20" s="29">
        <v>1</v>
      </c>
      <c r="E20" s="39">
        <v>1000000</v>
      </c>
      <c r="F20" s="36">
        <f>D20*E20</f>
        <v>1000000</v>
      </c>
      <c r="G20" s="2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</row>
    <row r="21" spans="1:254" s="9" customFormat="1" ht="30" customHeight="1">
      <c r="A21" s="29">
        <v>9</v>
      </c>
      <c r="B21" s="37" t="s">
        <v>71</v>
      </c>
      <c r="C21" s="35" t="s">
        <v>16</v>
      </c>
      <c r="D21" s="29">
        <v>1</v>
      </c>
      <c r="E21" s="39">
        <v>1000000</v>
      </c>
      <c r="F21" s="36">
        <f>D21*E21</f>
        <v>1000000</v>
      </c>
      <c r="G21" s="2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</row>
    <row r="22" spans="1:254" s="9" customFormat="1" ht="30" customHeight="1">
      <c r="A22" s="29">
        <v>10</v>
      </c>
      <c r="B22" s="37" t="s">
        <v>77</v>
      </c>
      <c r="C22" s="35" t="s">
        <v>16</v>
      </c>
      <c r="D22" s="29">
        <v>1</v>
      </c>
      <c r="E22" s="33">
        <v>1050000</v>
      </c>
      <c r="F22" s="36">
        <f>D22*E22</f>
        <v>1050000</v>
      </c>
      <c r="G22" s="2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</row>
    <row r="23" spans="1:254" s="9" customFormat="1" ht="30" customHeight="1">
      <c r="A23" s="29">
        <v>11</v>
      </c>
      <c r="B23" s="37" t="s">
        <v>64</v>
      </c>
      <c r="C23" s="35" t="s">
        <v>16</v>
      </c>
      <c r="D23" s="29">
        <v>1</v>
      </c>
      <c r="E23" s="33">
        <v>1050000</v>
      </c>
      <c r="F23" s="36">
        <f>D23*E23</f>
        <v>1050000</v>
      </c>
      <c r="G23" s="2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</row>
    <row r="24" spans="1:254" s="9" customFormat="1" ht="30" customHeight="1">
      <c r="A24" s="29">
        <v>12</v>
      </c>
      <c r="B24" s="37" t="s">
        <v>75</v>
      </c>
      <c r="C24" s="35" t="s">
        <v>16</v>
      </c>
      <c r="D24" s="29">
        <v>1</v>
      </c>
      <c r="E24" s="33">
        <v>1050000</v>
      </c>
      <c r="F24" s="36">
        <f>D24*E24</f>
        <v>1050000</v>
      </c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</row>
    <row r="25" spans="1:254" s="9" customFormat="1" ht="30" customHeight="1">
      <c r="A25" s="29">
        <v>15</v>
      </c>
      <c r="B25" s="37" t="s">
        <v>65</v>
      </c>
      <c r="C25" s="35" t="s">
        <v>16</v>
      </c>
      <c r="D25" s="29">
        <v>1</v>
      </c>
      <c r="E25" s="33">
        <v>1100000</v>
      </c>
      <c r="F25" s="36">
        <f>D25*E25</f>
        <v>1100000</v>
      </c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</row>
    <row r="26" spans="1:254" s="9" customFormat="1" ht="30" customHeight="1">
      <c r="A26" s="29">
        <v>14</v>
      </c>
      <c r="B26" s="37" t="s">
        <v>64</v>
      </c>
      <c r="C26" s="35" t="s">
        <v>16</v>
      </c>
      <c r="D26" s="29">
        <v>3</v>
      </c>
      <c r="E26" s="33">
        <v>1100000</v>
      </c>
      <c r="F26" s="36">
        <f>D26*E26</f>
        <v>3300000</v>
      </c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</row>
    <row r="27" spans="1:254" s="9" customFormat="1" ht="30" customHeight="1">
      <c r="A27" s="29">
        <v>16</v>
      </c>
      <c r="B27" s="37" t="s">
        <v>66</v>
      </c>
      <c r="C27" s="35" t="s">
        <v>16</v>
      </c>
      <c r="D27" s="29">
        <v>3</v>
      </c>
      <c r="E27" s="33">
        <v>1100000</v>
      </c>
      <c r="F27" s="36">
        <f>D27*E27</f>
        <v>3300000</v>
      </c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</row>
    <row r="28" spans="1:254" s="9" customFormat="1" ht="30" customHeight="1">
      <c r="A28" s="29">
        <v>13</v>
      </c>
      <c r="B28" s="37" t="s">
        <v>62</v>
      </c>
      <c r="C28" s="35" t="s">
        <v>16</v>
      </c>
      <c r="D28" s="29">
        <v>10</v>
      </c>
      <c r="E28" s="33">
        <v>1100000</v>
      </c>
      <c r="F28" s="36">
        <f>D28*E28</f>
        <v>11000000</v>
      </c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</row>
    <row r="29" spans="1:254" s="9" customFormat="1" ht="30" customHeight="1">
      <c r="A29" s="29">
        <v>17</v>
      </c>
      <c r="B29" s="37" t="s">
        <v>64</v>
      </c>
      <c r="C29" s="35" t="s">
        <v>16</v>
      </c>
      <c r="D29" s="29">
        <v>1</v>
      </c>
      <c r="E29" s="33">
        <v>1150000</v>
      </c>
      <c r="F29" s="36">
        <f>D29*E29</f>
        <v>1150000</v>
      </c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</row>
    <row r="30" spans="1:254" s="8" customFormat="1" ht="30" customHeight="1">
      <c r="A30" s="29">
        <v>18</v>
      </c>
      <c r="B30" s="37" t="s">
        <v>72</v>
      </c>
      <c r="C30" s="35" t="s">
        <v>16</v>
      </c>
      <c r="D30" s="29">
        <v>1</v>
      </c>
      <c r="E30" s="33">
        <v>1150000</v>
      </c>
      <c r="F30" s="36">
        <f>D30*E30</f>
        <v>1150000</v>
      </c>
      <c r="G30" s="28"/>
    </row>
    <row r="31" spans="1:254" s="8" customFormat="1" ht="30" customHeight="1">
      <c r="A31" s="29">
        <v>19</v>
      </c>
      <c r="B31" s="37" t="s">
        <v>73</v>
      </c>
      <c r="C31" s="35" t="s">
        <v>16</v>
      </c>
      <c r="D31" s="29">
        <v>1</v>
      </c>
      <c r="E31" s="33">
        <v>1150000</v>
      </c>
      <c r="F31" s="36">
        <f>D31*E31</f>
        <v>1150000</v>
      </c>
      <c r="G31" s="28"/>
    </row>
    <row r="32" spans="1:254" s="8" customFormat="1" ht="30" customHeight="1">
      <c r="A32" s="29">
        <v>20</v>
      </c>
      <c r="B32" s="37" t="s">
        <v>63</v>
      </c>
      <c r="C32" s="35" t="s">
        <v>16</v>
      </c>
      <c r="D32" s="29">
        <v>1</v>
      </c>
      <c r="E32" s="33">
        <v>1200000</v>
      </c>
      <c r="F32" s="36">
        <f>D32*E32</f>
        <v>1200000</v>
      </c>
      <c r="G32" s="28"/>
    </row>
    <row r="33" spans="1:7" s="8" customFormat="1" ht="30" customHeight="1">
      <c r="A33" s="29">
        <v>21</v>
      </c>
      <c r="B33" s="37" t="s">
        <v>70</v>
      </c>
      <c r="C33" s="35" t="s">
        <v>16</v>
      </c>
      <c r="D33" s="29">
        <v>1</v>
      </c>
      <c r="E33" s="33">
        <v>1210000</v>
      </c>
      <c r="F33" s="36">
        <f>D33*E33</f>
        <v>1210000</v>
      </c>
      <c r="G33" s="28"/>
    </row>
    <row r="34" spans="1:7" s="8" customFormat="1" ht="30" customHeight="1">
      <c r="A34" s="29">
        <v>22</v>
      </c>
      <c r="B34" s="37" t="s">
        <v>79</v>
      </c>
      <c r="C34" s="35" t="s">
        <v>16</v>
      </c>
      <c r="D34" s="29">
        <v>1</v>
      </c>
      <c r="E34" s="33">
        <v>1300000</v>
      </c>
      <c r="F34" s="36">
        <f>D34*E34</f>
        <v>1300000</v>
      </c>
      <c r="G34" s="28"/>
    </row>
    <row r="35" spans="1:7" s="8" customFormat="1" ht="30" customHeight="1">
      <c r="A35" s="29">
        <v>23</v>
      </c>
      <c r="B35" s="37" t="s">
        <v>62</v>
      </c>
      <c r="C35" s="35" t="s">
        <v>16</v>
      </c>
      <c r="D35" s="29">
        <v>1</v>
      </c>
      <c r="E35" s="33">
        <v>1400000</v>
      </c>
      <c r="F35" s="36">
        <f>D35*E35</f>
        <v>1400000</v>
      </c>
      <c r="G35" s="28"/>
    </row>
    <row r="36" spans="1:7" s="8" customFormat="1" ht="30" customHeight="1">
      <c r="A36" s="29">
        <v>24</v>
      </c>
      <c r="B36" s="37" t="s">
        <v>76</v>
      </c>
      <c r="C36" s="35" t="s">
        <v>16</v>
      </c>
      <c r="D36" s="29">
        <v>1</v>
      </c>
      <c r="E36" s="33">
        <v>1520000</v>
      </c>
      <c r="F36" s="36">
        <f>D36*E36</f>
        <v>1520000</v>
      </c>
      <c r="G36" s="28"/>
    </row>
    <row r="37" spans="1:7" s="8" customFormat="1" ht="30" customHeight="1">
      <c r="A37" s="29"/>
      <c r="B37" s="34"/>
      <c r="C37" s="35"/>
      <c r="D37" s="29"/>
      <c r="E37" s="33"/>
      <c r="F37" s="36"/>
      <c r="G37" s="28"/>
    </row>
    <row r="38" spans="1:7" s="1" customFormat="1" ht="21" customHeight="1">
      <c r="A38" s="42" t="s">
        <v>17</v>
      </c>
      <c r="B38" s="42"/>
      <c r="C38" s="42"/>
      <c r="D38" s="42"/>
      <c r="E38" s="5"/>
      <c r="F38" s="5">
        <f>SUM(F6:F37)</f>
        <v>40430000</v>
      </c>
      <c r="G38" s="30"/>
    </row>
    <row r="39" spans="1:7" s="1" customFormat="1" ht="21" customHeight="1">
      <c r="A39" s="42" t="s">
        <v>18</v>
      </c>
      <c r="B39" s="42"/>
      <c r="C39" s="42"/>
      <c r="D39" s="42"/>
      <c r="E39" s="5"/>
      <c r="F39" s="5">
        <f>F38*8%</f>
        <v>3234400</v>
      </c>
    </row>
    <row r="40" spans="1:7" s="1" customFormat="1" ht="21" customHeight="1">
      <c r="A40" s="42" t="s">
        <v>19</v>
      </c>
      <c r="B40" s="42"/>
      <c r="C40" s="42"/>
      <c r="D40" s="42"/>
      <c r="E40" s="5"/>
      <c r="F40" s="5">
        <f>F38+F39</f>
        <v>43664400</v>
      </c>
    </row>
  </sheetData>
  <autoFilter ref="A12:IT36" xr:uid="{00000000-0009-0000-0000-000000000000}">
    <sortState xmlns:xlrd2="http://schemas.microsoft.com/office/spreadsheetml/2017/richdata2" ref="A13:IT36">
      <sortCondition ref="E12:E36"/>
    </sortState>
  </autoFilter>
  <mergeCells count="5">
    <mergeCell ref="A38:D38"/>
    <mergeCell ref="A39:D39"/>
    <mergeCell ref="A40:D40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6AB5-C0CE-4502-8AA7-4F20BAC0B00B}">
  <dimension ref="A1:IT45"/>
  <sheetViews>
    <sheetView topLeftCell="A37" zoomScale="85" zoomScaleNormal="85" workbookViewId="0">
      <selection activeCell="B20" sqref="B20"/>
    </sheetView>
  </sheetViews>
  <sheetFormatPr defaultColWidth="8.6640625" defaultRowHeight="14.4"/>
  <cols>
    <col min="1" max="1" width="12.6640625" style="11" customWidth="1"/>
    <col min="2" max="2" width="53.33203125" style="12" customWidth="1"/>
    <col min="3" max="3" width="11.33203125" style="13" customWidth="1"/>
    <col min="4" max="4" width="8.109375" style="14" customWidth="1"/>
    <col min="5" max="5" width="12.33203125" style="15" customWidth="1"/>
    <col min="6" max="6" width="17.6640625" style="15" customWidth="1"/>
    <col min="7" max="7" width="12.33203125" style="6" customWidth="1"/>
    <col min="8" max="9" width="14.6640625" style="6" customWidth="1"/>
    <col min="10" max="14" width="8.6640625" style="6"/>
    <col min="15" max="15" width="34.33203125" style="6" customWidth="1"/>
    <col min="16" max="238" width="8.6640625" style="6"/>
    <col min="239" max="16384" width="8.6640625" style="10"/>
  </cols>
  <sheetData>
    <row r="1" spans="1:254" s="6" customFormat="1">
      <c r="A1" s="11"/>
      <c r="B1" s="12"/>
      <c r="C1" s="13"/>
      <c r="D1" s="14"/>
      <c r="E1" s="15"/>
      <c r="F1" s="15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</row>
    <row r="2" spans="1:254" s="6" customFormat="1" ht="15.6">
      <c r="A2" s="40" t="s">
        <v>0</v>
      </c>
      <c r="B2" s="40"/>
      <c r="C2" s="40"/>
      <c r="D2" s="40"/>
      <c r="E2" s="40"/>
      <c r="F2" s="40"/>
    </row>
    <row r="3" spans="1:254" s="6" customFormat="1" ht="13.8">
      <c r="A3" s="16"/>
      <c r="B3" s="16"/>
      <c r="C3" s="16" t="s">
        <v>1</v>
      </c>
      <c r="D3" s="16"/>
      <c r="E3" s="16"/>
      <c r="F3" s="16"/>
    </row>
    <row r="4" spans="1:254" s="7" customFormat="1" ht="13.8">
      <c r="A4" s="17" t="s">
        <v>2</v>
      </c>
      <c r="B4" s="18"/>
      <c r="C4" s="19" t="s">
        <v>3</v>
      </c>
      <c r="D4" s="20"/>
      <c r="E4" s="20"/>
      <c r="F4" s="20"/>
    </row>
    <row r="5" spans="1:254" s="7" customFormat="1" ht="13.8">
      <c r="A5" s="21" t="s">
        <v>4</v>
      </c>
      <c r="B5" s="20"/>
      <c r="C5" s="20"/>
      <c r="D5" s="20"/>
      <c r="E5" s="20"/>
      <c r="F5" s="20"/>
    </row>
    <row r="6" spans="1:254" s="7" customFormat="1" ht="13.8">
      <c r="A6" s="22" t="s">
        <v>5</v>
      </c>
      <c r="B6" s="20"/>
      <c r="C6" s="20"/>
      <c r="D6" s="20"/>
      <c r="E6" s="20"/>
      <c r="F6" s="20"/>
    </row>
    <row r="7" spans="1:254" s="1" customFormat="1" ht="18" customHeight="1">
      <c r="A7" s="23" t="s">
        <v>6</v>
      </c>
      <c r="B7" s="24"/>
      <c r="C7" s="24"/>
      <c r="D7" s="3"/>
      <c r="E7" s="3"/>
      <c r="F7" s="3"/>
    </row>
    <row r="8" spans="1:254" s="1" customFormat="1" ht="31.95" customHeight="1">
      <c r="A8" s="41" t="s">
        <v>7</v>
      </c>
      <c r="B8" s="41"/>
      <c r="C8" s="41"/>
      <c r="D8" s="41"/>
      <c r="E8" s="41"/>
      <c r="F8" s="41"/>
    </row>
    <row r="9" spans="1:254" s="1" customFormat="1" ht="13.8">
      <c r="A9" s="4" t="s">
        <v>8</v>
      </c>
      <c r="B9" s="2"/>
      <c r="C9" s="2"/>
      <c r="D9" s="2"/>
      <c r="E9" s="2"/>
      <c r="F9" s="2"/>
    </row>
    <row r="10" spans="1:254" s="7" customFormat="1" ht="19.95" customHeight="1">
      <c r="A10" s="4" t="s">
        <v>9</v>
      </c>
    </row>
    <row r="11" spans="1:254" s="7" customFormat="1" ht="19.95" customHeight="1">
      <c r="A11" s="4"/>
    </row>
    <row r="12" spans="1:254" s="8" customFormat="1" ht="31.95" customHeight="1">
      <c r="A12" s="25" t="s">
        <v>10</v>
      </c>
      <c r="B12" s="25" t="s">
        <v>11</v>
      </c>
      <c r="C12" s="26" t="s">
        <v>12</v>
      </c>
      <c r="D12" s="26" t="s">
        <v>13</v>
      </c>
      <c r="E12" s="27" t="s">
        <v>14</v>
      </c>
      <c r="F12" s="25" t="s">
        <v>15</v>
      </c>
    </row>
    <row r="13" spans="1:254" s="9" customFormat="1" ht="30" customHeight="1">
      <c r="A13" s="29">
        <v>1</v>
      </c>
      <c r="B13" s="37" t="s">
        <v>96</v>
      </c>
      <c r="C13" s="35" t="s">
        <v>16</v>
      </c>
      <c r="D13" s="29">
        <v>1</v>
      </c>
      <c r="E13" s="38">
        <v>680000</v>
      </c>
      <c r="F13" s="36">
        <f>D13*E13</f>
        <v>680000</v>
      </c>
      <c r="G13" s="2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s="9" customFormat="1" ht="30" customHeight="1">
      <c r="A14" s="29">
        <v>2</v>
      </c>
      <c r="B14" s="37" t="s">
        <v>92</v>
      </c>
      <c r="C14" s="35" t="s">
        <v>16</v>
      </c>
      <c r="D14" s="29">
        <v>1</v>
      </c>
      <c r="E14" s="39">
        <v>800000</v>
      </c>
      <c r="F14" s="36">
        <f>D14*E14</f>
        <v>800000</v>
      </c>
      <c r="G14" s="2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</row>
    <row r="15" spans="1:254" s="9" customFormat="1" ht="30" customHeight="1">
      <c r="A15" s="29">
        <v>3</v>
      </c>
      <c r="B15" s="37" t="s">
        <v>90</v>
      </c>
      <c r="C15" s="35" t="s">
        <v>16</v>
      </c>
      <c r="D15" s="29">
        <v>1</v>
      </c>
      <c r="E15" s="39">
        <v>850000</v>
      </c>
      <c r="F15" s="36">
        <f>D15*E15</f>
        <v>850000</v>
      </c>
      <c r="G15" s="2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</row>
    <row r="16" spans="1:254" s="9" customFormat="1" ht="30" customHeight="1">
      <c r="A16" s="29">
        <v>4</v>
      </c>
      <c r="B16" s="37" t="s">
        <v>90</v>
      </c>
      <c r="C16" s="35" t="s">
        <v>16</v>
      </c>
      <c r="D16" s="29">
        <v>1</v>
      </c>
      <c r="E16" s="39">
        <v>900000</v>
      </c>
      <c r="F16" s="36">
        <f>D16*E16</f>
        <v>900000</v>
      </c>
      <c r="G16" s="2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</row>
    <row r="17" spans="1:254" s="9" customFormat="1" ht="30" customHeight="1">
      <c r="A17" s="29">
        <v>5</v>
      </c>
      <c r="B17" s="37" t="s">
        <v>99</v>
      </c>
      <c r="C17" s="35" t="s">
        <v>16</v>
      </c>
      <c r="D17" s="29">
        <v>1</v>
      </c>
      <c r="E17" s="39">
        <v>900000</v>
      </c>
      <c r="F17" s="36">
        <f>D17*E17</f>
        <v>900000</v>
      </c>
      <c r="G17" s="2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</row>
    <row r="18" spans="1:254" s="9" customFormat="1" ht="30" customHeight="1">
      <c r="A18" s="29">
        <v>6</v>
      </c>
      <c r="B18" s="37" t="s">
        <v>89</v>
      </c>
      <c r="C18" s="35" t="s">
        <v>16</v>
      </c>
      <c r="D18" s="29">
        <v>1</v>
      </c>
      <c r="E18" s="39">
        <v>980000</v>
      </c>
      <c r="F18" s="36">
        <f>D18*E18</f>
        <v>980000</v>
      </c>
      <c r="G18" s="2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</row>
    <row r="19" spans="1:254" s="9" customFormat="1" ht="30" customHeight="1">
      <c r="A19" s="29">
        <v>7</v>
      </c>
      <c r="B19" s="37" t="s">
        <v>91</v>
      </c>
      <c r="C19" s="35" t="s">
        <v>16</v>
      </c>
      <c r="D19" s="29">
        <v>1</v>
      </c>
      <c r="E19" s="39">
        <v>1180000</v>
      </c>
      <c r="F19" s="36">
        <f>D19*E19</f>
        <v>1180000</v>
      </c>
      <c r="G19" s="2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</row>
    <row r="20" spans="1:254" s="9" customFormat="1" ht="30" customHeight="1">
      <c r="A20" s="29">
        <v>8</v>
      </c>
      <c r="B20" s="37" t="s">
        <v>88</v>
      </c>
      <c r="C20" s="35" t="s">
        <v>16</v>
      </c>
      <c r="D20" s="29">
        <v>1</v>
      </c>
      <c r="E20" s="39">
        <v>1200000</v>
      </c>
      <c r="F20" s="36">
        <f>D20*E20</f>
        <v>1200000</v>
      </c>
      <c r="G20" s="2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</row>
    <row r="21" spans="1:254" s="9" customFormat="1" ht="30" customHeight="1">
      <c r="A21" s="29">
        <v>9</v>
      </c>
      <c r="B21" s="37" t="s">
        <v>93</v>
      </c>
      <c r="C21" s="35" t="s">
        <v>16</v>
      </c>
      <c r="D21" s="29">
        <v>1</v>
      </c>
      <c r="E21" s="39">
        <v>1230000</v>
      </c>
      <c r="F21" s="36">
        <f>D21*E21</f>
        <v>1230000</v>
      </c>
      <c r="G21" s="2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</row>
    <row r="22" spans="1:254" s="9" customFormat="1" ht="30" customHeight="1">
      <c r="A22" s="29">
        <v>10</v>
      </c>
      <c r="B22" s="37" t="s">
        <v>80</v>
      </c>
      <c r="C22" s="35" t="s">
        <v>16</v>
      </c>
      <c r="D22" s="29">
        <v>1</v>
      </c>
      <c r="E22" s="39">
        <v>1260000</v>
      </c>
      <c r="F22" s="36">
        <f>D22*E22</f>
        <v>1260000</v>
      </c>
      <c r="G22" s="2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</row>
    <row r="23" spans="1:254" s="9" customFormat="1" ht="30" customHeight="1">
      <c r="A23" s="29">
        <v>11</v>
      </c>
      <c r="B23" s="37" t="s">
        <v>81</v>
      </c>
      <c r="C23" s="35" t="s">
        <v>16</v>
      </c>
      <c r="D23" s="29">
        <v>1</v>
      </c>
      <c r="E23" s="39">
        <v>1280000</v>
      </c>
      <c r="F23" s="36">
        <f>D23*E23</f>
        <v>1280000</v>
      </c>
      <c r="G23" s="2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</row>
    <row r="24" spans="1:254" s="9" customFormat="1" ht="30" customHeight="1">
      <c r="A24" s="29">
        <v>12</v>
      </c>
      <c r="B24" s="37" t="s">
        <v>88</v>
      </c>
      <c r="C24" s="35" t="s">
        <v>16</v>
      </c>
      <c r="D24" s="29">
        <v>1</v>
      </c>
      <c r="E24" s="39">
        <v>1280000</v>
      </c>
      <c r="F24" s="36">
        <f>D24*E24</f>
        <v>1280000</v>
      </c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</row>
    <row r="25" spans="1:254" s="9" customFormat="1" ht="30" customHeight="1">
      <c r="A25" s="29">
        <v>13</v>
      </c>
      <c r="B25" s="37" t="s">
        <v>100</v>
      </c>
      <c r="C25" s="35" t="s">
        <v>16</v>
      </c>
      <c r="D25" s="29">
        <v>1</v>
      </c>
      <c r="E25" s="39">
        <v>1430000</v>
      </c>
      <c r="F25" s="36">
        <f>D25*E25</f>
        <v>1430000</v>
      </c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</row>
    <row r="26" spans="1:254" s="9" customFormat="1" ht="30" customHeight="1">
      <c r="A26" s="29">
        <v>14</v>
      </c>
      <c r="B26" s="37" t="s">
        <v>102</v>
      </c>
      <c r="C26" s="35" t="s">
        <v>16</v>
      </c>
      <c r="D26" s="29">
        <v>1</v>
      </c>
      <c r="E26" s="39">
        <v>1430000</v>
      </c>
      <c r="F26" s="36">
        <f>D26*E26</f>
        <v>1430000</v>
      </c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</row>
    <row r="27" spans="1:254" s="9" customFormat="1" ht="30" customHeight="1">
      <c r="A27" s="29">
        <v>15</v>
      </c>
      <c r="B27" s="37" t="s">
        <v>84</v>
      </c>
      <c r="C27" s="35" t="s">
        <v>16</v>
      </c>
      <c r="D27" s="29">
        <v>1</v>
      </c>
      <c r="E27" s="39">
        <v>1450000</v>
      </c>
      <c r="F27" s="36">
        <f>D27*E27</f>
        <v>1450000</v>
      </c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</row>
    <row r="28" spans="1:254" s="9" customFormat="1" ht="30" customHeight="1">
      <c r="A28" s="29">
        <v>16</v>
      </c>
      <c r="B28" s="37" t="s">
        <v>82</v>
      </c>
      <c r="C28" s="35" t="s">
        <v>16</v>
      </c>
      <c r="D28" s="29">
        <v>1</v>
      </c>
      <c r="E28" s="39">
        <v>1510000</v>
      </c>
      <c r="F28" s="36">
        <f>D28*E28</f>
        <v>1510000</v>
      </c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</row>
    <row r="29" spans="1:254" s="9" customFormat="1" ht="30" customHeight="1">
      <c r="A29" s="29">
        <v>17</v>
      </c>
      <c r="B29" s="37" t="s">
        <v>98</v>
      </c>
      <c r="C29" s="35" t="s">
        <v>16</v>
      </c>
      <c r="D29" s="29">
        <v>1</v>
      </c>
      <c r="E29" s="39">
        <v>1510000</v>
      </c>
      <c r="F29" s="36">
        <f>D29*E29</f>
        <v>1510000</v>
      </c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</row>
    <row r="30" spans="1:254" s="9" customFormat="1" ht="30" customHeight="1">
      <c r="A30" s="29">
        <v>18</v>
      </c>
      <c r="B30" s="37" t="s">
        <v>84</v>
      </c>
      <c r="C30" s="35" t="s">
        <v>16</v>
      </c>
      <c r="D30" s="29">
        <v>1</v>
      </c>
      <c r="E30" s="39">
        <v>1530000</v>
      </c>
      <c r="F30" s="36">
        <f>D30*E30</f>
        <v>1530000</v>
      </c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</row>
    <row r="31" spans="1:254" s="9" customFormat="1" ht="30" customHeight="1">
      <c r="A31" s="29">
        <v>19</v>
      </c>
      <c r="B31" s="37" t="s">
        <v>83</v>
      </c>
      <c r="C31" s="35" t="s">
        <v>16</v>
      </c>
      <c r="D31" s="29">
        <v>1</v>
      </c>
      <c r="E31" s="39">
        <v>1530000</v>
      </c>
      <c r="F31" s="36">
        <f>D31*E31</f>
        <v>1530000</v>
      </c>
      <c r="G31" s="2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</row>
    <row r="32" spans="1:254" s="9" customFormat="1" ht="30" customHeight="1">
      <c r="A32" s="29">
        <v>20</v>
      </c>
      <c r="B32" s="37" t="s">
        <v>95</v>
      </c>
      <c r="C32" s="35" t="s">
        <v>16</v>
      </c>
      <c r="D32" s="29">
        <v>1</v>
      </c>
      <c r="E32" s="39">
        <v>1545000</v>
      </c>
      <c r="F32" s="36">
        <f>D32*E32</f>
        <v>1545000</v>
      </c>
      <c r="G32" s="2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</row>
    <row r="33" spans="1:254" s="9" customFormat="1" ht="30" customHeight="1">
      <c r="A33" s="29">
        <v>21</v>
      </c>
      <c r="B33" s="37" t="s">
        <v>84</v>
      </c>
      <c r="C33" s="35" t="s">
        <v>16</v>
      </c>
      <c r="D33" s="29">
        <v>1</v>
      </c>
      <c r="E33" s="39">
        <v>1580000</v>
      </c>
      <c r="F33" s="36">
        <f>D33*E33</f>
        <v>1580000</v>
      </c>
      <c r="G33" s="2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</row>
    <row r="34" spans="1:254" s="9" customFormat="1" ht="30" customHeight="1">
      <c r="A34" s="29">
        <v>22</v>
      </c>
      <c r="B34" s="37" t="s">
        <v>83</v>
      </c>
      <c r="C34" s="35" t="s">
        <v>16</v>
      </c>
      <c r="D34" s="29">
        <v>1</v>
      </c>
      <c r="E34" s="39">
        <v>1630000</v>
      </c>
      <c r="F34" s="36">
        <f>D34*E34</f>
        <v>1630000</v>
      </c>
      <c r="G34" s="2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</row>
    <row r="35" spans="1:254" s="9" customFormat="1" ht="30" customHeight="1">
      <c r="A35" s="29">
        <v>23</v>
      </c>
      <c r="B35" s="37" t="s">
        <v>87</v>
      </c>
      <c r="C35" s="35" t="s">
        <v>16</v>
      </c>
      <c r="D35" s="29">
        <v>1</v>
      </c>
      <c r="E35" s="39">
        <v>1660000</v>
      </c>
      <c r="F35" s="36">
        <f>D35*E35</f>
        <v>1660000</v>
      </c>
      <c r="G35" s="2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</row>
    <row r="36" spans="1:254" s="9" customFormat="1" ht="30" customHeight="1">
      <c r="A36" s="29">
        <v>24</v>
      </c>
      <c r="B36" s="37" t="s">
        <v>94</v>
      </c>
      <c r="C36" s="35" t="s">
        <v>16</v>
      </c>
      <c r="D36" s="29">
        <v>1</v>
      </c>
      <c r="E36" s="39">
        <v>1740000</v>
      </c>
      <c r="F36" s="36">
        <f>D36*E36</f>
        <v>1740000</v>
      </c>
      <c r="G36" s="2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</row>
    <row r="37" spans="1:254" s="9" customFormat="1" ht="30" customHeight="1">
      <c r="A37" s="29">
        <v>25</v>
      </c>
      <c r="B37" s="37" t="s">
        <v>97</v>
      </c>
      <c r="C37" s="35" t="s">
        <v>16</v>
      </c>
      <c r="D37" s="29">
        <v>1</v>
      </c>
      <c r="E37" s="39">
        <v>1904000</v>
      </c>
      <c r="F37" s="36">
        <f>D37*E37</f>
        <v>1904000</v>
      </c>
      <c r="G37" s="2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</row>
    <row r="38" spans="1:254" s="9" customFormat="1" ht="30" customHeight="1">
      <c r="A38" s="29">
        <v>26</v>
      </c>
      <c r="B38" s="37" t="s">
        <v>101</v>
      </c>
      <c r="C38" s="35" t="s">
        <v>16</v>
      </c>
      <c r="D38" s="29">
        <v>1</v>
      </c>
      <c r="E38" s="39">
        <v>1950000</v>
      </c>
      <c r="F38" s="36">
        <f>D38*E38</f>
        <v>1950000</v>
      </c>
      <c r="G38" s="2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</row>
    <row r="39" spans="1:254" s="9" customFormat="1" ht="30" customHeight="1">
      <c r="A39" s="29">
        <v>27</v>
      </c>
      <c r="B39" s="37" t="s">
        <v>86</v>
      </c>
      <c r="C39" s="35" t="s">
        <v>16</v>
      </c>
      <c r="D39" s="29">
        <v>1</v>
      </c>
      <c r="E39" s="39">
        <v>2030000</v>
      </c>
      <c r="F39" s="36">
        <f>D39*E39</f>
        <v>2030000</v>
      </c>
      <c r="G39" s="2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</row>
    <row r="40" spans="1:254" s="9" customFormat="1" ht="30" customHeight="1">
      <c r="A40" s="29">
        <v>28</v>
      </c>
      <c r="B40" s="37" t="s">
        <v>85</v>
      </c>
      <c r="C40" s="35" t="s">
        <v>16</v>
      </c>
      <c r="D40" s="29">
        <v>1</v>
      </c>
      <c r="E40" s="39">
        <v>2150000</v>
      </c>
      <c r="F40" s="36">
        <f>D40*E40</f>
        <v>2150000</v>
      </c>
      <c r="G40" s="2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</row>
    <row r="41" spans="1:254" s="9" customFormat="1" ht="30" customHeight="1">
      <c r="A41" s="29">
        <v>29</v>
      </c>
      <c r="B41" s="37" t="s">
        <v>85</v>
      </c>
      <c r="C41" s="35" t="s">
        <v>16</v>
      </c>
      <c r="D41" s="29">
        <v>1</v>
      </c>
      <c r="E41" s="39">
        <v>2247200</v>
      </c>
      <c r="F41" s="36">
        <f>D41*E41</f>
        <v>2247200</v>
      </c>
      <c r="G41" s="2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</row>
    <row r="42" spans="1:254" s="8" customFormat="1" ht="30" customHeight="1">
      <c r="A42" s="29"/>
      <c r="B42" s="34"/>
      <c r="C42" s="35"/>
      <c r="D42" s="29"/>
      <c r="E42" s="33"/>
      <c r="F42" s="36"/>
      <c r="G42" s="28"/>
    </row>
    <row r="43" spans="1:254" s="1" customFormat="1" ht="21" customHeight="1">
      <c r="A43" s="42" t="s">
        <v>17</v>
      </c>
      <c r="B43" s="42"/>
      <c r="C43" s="42"/>
      <c r="D43" s="42"/>
      <c r="E43" s="5"/>
      <c r="F43" s="5">
        <f>SUM(F6:F42)</f>
        <v>41366200</v>
      </c>
      <c r="G43" s="30"/>
    </row>
    <row r="44" spans="1:254" s="1" customFormat="1" ht="21" customHeight="1">
      <c r="A44" s="42" t="s">
        <v>18</v>
      </c>
      <c r="B44" s="42"/>
      <c r="C44" s="42"/>
      <c r="D44" s="42"/>
      <c r="E44" s="5"/>
      <c r="F44" s="5">
        <f>F43*8%</f>
        <v>3309296</v>
      </c>
    </row>
    <row r="45" spans="1:254" s="1" customFormat="1" ht="21" customHeight="1">
      <c r="A45" s="42" t="s">
        <v>19</v>
      </c>
      <c r="B45" s="42"/>
      <c r="C45" s="42"/>
      <c r="D45" s="42"/>
      <c r="E45" s="5"/>
      <c r="F45" s="5">
        <f>F43+F44</f>
        <v>44675496</v>
      </c>
    </row>
  </sheetData>
  <autoFilter ref="A12:IT41" xr:uid="{00000000-0009-0000-0000-000000000000}">
    <sortState xmlns:xlrd2="http://schemas.microsoft.com/office/spreadsheetml/2017/richdata2" ref="A13:IT41">
      <sortCondition ref="E12:E41"/>
    </sortState>
  </autoFilter>
  <mergeCells count="5">
    <mergeCell ref="A43:D43"/>
    <mergeCell ref="A44:D44"/>
    <mergeCell ref="A45:D45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3597-A2BF-4A9A-884B-A99124060A23}">
  <dimension ref="A1:IT38"/>
  <sheetViews>
    <sheetView topLeftCell="A28" zoomScale="85" zoomScaleNormal="85" workbookViewId="0">
      <selection activeCell="B15" sqref="B15"/>
    </sheetView>
  </sheetViews>
  <sheetFormatPr defaultColWidth="8.6640625" defaultRowHeight="14.4"/>
  <cols>
    <col min="1" max="1" width="12.6640625" style="11" customWidth="1"/>
    <col min="2" max="2" width="53.33203125" style="12" customWidth="1"/>
    <col min="3" max="3" width="11.33203125" style="13" customWidth="1"/>
    <col min="4" max="4" width="8.109375" style="14" customWidth="1"/>
    <col min="5" max="5" width="12.33203125" style="15" customWidth="1"/>
    <col min="6" max="6" width="17.6640625" style="15" customWidth="1"/>
    <col min="7" max="7" width="12.33203125" style="6" customWidth="1"/>
    <col min="8" max="9" width="14.6640625" style="6" customWidth="1"/>
    <col min="10" max="14" width="8.6640625" style="6"/>
    <col min="15" max="15" width="34.33203125" style="6" customWidth="1"/>
    <col min="16" max="238" width="8.6640625" style="6"/>
    <col min="239" max="16384" width="8.6640625" style="10"/>
  </cols>
  <sheetData>
    <row r="1" spans="1:254" s="6" customFormat="1">
      <c r="A1" s="11"/>
      <c r="B1" s="12"/>
      <c r="C1" s="13"/>
      <c r="D1" s="14"/>
      <c r="E1" s="15"/>
      <c r="F1" s="15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</row>
    <row r="2" spans="1:254" s="6" customFormat="1" ht="15.6">
      <c r="A2" s="40" t="s">
        <v>0</v>
      </c>
      <c r="B2" s="40"/>
      <c r="C2" s="40"/>
      <c r="D2" s="40"/>
      <c r="E2" s="40"/>
      <c r="F2" s="40"/>
    </row>
    <row r="3" spans="1:254" s="6" customFormat="1" ht="13.8">
      <c r="A3" s="16"/>
      <c r="B3" s="16"/>
      <c r="C3" s="16" t="s">
        <v>1</v>
      </c>
      <c r="D3" s="16"/>
      <c r="E3" s="16"/>
      <c r="F3" s="16"/>
    </row>
    <row r="4" spans="1:254" s="7" customFormat="1" ht="13.8">
      <c r="A4" s="17" t="s">
        <v>2</v>
      </c>
      <c r="B4" s="18"/>
      <c r="C4" s="19" t="s">
        <v>3</v>
      </c>
      <c r="D4" s="20"/>
      <c r="E4" s="20"/>
      <c r="F4" s="20"/>
    </row>
    <row r="5" spans="1:254" s="7" customFormat="1" ht="13.8">
      <c r="A5" s="21" t="s">
        <v>4</v>
      </c>
      <c r="B5" s="20"/>
      <c r="C5" s="20"/>
      <c r="D5" s="20"/>
      <c r="E5" s="20"/>
      <c r="F5" s="20"/>
    </row>
    <row r="6" spans="1:254" s="7" customFormat="1" ht="13.8">
      <c r="A6" s="22" t="s">
        <v>5</v>
      </c>
      <c r="B6" s="20"/>
      <c r="C6" s="20"/>
      <c r="D6" s="20"/>
      <c r="E6" s="20"/>
      <c r="F6" s="20"/>
    </row>
    <row r="7" spans="1:254" s="1" customFormat="1" ht="18" customHeight="1">
      <c r="A7" s="23" t="s">
        <v>6</v>
      </c>
      <c r="B7" s="24"/>
      <c r="C7" s="24"/>
      <c r="D7" s="3"/>
      <c r="E7" s="3"/>
      <c r="F7" s="3"/>
    </row>
    <row r="8" spans="1:254" s="1" customFormat="1" ht="31.95" customHeight="1">
      <c r="A8" s="41" t="s">
        <v>7</v>
      </c>
      <c r="B8" s="41"/>
      <c r="C8" s="41"/>
      <c r="D8" s="41"/>
      <c r="E8" s="41"/>
      <c r="F8" s="41"/>
    </row>
    <row r="9" spans="1:254" s="1" customFormat="1" ht="13.8">
      <c r="A9" s="4" t="s">
        <v>8</v>
      </c>
      <c r="B9" s="2"/>
      <c r="C9" s="2"/>
      <c r="D9" s="2"/>
      <c r="E9" s="2"/>
      <c r="F9" s="2"/>
    </row>
    <row r="10" spans="1:254" s="7" customFormat="1" ht="19.95" customHeight="1">
      <c r="A10" s="4" t="s">
        <v>9</v>
      </c>
    </row>
    <row r="11" spans="1:254" s="7" customFormat="1" ht="19.95" customHeight="1">
      <c r="A11" s="4"/>
    </row>
    <row r="12" spans="1:254" s="8" customFormat="1" ht="31.95" customHeight="1">
      <c r="A12" s="25" t="s">
        <v>10</v>
      </c>
      <c r="B12" s="25" t="s">
        <v>11</v>
      </c>
      <c r="C12" s="26" t="s">
        <v>12</v>
      </c>
      <c r="D12" s="26" t="s">
        <v>13</v>
      </c>
      <c r="E12" s="27" t="s">
        <v>14</v>
      </c>
      <c r="F12" s="25" t="s">
        <v>15</v>
      </c>
    </row>
    <row r="13" spans="1:254" s="9" customFormat="1" ht="30" customHeight="1">
      <c r="A13" s="29">
        <v>1</v>
      </c>
      <c r="B13" s="37" t="s">
        <v>109</v>
      </c>
      <c r="C13" s="35" t="s">
        <v>16</v>
      </c>
      <c r="D13" s="29">
        <v>1</v>
      </c>
      <c r="E13" s="33">
        <v>950000</v>
      </c>
      <c r="F13" s="36">
        <f>D13*E13</f>
        <v>950000</v>
      </c>
      <c r="G13" s="2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s="9" customFormat="1" ht="30" customHeight="1">
      <c r="A14" s="29">
        <v>2</v>
      </c>
      <c r="B14" s="37" t="s">
        <v>21</v>
      </c>
      <c r="C14" s="35" t="s">
        <v>16</v>
      </c>
      <c r="D14" s="29">
        <v>1</v>
      </c>
      <c r="E14" s="33">
        <v>1450000</v>
      </c>
      <c r="F14" s="36">
        <f>D14*E14</f>
        <v>1450000</v>
      </c>
      <c r="G14" s="2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</row>
    <row r="15" spans="1:254" s="9" customFormat="1" ht="30" customHeight="1">
      <c r="A15" s="29">
        <v>3</v>
      </c>
      <c r="B15" s="37" t="s">
        <v>113</v>
      </c>
      <c r="C15" s="35" t="s">
        <v>16</v>
      </c>
      <c r="D15" s="29">
        <v>1</v>
      </c>
      <c r="E15" s="33">
        <v>1550000</v>
      </c>
      <c r="F15" s="36">
        <f>D15*E15</f>
        <v>1550000</v>
      </c>
      <c r="G15" s="2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</row>
    <row r="16" spans="1:254" s="9" customFormat="1" ht="30" customHeight="1">
      <c r="A16" s="29">
        <v>4</v>
      </c>
      <c r="B16" s="37" t="s">
        <v>106</v>
      </c>
      <c r="C16" s="35" t="s">
        <v>16</v>
      </c>
      <c r="D16" s="29">
        <v>3</v>
      </c>
      <c r="E16" s="33">
        <v>1900000</v>
      </c>
      <c r="F16" s="36">
        <f>D16*E16</f>
        <v>5700000</v>
      </c>
      <c r="G16" s="2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</row>
    <row r="17" spans="1:254" s="9" customFormat="1" ht="30" customHeight="1">
      <c r="A17" s="29">
        <v>5</v>
      </c>
      <c r="B17" s="37" t="s">
        <v>106</v>
      </c>
      <c r="C17" s="35" t="s">
        <v>16</v>
      </c>
      <c r="D17" s="29">
        <v>3</v>
      </c>
      <c r="E17" s="33">
        <v>1950000</v>
      </c>
      <c r="F17" s="36">
        <f>D17*E17</f>
        <v>5850000</v>
      </c>
      <c r="G17" s="2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</row>
    <row r="18" spans="1:254" s="9" customFormat="1" ht="30" customHeight="1">
      <c r="A18" s="29">
        <v>6</v>
      </c>
      <c r="B18" s="37" t="s">
        <v>106</v>
      </c>
      <c r="C18" s="35" t="s">
        <v>16</v>
      </c>
      <c r="D18" s="29">
        <v>1</v>
      </c>
      <c r="E18" s="33">
        <v>1950000</v>
      </c>
      <c r="F18" s="36">
        <f>D18*E18</f>
        <v>1950000</v>
      </c>
      <c r="G18" s="2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</row>
    <row r="19" spans="1:254" s="9" customFormat="1" ht="30" customHeight="1">
      <c r="A19" s="29">
        <v>7</v>
      </c>
      <c r="B19" s="37" t="s">
        <v>110</v>
      </c>
      <c r="C19" s="35" t="s">
        <v>16</v>
      </c>
      <c r="D19" s="29">
        <v>1</v>
      </c>
      <c r="E19" s="33">
        <v>2000000</v>
      </c>
      <c r="F19" s="36">
        <f>D19*E19</f>
        <v>2000000</v>
      </c>
      <c r="G19" s="2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</row>
    <row r="20" spans="1:254" s="9" customFormat="1" ht="30" customHeight="1">
      <c r="A20" s="29">
        <v>8</v>
      </c>
      <c r="B20" s="37" t="s">
        <v>103</v>
      </c>
      <c r="C20" s="35" t="s">
        <v>16</v>
      </c>
      <c r="D20" s="29">
        <v>1</v>
      </c>
      <c r="E20" s="33">
        <v>2100000</v>
      </c>
      <c r="F20" s="36">
        <f>D20*E20</f>
        <v>2100000</v>
      </c>
      <c r="G20" s="2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</row>
    <row r="21" spans="1:254" s="9" customFormat="1" ht="30" customHeight="1">
      <c r="A21" s="29">
        <v>9</v>
      </c>
      <c r="B21" s="37" t="s">
        <v>108</v>
      </c>
      <c r="C21" s="35" t="s">
        <v>16</v>
      </c>
      <c r="D21" s="29">
        <v>1</v>
      </c>
      <c r="E21" s="33">
        <v>2100000</v>
      </c>
      <c r="F21" s="36">
        <f>D21*E21</f>
        <v>2100000</v>
      </c>
      <c r="G21" s="2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</row>
    <row r="22" spans="1:254" s="9" customFormat="1" ht="30" customHeight="1">
      <c r="A22" s="29">
        <v>10</v>
      </c>
      <c r="B22" s="37" t="s">
        <v>103</v>
      </c>
      <c r="C22" s="35" t="s">
        <v>16</v>
      </c>
      <c r="D22" s="29">
        <v>1</v>
      </c>
      <c r="E22" s="33">
        <v>2150000</v>
      </c>
      <c r="F22" s="36">
        <f>D22*E22</f>
        <v>2150000</v>
      </c>
      <c r="G22" s="2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</row>
    <row r="23" spans="1:254" s="9" customFormat="1" ht="30" customHeight="1">
      <c r="A23" s="29">
        <v>11</v>
      </c>
      <c r="B23" s="37" t="s">
        <v>103</v>
      </c>
      <c r="C23" s="35" t="s">
        <v>16</v>
      </c>
      <c r="D23" s="29">
        <v>1</v>
      </c>
      <c r="E23" s="33">
        <v>2150000</v>
      </c>
      <c r="F23" s="36">
        <f>D23*E23</f>
        <v>2150000</v>
      </c>
      <c r="G23" s="2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</row>
    <row r="24" spans="1:254" s="9" customFormat="1" ht="30" customHeight="1">
      <c r="A24" s="29">
        <v>12</v>
      </c>
      <c r="B24" s="37" t="s">
        <v>111</v>
      </c>
      <c r="C24" s="35" t="s">
        <v>16</v>
      </c>
      <c r="D24" s="29">
        <v>1</v>
      </c>
      <c r="E24" s="33">
        <v>2150000</v>
      </c>
      <c r="F24" s="36">
        <f>D24*E24</f>
        <v>2150000</v>
      </c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</row>
    <row r="25" spans="1:254" s="9" customFormat="1" ht="30" customHeight="1">
      <c r="A25" s="29">
        <v>13</v>
      </c>
      <c r="B25" s="37" t="s">
        <v>104</v>
      </c>
      <c r="C25" s="35" t="s">
        <v>16</v>
      </c>
      <c r="D25" s="29">
        <v>2</v>
      </c>
      <c r="E25" s="33">
        <v>2450000</v>
      </c>
      <c r="F25" s="36">
        <f>D25*E25</f>
        <v>4900000</v>
      </c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</row>
    <row r="26" spans="1:254" s="9" customFormat="1" ht="30" customHeight="1">
      <c r="A26" s="29">
        <v>14</v>
      </c>
      <c r="B26" s="37" t="s">
        <v>108</v>
      </c>
      <c r="C26" s="35" t="s">
        <v>16</v>
      </c>
      <c r="D26" s="29">
        <v>1</v>
      </c>
      <c r="E26" s="33">
        <v>2532800</v>
      </c>
      <c r="F26" s="36">
        <f>D26*E26</f>
        <v>2532800</v>
      </c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</row>
    <row r="27" spans="1:254" s="9" customFormat="1" ht="30" customHeight="1">
      <c r="A27" s="29">
        <v>15</v>
      </c>
      <c r="B27" s="37" t="s">
        <v>104</v>
      </c>
      <c r="C27" s="35" t="s">
        <v>16</v>
      </c>
      <c r="D27" s="29">
        <v>1</v>
      </c>
      <c r="E27" s="33">
        <v>2579500</v>
      </c>
      <c r="F27" s="36">
        <f>D27*E27</f>
        <v>2579500</v>
      </c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</row>
    <row r="28" spans="1:254" s="9" customFormat="1" ht="30" customHeight="1">
      <c r="A28" s="29">
        <v>16</v>
      </c>
      <c r="B28" s="37" t="s">
        <v>105</v>
      </c>
      <c r="C28" s="35" t="s">
        <v>16</v>
      </c>
      <c r="D28" s="29">
        <v>2</v>
      </c>
      <c r="E28" s="33">
        <v>2600000</v>
      </c>
      <c r="F28" s="36">
        <f>D28*E28</f>
        <v>5200000</v>
      </c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</row>
    <row r="29" spans="1:254" s="9" customFormat="1" ht="30" customHeight="1">
      <c r="A29" s="29">
        <v>17</v>
      </c>
      <c r="B29" s="37" t="s">
        <v>105</v>
      </c>
      <c r="C29" s="35" t="s">
        <v>16</v>
      </c>
      <c r="D29" s="29">
        <v>4</v>
      </c>
      <c r="E29" s="33">
        <v>2650000</v>
      </c>
      <c r="F29" s="36">
        <f>D29*E29</f>
        <v>10600000</v>
      </c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</row>
    <row r="30" spans="1:254" s="9" customFormat="1" ht="30" customHeight="1">
      <c r="A30" s="29">
        <v>18</v>
      </c>
      <c r="B30" s="37" t="s">
        <v>107</v>
      </c>
      <c r="C30" s="35" t="s">
        <v>16</v>
      </c>
      <c r="D30" s="29">
        <v>1</v>
      </c>
      <c r="E30" s="33">
        <v>2700000</v>
      </c>
      <c r="F30" s="36">
        <f>D30*E30</f>
        <v>2700000</v>
      </c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</row>
    <row r="31" spans="1:254" s="8" customFormat="1" ht="30" customHeight="1">
      <c r="A31" s="29">
        <v>19</v>
      </c>
      <c r="B31" s="37" t="s">
        <v>112</v>
      </c>
      <c r="C31" s="35" t="s">
        <v>16</v>
      </c>
      <c r="D31" s="29">
        <v>1</v>
      </c>
      <c r="E31" s="33">
        <v>2750000</v>
      </c>
      <c r="F31" s="36">
        <f>D31*E31</f>
        <v>2750000</v>
      </c>
      <c r="G31" s="28"/>
    </row>
    <row r="32" spans="1:254" s="8" customFormat="1" ht="30" customHeight="1">
      <c r="A32" s="29">
        <v>20</v>
      </c>
      <c r="B32" s="37" t="s">
        <v>105</v>
      </c>
      <c r="C32" s="35" t="s">
        <v>16</v>
      </c>
      <c r="D32" s="29">
        <v>3</v>
      </c>
      <c r="E32" s="33">
        <v>2800000</v>
      </c>
      <c r="F32" s="36">
        <f>D32*E32</f>
        <v>8400000</v>
      </c>
      <c r="G32" s="28"/>
    </row>
    <row r="33" spans="1:7" s="8" customFormat="1" ht="30" customHeight="1">
      <c r="A33" s="29">
        <v>21</v>
      </c>
      <c r="B33" s="37" t="s">
        <v>104</v>
      </c>
      <c r="C33" s="35" t="s">
        <v>16</v>
      </c>
      <c r="D33" s="29">
        <v>1</v>
      </c>
      <c r="E33" s="33">
        <v>3150000</v>
      </c>
      <c r="F33" s="36">
        <f>D33*E33</f>
        <v>3150000</v>
      </c>
      <c r="G33" s="28"/>
    </row>
    <row r="34" spans="1:7" s="8" customFormat="1" ht="30" customHeight="1">
      <c r="A34" s="29">
        <v>22</v>
      </c>
      <c r="B34" s="37" t="s">
        <v>104</v>
      </c>
      <c r="C34" s="35" t="s">
        <v>16</v>
      </c>
      <c r="D34" s="29">
        <v>1</v>
      </c>
      <c r="E34" s="33">
        <v>3675000</v>
      </c>
      <c r="F34" s="36">
        <f>D34*E34</f>
        <v>3675000</v>
      </c>
      <c r="G34" s="28"/>
    </row>
    <row r="35" spans="1:7" s="8" customFormat="1" ht="30" customHeight="1">
      <c r="A35" s="29"/>
      <c r="B35" s="34"/>
      <c r="C35" s="35"/>
      <c r="D35" s="29"/>
      <c r="E35" s="33"/>
      <c r="F35" s="36"/>
      <c r="G35" s="28"/>
    </row>
    <row r="36" spans="1:7" s="1" customFormat="1" ht="21" customHeight="1">
      <c r="A36" s="42" t="s">
        <v>17</v>
      </c>
      <c r="B36" s="42"/>
      <c r="C36" s="42"/>
      <c r="D36" s="42"/>
      <c r="E36" s="5"/>
      <c r="F36" s="5">
        <f>SUM(F6:F35)</f>
        <v>76587300</v>
      </c>
      <c r="G36" s="30"/>
    </row>
    <row r="37" spans="1:7" s="1" customFormat="1" ht="21" customHeight="1">
      <c r="A37" s="42" t="s">
        <v>18</v>
      </c>
      <c r="B37" s="42"/>
      <c r="C37" s="42"/>
      <c r="D37" s="42"/>
      <c r="E37" s="5"/>
      <c r="F37" s="5">
        <f>F36*8%</f>
        <v>6126984</v>
      </c>
    </row>
    <row r="38" spans="1:7" s="1" customFormat="1" ht="21" customHeight="1">
      <c r="A38" s="42" t="s">
        <v>19</v>
      </c>
      <c r="B38" s="42"/>
      <c r="C38" s="42"/>
      <c r="D38" s="42"/>
      <c r="E38" s="5"/>
      <c r="F38" s="5">
        <f>F36+F37</f>
        <v>82714284</v>
      </c>
    </row>
  </sheetData>
  <autoFilter ref="A12:IT34" xr:uid="{00000000-0009-0000-0000-000000000000}">
    <sortState xmlns:xlrd2="http://schemas.microsoft.com/office/spreadsheetml/2017/richdata2" ref="A13:IT34">
      <sortCondition ref="E12:E34"/>
    </sortState>
  </autoFilter>
  <mergeCells count="5">
    <mergeCell ref="A36:D36"/>
    <mergeCell ref="A37:D37"/>
    <mergeCell ref="A38:D38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0D1F-FE56-43DC-A726-05D97C026240}">
  <dimension ref="A1:IT34"/>
  <sheetViews>
    <sheetView topLeftCell="A28" zoomScale="85" zoomScaleNormal="85" workbookViewId="0">
      <selection activeCell="F38" sqref="F38"/>
    </sheetView>
  </sheetViews>
  <sheetFormatPr defaultColWidth="8.6640625" defaultRowHeight="14.4"/>
  <cols>
    <col min="1" max="1" width="12.6640625" style="11" customWidth="1"/>
    <col min="2" max="2" width="53.33203125" style="12" customWidth="1"/>
    <col min="3" max="3" width="11.33203125" style="13" customWidth="1"/>
    <col min="4" max="4" width="8.109375" style="14" customWidth="1"/>
    <col min="5" max="5" width="12.33203125" style="15" customWidth="1"/>
    <col min="6" max="6" width="17.6640625" style="15" customWidth="1"/>
    <col min="7" max="7" width="12.33203125" style="6" customWidth="1"/>
    <col min="8" max="9" width="14.6640625" style="6" customWidth="1"/>
    <col min="10" max="14" width="8.6640625" style="6"/>
    <col min="15" max="15" width="34.33203125" style="6" customWidth="1"/>
    <col min="16" max="238" width="8.6640625" style="6"/>
    <col min="239" max="16384" width="8.6640625" style="10"/>
  </cols>
  <sheetData>
    <row r="1" spans="1:254" s="6" customFormat="1">
      <c r="A1" s="11"/>
      <c r="B1" s="12"/>
      <c r="C1" s="13"/>
      <c r="D1" s="14"/>
      <c r="E1" s="15"/>
      <c r="F1" s="15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</row>
    <row r="2" spans="1:254" s="6" customFormat="1" ht="15.6">
      <c r="A2" s="40" t="s">
        <v>0</v>
      </c>
      <c r="B2" s="40"/>
      <c r="C2" s="40"/>
      <c r="D2" s="40"/>
      <c r="E2" s="40"/>
      <c r="F2" s="40"/>
    </row>
    <row r="3" spans="1:254" s="6" customFormat="1" ht="13.8">
      <c r="A3" s="16"/>
      <c r="B3" s="16"/>
      <c r="C3" s="16" t="s">
        <v>1</v>
      </c>
      <c r="D3" s="16"/>
      <c r="E3" s="16"/>
      <c r="F3" s="16"/>
    </row>
    <row r="4" spans="1:254" s="7" customFormat="1" ht="13.8">
      <c r="A4" s="17" t="s">
        <v>2</v>
      </c>
      <c r="B4" s="18"/>
      <c r="C4" s="19" t="s">
        <v>3</v>
      </c>
      <c r="D4" s="20"/>
      <c r="E4" s="20"/>
      <c r="F4" s="20"/>
    </row>
    <row r="5" spans="1:254" s="7" customFormat="1" ht="13.8">
      <c r="A5" s="21" t="s">
        <v>4</v>
      </c>
      <c r="B5" s="20"/>
      <c r="C5" s="20"/>
      <c r="D5" s="20"/>
      <c r="E5" s="20"/>
      <c r="F5" s="20"/>
    </row>
    <row r="6" spans="1:254" s="7" customFormat="1" ht="13.8">
      <c r="A6" s="22" t="s">
        <v>5</v>
      </c>
      <c r="B6" s="20"/>
      <c r="C6" s="20"/>
      <c r="D6" s="20"/>
      <c r="E6" s="20"/>
      <c r="F6" s="20"/>
    </row>
    <row r="7" spans="1:254" s="1" customFormat="1" ht="18" customHeight="1">
      <c r="A7" s="23" t="s">
        <v>6</v>
      </c>
      <c r="B7" s="24"/>
      <c r="C7" s="24"/>
      <c r="D7" s="3"/>
      <c r="E7" s="3"/>
      <c r="F7" s="3"/>
    </row>
    <row r="8" spans="1:254" s="1" customFormat="1" ht="31.95" customHeight="1">
      <c r="A8" s="41" t="s">
        <v>7</v>
      </c>
      <c r="B8" s="41"/>
      <c r="C8" s="41"/>
      <c r="D8" s="41"/>
      <c r="E8" s="41"/>
      <c r="F8" s="41"/>
    </row>
    <row r="9" spans="1:254" s="1" customFormat="1" ht="13.8">
      <c r="A9" s="4" t="s">
        <v>8</v>
      </c>
      <c r="B9" s="2"/>
      <c r="C9" s="2"/>
      <c r="D9" s="2"/>
      <c r="E9" s="2"/>
      <c r="F9" s="2"/>
    </row>
    <row r="10" spans="1:254" s="7" customFormat="1" ht="19.95" customHeight="1">
      <c r="A10" s="4" t="s">
        <v>9</v>
      </c>
    </row>
    <row r="11" spans="1:254" s="7" customFormat="1" ht="19.95" customHeight="1">
      <c r="A11" s="4"/>
    </row>
    <row r="12" spans="1:254" s="8" customFormat="1" ht="31.95" customHeight="1">
      <c r="A12" s="25" t="s">
        <v>10</v>
      </c>
      <c r="B12" s="25" t="s">
        <v>11</v>
      </c>
      <c r="C12" s="26" t="s">
        <v>12</v>
      </c>
      <c r="D12" s="26" t="s">
        <v>13</v>
      </c>
      <c r="E12" s="27" t="s">
        <v>14</v>
      </c>
      <c r="F12" s="25" t="s">
        <v>15</v>
      </c>
    </row>
    <row r="13" spans="1:254" s="9" customFormat="1" ht="30" customHeight="1">
      <c r="A13" s="29">
        <v>1</v>
      </c>
      <c r="B13" s="37" t="s">
        <v>125</v>
      </c>
      <c r="C13" s="35" t="s">
        <v>16</v>
      </c>
      <c r="D13" s="29">
        <v>1</v>
      </c>
      <c r="E13" s="38">
        <v>1100000</v>
      </c>
      <c r="F13" s="36">
        <f>D13*E13</f>
        <v>1100000</v>
      </c>
      <c r="G13" s="2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s="9" customFormat="1" ht="30" customHeight="1">
      <c r="A14" s="29">
        <v>2</v>
      </c>
      <c r="B14" s="37" t="s">
        <v>115</v>
      </c>
      <c r="C14" s="35" t="s">
        <v>16</v>
      </c>
      <c r="D14" s="29">
        <v>4</v>
      </c>
      <c r="E14" s="39">
        <v>1700000</v>
      </c>
      <c r="F14" s="36">
        <f>D14*E14</f>
        <v>6800000</v>
      </c>
      <c r="G14" s="2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</row>
    <row r="15" spans="1:254" s="9" customFormat="1" ht="30" customHeight="1">
      <c r="A15" s="29">
        <v>3</v>
      </c>
      <c r="B15" s="37" t="s">
        <v>116</v>
      </c>
      <c r="C15" s="35" t="s">
        <v>16</v>
      </c>
      <c r="D15" s="29">
        <v>1</v>
      </c>
      <c r="E15" s="39">
        <v>1700000</v>
      </c>
      <c r="F15" s="36">
        <f>D15*E15</f>
        <v>1700000</v>
      </c>
      <c r="G15" s="2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</row>
    <row r="16" spans="1:254" s="9" customFormat="1" ht="30" customHeight="1">
      <c r="A16" s="29">
        <v>4</v>
      </c>
      <c r="B16" s="37" t="s">
        <v>116</v>
      </c>
      <c r="C16" s="35" t="s">
        <v>16</v>
      </c>
      <c r="D16" s="29">
        <v>1</v>
      </c>
      <c r="E16" s="39">
        <v>1750000</v>
      </c>
      <c r="F16" s="36">
        <f>D16*E16</f>
        <v>1750000</v>
      </c>
      <c r="G16" s="2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</row>
    <row r="17" spans="1:254" s="9" customFormat="1" ht="30" customHeight="1">
      <c r="A17" s="29">
        <v>5</v>
      </c>
      <c r="B17" s="37" t="s">
        <v>119</v>
      </c>
      <c r="C17" s="35" t="s">
        <v>16</v>
      </c>
      <c r="D17" s="29">
        <v>1</v>
      </c>
      <c r="E17" s="39">
        <v>1900000</v>
      </c>
      <c r="F17" s="36">
        <f>D17*E17</f>
        <v>1900000</v>
      </c>
      <c r="G17" s="2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</row>
    <row r="18" spans="1:254" s="9" customFormat="1" ht="30" customHeight="1">
      <c r="A18" s="29">
        <v>6</v>
      </c>
      <c r="B18" s="37" t="s">
        <v>120</v>
      </c>
      <c r="C18" s="35" t="s">
        <v>16</v>
      </c>
      <c r="D18" s="29">
        <v>2</v>
      </c>
      <c r="E18" s="39">
        <v>1950000</v>
      </c>
      <c r="F18" s="36">
        <f>D18*E18</f>
        <v>3900000</v>
      </c>
      <c r="G18" s="2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</row>
    <row r="19" spans="1:254" s="9" customFormat="1" ht="30" customHeight="1">
      <c r="A19" s="29">
        <v>7</v>
      </c>
      <c r="B19" s="37" t="s">
        <v>120</v>
      </c>
      <c r="C19" s="35" t="s">
        <v>16</v>
      </c>
      <c r="D19" s="29">
        <v>3</v>
      </c>
      <c r="E19" s="39">
        <v>2000000</v>
      </c>
      <c r="F19" s="36">
        <f>D19*E19</f>
        <v>6000000</v>
      </c>
      <c r="G19" s="2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</row>
    <row r="20" spans="1:254" s="9" customFormat="1" ht="30" customHeight="1">
      <c r="A20" s="29">
        <v>8</v>
      </c>
      <c r="B20" s="37" t="s">
        <v>114</v>
      </c>
      <c r="C20" s="35" t="s">
        <v>16</v>
      </c>
      <c r="D20" s="29">
        <v>1</v>
      </c>
      <c r="E20" s="39">
        <v>2050000</v>
      </c>
      <c r="F20" s="36">
        <f>D20*E20</f>
        <v>2050000</v>
      </c>
      <c r="G20" s="2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</row>
    <row r="21" spans="1:254" s="9" customFormat="1" ht="30" customHeight="1">
      <c r="A21" s="29">
        <v>9</v>
      </c>
      <c r="B21" s="37" t="s">
        <v>121</v>
      </c>
      <c r="C21" s="35" t="s">
        <v>16</v>
      </c>
      <c r="D21" s="29">
        <v>2</v>
      </c>
      <c r="E21" s="39">
        <v>2250000</v>
      </c>
      <c r="F21" s="36">
        <f>D21*E21</f>
        <v>4500000</v>
      </c>
      <c r="G21" s="2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</row>
    <row r="22" spans="1:254" s="9" customFormat="1" ht="30" customHeight="1">
      <c r="A22" s="29">
        <v>10</v>
      </c>
      <c r="B22" s="37" t="s">
        <v>122</v>
      </c>
      <c r="C22" s="35" t="s">
        <v>16</v>
      </c>
      <c r="D22" s="29">
        <v>1</v>
      </c>
      <c r="E22" s="39">
        <v>2300000</v>
      </c>
      <c r="F22" s="36">
        <f>D22*E22</f>
        <v>2300000</v>
      </c>
      <c r="G22" s="2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</row>
    <row r="23" spans="1:254" s="9" customFormat="1" ht="30" customHeight="1">
      <c r="A23" s="29">
        <v>11</v>
      </c>
      <c r="B23" s="37" t="s">
        <v>123</v>
      </c>
      <c r="C23" s="35" t="s">
        <v>16</v>
      </c>
      <c r="D23" s="29">
        <v>1</v>
      </c>
      <c r="E23" s="39">
        <v>2300000</v>
      </c>
      <c r="F23" s="36">
        <f>D23*E23</f>
        <v>2300000</v>
      </c>
      <c r="G23" s="2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</row>
    <row r="24" spans="1:254" s="9" customFormat="1" ht="30" customHeight="1">
      <c r="A24" s="29">
        <v>12</v>
      </c>
      <c r="B24" s="37" t="s">
        <v>124</v>
      </c>
      <c r="C24" s="35" t="s">
        <v>16</v>
      </c>
      <c r="D24" s="29">
        <v>1</v>
      </c>
      <c r="E24" s="39">
        <v>2305600</v>
      </c>
      <c r="F24" s="36">
        <f>D24*E24</f>
        <v>2305600</v>
      </c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</row>
    <row r="25" spans="1:254" s="9" customFormat="1" ht="30" customHeight="1">
      <c r="A25" s="29">
        <v>13</v>
      </c>
      <c r="B25" s="37" t="s">
        <v>117</v>
      </c>
      <c r="C25" s="35" t="s">
        <v>16</v>
      </c>
      <c r="D25" s="29">
        <v>1</v>
      </c>
      <c r="E25" s="39">
        <v>2384400</v>
      </c>
      <c r="F25" s="36">
        <f>D25*E25</f>
        <v>2384400</v>
      </c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</row>
    <row r="26" spans="1:254" s="9" customFormat="1" ht="30" customHeight="1">
      <c r="A26" s="29">
        <v>14</v>
      </c>
      <c r="B26" s="37" t="s">
        <v>118</v>
      </c>
      <c r="C26" s="35" t="s">
        <v>16</v>
      </c>
      <c r="D26" s="29">
        <v>1</v>
      </c>
      <c r="E26" s="39">
        <v>2433200</v>
      </c>
      <c r="F26" s="36">
        <f>D26*E26</f>
        <v>2433200</v>
      </c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</row>
    <row r="27" spans="1:254" s="9" customFormat="1" ht="30" customHeight="1">
      <c r="A27" s="29">
        <v>15</v>
      </c>
      <c r="B27" s="37" t="s">
        <v>121</v>
      </c>
      <c r="C27" s="35" t="s">
        <v>16</v>
      </c>
      <c r="D27" s="29">
        <v>1</v>
      </c>
      <c r="E27" s="39">
        <v>2442000</v>
      </c>
      <c r="F27" s="36">
        <f>D27*E27</f>
        <v>2442000</v>
      </c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</row>
    <row r="28" spans="1:254" s="9" customFormat="1" ht="30" customHeight="1">
      <c r="A28" s="29">
        <v>16</v>
      </c>
      <c r="B28" s="37" t="s">
        <v>121</v>
      </c>
      <c r="C28" s="35" t="s">
        <v>16</v>
      </c>
      <c r="D28" s="29">
        <v>1</v>
      </c>
      <c r="E28" s="39">
        <v>2650800</v>
      </c>
      <c r="F28" s="36">
        <f>D28*E28</f>
        <v>2650800</v>
      </c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</row>
    <row r="29" spans="1:254" s="9" customFormat="1" ht="30" customHeight="1">
      <c r="A29" s="29">
        <v>17</v>
      </c>
      <c r="B29" s="37" t="s">
        <v>117</v>
      </c>
      <c r="C29" s="35" t="s">
        <v>16</v>
      </c>
      <c r="D29" s="29">
        <v>1</v>
      </c>
      <c r="E29" s="39">
        <v>2651600</v>
      </c>
      <c r="F29" s="36">
        <f>D29*E29</f>
        <v>2651600</v>
      </c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</row>
    <row r="30" spans="1:254" s="9" customFormat="1" ht="30" customHeight="1">
      <c r="A30" s="29">
        <v>18</v>
      </c>
      <c r="B30" s="37" t="s">
        <v>120</v>
      </c>
      <c r="C30" s="35" t="s">
        <v>16</v>
      </c>
      <c r="D30" s="29">
        <v>1</v>
      </c>
      <c r="E30" s="39">
        <v>3300000</v>
      </c>
      <c r="F30" s="36">
        <f>D30*E30</f>
        <v>3300000</v>
      </c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</row>
    <row r="31" spans="1:254" s="8" customFormat="1" ht="30" customHeight="1">
      <c r="A31" s="29"/>
      <c r="B31" s="34"/>
      <c r="C31" s="35"/>
      <c r="D31" s="29"/>
      <c r="E31" s="33"/>
      <c r="F31" s="36"/>
      <c r="G31" s="28"/>
    </row>
    <row r="32" spans="1:254" s="1" customFormat="1" ht="21" customHeight="1">
      <c r="A32" s="42" t="s">
        <v>17</v>
      </c>
      <c r="B32" s="42"/>
      <c r="C32" s="42"/>
      <c r="D32" s="42"/>
      <c r="E32" s="5"/>
      <c r="F32" s="5">
        <f>SUM(F6:F31)</f>
        <v>52467600</v>
      </c>
      <c r="G32" s="30"/>
    </row>
    <row r="33" spans="1:6" s="1" customFormat="1" ht="21" customHeight="1">
      <c r="A33" s="42" t="s">
        <v>18</v>
      </c>
      <c r="B33" s="42"/>
      <c r="C33" s="42"/>
      <c r="D33" s="42"/>
      <c r="E33" s="5"/>
      <c r="F33" s="5">
        <f>F32*8%</f>
        <v>4197408</v>
      </c>
    </row>
    <row r="34" spans="1:6" s="1" customFormat="1" ht="21" customHeight="1">
      <c r="A34" s="42" t="s">
        <v>19</v>
      </c>
      <c r="B34" s="42"/>
      <c r="C34" s="42"/>
      <c r="D34" s="42"/>
      <c r="E34" s="5"/>
      <c r="F34" s="5">
        <f>F32+F33</f>
        <v>56665008</v>
      </c>
    </row>
  </sheetData>
  <autoFilter ref="A12:IT30" xr:uid="{00000000-0009-0000-0000-000000000000}">
    <sortState xmlns:xlrd2="http://schemas.microsoft.com/office/spreadsheetml/2017/richdata2" ref="A13:IT30">
      <sortCondition ref="E12:E30"/>
    </sortState>
  </autoFilter>
  <mergeCells count="5">
    <mergeCell ref="A32:D32"/>
    <mergeCell ref="A33:D33"/>
    <mergeCell ref="A34:D34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B56D-67D3-405A-BE2D-7350666789DE}">
  <dimension ref="A1:IT46"/>
  <sheetViews>
    <sheetView topLeftCell="A37" zoomScaleNormal="100" workbookViewId="0">
      <selection activeCell="E42" sqref="E42"/>
    </sheetView>
  </sheetViews>
  <sheetFormatPr defaultColWidth="8.6640625" defaultRowHeight="14.4"/>
  <cols>
    <col min="1" max="1" width="12.6640625" style="11" customWidth="1"/>
    <col min="2" max="2" width="53.33203125" style="12" customWidth="1"/>
    <col min="3" max="3" width="11.33203125" style="13" customWidth="1"/>
    <col min="4" max="4" width="8.109375" style="14" customWidth="1"/>
    <col min="5" max="5" width="12.33203125" style="15" customWidth="1"/>
    <col min="6" max="6" width="17.6640625" style="15" customWidth="1"/>
    <col min="7" max="7" width="12.33203125" style="6" customWidth="1"/>
    <col min="8" max="9" width="14.6640625" style="6" customWidth="1"/>
    <col min="10" max="14" width="8.6640625" style="6"/>
    <col min="15" max="15" width="34.33203125" style="6" customWidth="1"/>
    <col min="16" max="238" width="8.6640625" style="6"/>
    <col min="239" max="16384" width="8.6640625" style="10"/>
  </cols>
  <sheetData>
    <row r="1" spans="1:254" s="6" customFormat="1">
      <c r="A1" s="11"/>
      <c r="B1" s="12"/>
      <c r="C1" s="13"/>
      <c r="D1" s="14"/>
      <c r="E1" s="15"/>
      <c r="F1" s="15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</row>
    <row r="2" spans="1:254" s="6" customFormat="1" ht="15.6">
      <c r="A2" s="40" t="s">
        <v>0</v>
      </c>
      <c r="B2" s="40"/>
      <c r="C2" s="40"/>
      <c r="D2" s="40"/>
      <c r="E2" s="40"/>
      <c r="F2" s="40"/>
    </row>
    <row r="3" spans="1:254" s="6" customFormat="1" ht="13.8">
      <c r="A3" s="16"/>
      <c r="B3" s="16"/>
      <c r="C3" s="16" t="s">
        <v>1</v>
      </c>
      <c r="D3" s="16"/>
      <c r="E3" s="16"/>
      <c r="F3" s="16"/>
    </row>
    <row r="4" spans="1:254" s="7" customFormat="1" ht="13.8">
      <c r="A4" s="17" t="s">
        <v>2</v>
      </c>
      <c r="B4" s="18"/>
      <c r="C4" s="19" t="s">
        <v>3</v>
      </c>
      <c r="D4" s="20"/>
      <c r="E4" s="20"/>
      <c r="F4" s="20"/>
    </row>
    <row r="5" spans="1:254" s="7" customFormat="1" ht="13.8">
      <c r="A5" s="21" t="s">
        <v>4</v>
      </c>
      <c r="B5" s="20"/>
      <c r="C5" s="20"/>
      <c r="D5" s="20"/>
      <c r="E5" s="20"/>
      <c r="F5" s="20"/>
    </row>
    <row r="6" spans="1:254" s="7" customFormat="1" ht="13.8">
      <c r="A6" s="22" t="s">
        <v>5</v>
      </c>
      <c r="B6" s="20"/>
      <c r="C6" s="20"/>
      <c r="D6" s="20"/>
      <c r="E6" s="20"/>
      <c r="F6" s="20"/>
    </row>
    <row r="7" spans="1:254" s="1" customFormat="1" ht="18" customHeight="1">
      <c r="A7" s="23" t="s">
        <v>6</v>
      </c>
      <c r="B7" s="24"/>
      <c r="C7" s="24"/>
      <c r="D7" s="3"/>
      <c r="E7" s="3"/>
      <c r="F7" s="3"/>
    </row>
    <row r="8" spans="1:254" s="1" customFormat="1" ht="31.95" customHeight="1">
      <c r="A8" s="41" t="s">
        <v>7</v>
      </c>
      <c r="B8" s="41"/>
      <c r="C8" s="41"/>
      <c r="D8" s="41"/>
      <c r="E8" s="41"/>
      <c r="F8" s="41"/>
    </row>
    <row r="9" spans="1:254" s="1" customFormat="1" ht="13.8">
      <c r="A9" s="4" t="s">
        <v>8</v>
      </c>
      <c r="B9" s="2"/>
      <c r="C9" s="2"/>
      <c r="D9" s="2"/>
      <c r="E9" s="2"/>
      <c r="F9" s="2"/>
    </row>
    <row r="10" spans="1:254" s="7" customFormat="1" ht="19.95" customHeight="1">
      <c r="A10" s="4" t="s">
        <v>9</v>
      </c>
    </row>
    <row r="11" spans="1:254" s="7" customFormat="1" ht="19.95" customHeight="1">
      <c r="A11" s="4"/>
    </row>
    <row r="12" spans="1:254" s="8" customFormat="1" ht="31.95" customHeight="1">
      <c r="A12" s="25" t="s">
        <v>10</v>
      </c>
      <c r="B12" s="25" t="s">
        <v>11</v>
      </c>
      <c r="C12" s="26" t="s">
        <v>12</v>
      </c>
      <c r="D12" s="26" t="s">
        <v>13</v>
      </c>
      <c r="E12" s="27" t="s">
        <v>14</v>
      </c>
      <c r="F12" s="25" t="s">
        <v>15</v>
      </c>
    </row>
    <row r="13" spans="1:254" s="9" customFormat="1" ht="30" customHeight="1">
      <c r="A13" s="29">
        <v>1</v>
      </c>
      <c r="B13" s="37" t="s">
        <v>137</v>
      </c>
      <c r="C13" s="35" t="s">
        <v>16</v>
      </c>
      <c r="D13" s="29">
        <v>1</v>
      </c>
      <c r="E13" s="43">
        <v>800000</v>
      </c>
      <c r="F13" s="36">
        <f>D13*E13</f>
        <v>800000</v>
      </c>
      <c r="G13" s="2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s="8" customFormat="1" ht="30" customHeight="1">
      <c r="A14" s="29">
        <v>2</v>
      </c>
      <c r="B14" s="37" t="s">
        <v>131</v>
      </c>
      <c r="C14" s="35" t="s">
        <v>16</v>
      </c>
      <c r="D14" s="29">
        <v>1</v>
      </c>
      <c r="E14" s="33">
        <v>850000</v>
      </c>
      <c r="F14" s="36">
        <f>D14*E14</f>
        <v>850000</v>
      </c>
      <c r="G14" s="28"/>
    </row>
    <row r="15" spans="1:254" s="8" customFormat="1" ht="30" customHeight="1">
      <c r="A15" s="29">
        <v>3</v>
      </c>
      <c r="B15" s="37" t="s">
        <v>22</v>
      </c>
      <c r="C15" s="35" t="s">
        <v>16</v>
      </c>
      <c r="D15" s="29">
        <v>2</v>
      </c>
      <c r="E15" s="33">
        <v>950000</v>
      </c>
      <c r="F15" s="36">
        <f>D15*E15</f>
        <v>1900000</v>
      </c>
      <c r="G15" s="28"/>
    </row>
    <row r="16" spans="1:254" s="8" customFormat="1" ht="30" customHeight="1">
      <c r="A16" s="29">
        <v>4</v>
      </c>
      <c r="B16" s="37" t="s">
        <v>139</v>
      </c>
      <c r="C16" s="35" t="s">
        <v>16</v>
      </c>
      <c r="D16" s="29">
        <v>1</v>
      </c>
      <c r="E16" s="33">
        <v>1000000</v>
      </c>
      <c r="F16" s="36">
        <f>D16*E16</f>
        <v>1000000</v>
      </c>
      <c r="G16" s="28"/>
    </row>
    <row r="17" spans="1:7" s="8" customFormat="1" ht="30" customHeight="1">
      <c r="A17" s="29">
        <v>5</v>
      </c>
      <c r="B17" s="37" t="s">
        <v>146</v>
      </c>
      <c r="C17" s="35" t="s">
        <v>16</v>
      </c>
      <c r="D17" s="29">
        <v>1</v>
      </c>
      <c r="E17" s="33">
        <v>1000000</v>
      </c>
      <c r="F17" s="36">
        <f>D17*E17</f>
        <v>1000000</v>
      </c>
      <c r="G17" s="28"/>
    </row>
    <row r="18" spans="1:7" s="8" customFormat="1" ht="30" customHeight="1">
      <c r="A18" s="29">
        <v>6</v>
      </c>
      <c r="B18" s="37" t="s">
        <v>146</v>
      </c>
      <c r="C18" s="35" t="s">
        <v>16</v>
      </c>
      <c r="D18" s="29">
        <v>1</v>
      </c>
      <c r="E18" s="33">
        <v>1050000</v>
      </c>
      <c r="F18" s="36">
        <f>D18*E18</f>
        <v>1050000</v>
      </c>
      <c r="G18" s="28"/>
    </row>
    <row r="19" spans="1:7" s="8" customFormat="1" ht="30" customHeight="1">
      <c r="A19" s="29">
        <v>7</v>
      </c>
      <c r="B19" s="37" t="s">
        <v>126</v>
      </c>
      <c r="C19" s="35" t="s">
        <v>16</v>
      </c>
      <c r="D19" s="29">
        <v>1</v>
      </c>
      <c r="E19" s="33">
        <v>1250000</v>
      </c>
      <c r="F19" s="36">
        <f>D19*E19</f>
        <v>1250000</v>
      </c>
      <c r="G19" s="28"/>
    </row>
    <row r="20" spans="1:7" s="8" customFormat="1" ht="30" customHeight="1">
      <c r="A20" s="29">
        <v>8</v>
      </c>
      <c r="B20" s="37" t="s">
        <v>134</v>
      </c>
      <c r="C20" s="35" t="s">
        <v>16</v>
      </c>
      <c r="D20" s="29">
        <v>1</v>
      </c>
      <c r="E20" s="33">
        <v>1350000</v>
      </c>
      <c r="F20" s="36">
        <f>D20*E20</f>
        <v>1350000</v>
      </c>
      <c r="G20" s="28"/>
    </row>
    <row r="21" spans="1:7" s="8" customFormat="1" ht="30" customHeight="1">
      <c r="A21" s="29">
        <v>9</v>
      </c>
      <c r="B21" s="37" t="s">
        <v>134</v>
      </c>
      <c r="C21" s="35" t="s">
        <v>16</v>
      </c>
      <c r="D21" s="29">
        <v>2</v>
      </c>
      <c r="E21" s="33">
        <v>1400000</v>
      </c>
      <c r="F21" s="36">
        <f>D21*E21</f>
        <v>2800000</v>
      </c>
      <c r="G21" s="28"/>
    </row>
    <row r="22" spans="1:7" s="8" customFormat="1" ht="30" customHeight="1">
      <c r="A22" s="29">
        <v>10</v>
      </c>
      <c r="B22" s="37" t="s">
        <v>138</v>
      </c>
      <c r="C22" s="35" t="s">
        <v>16</v>
      </c>
      <c r="D22" s="29">
        <v>1</v>
      </c>
      <c r="E22" s="33">
        <v>1400000</v>
      </c>
      <c r="F22" s="36">
        <f>D22*E22</f>
        <v>1400000</v>
      </c>
      <c r="G22" s="28"/>
    </row>
    <row r="23" spans="1:7" s="8" customFormat="1" ht="30" customHeight="1">
      <c r="A23" s="29">
        <v>11</v>
      </c>
      <c r="B23" s="37" t="s">
        <v>127</v>
      </c>
      <c r="C23" s="35" t="s">
        <v>16</v>
      </c>
      <c r="D23" s="29">
        <v>1</v>
      </c>
      <c r="E23" s="33">
        <v>1400000</v>
      </c>
      <c r="F23" s="36">
        <f>D23*E23</f>
        <v>1400000</v>
      </c>
      <c r="G23" s="28"/>
    </row>
    <row r="24" spans="1:7" s="8" customFormat="1" ht="30" customHeight="1">
      <c r="A24" s="29">
        <v>12</v>
      </c>
      <c r="B24" s="37" t="s">
        <v>136</v>
      </c>
      <c r="C24" s="35" t="s">
        <v>16</v>
      </c>
      <c r="D24" s="29">
        <v>1</v>
      </c>
      <c r="E24" s="33">
        <v>1550000</v>
      </c>
      <c r="F24" s="36">
        <f>D24*E24</f>
        <v>1550000</v>
      </c>
      <c r="G24" s="28"/>
    </row>
    <row r="25" spans="1:7" s="8" customFormat="1" ht="30" customHeight="1">
      <c r="A25" s="29">
        <v>13</v>
      </c>
      <c r="B25" s="37" t="s">
        <v>138</v>
      </c>
      <c r="C25" s="35" t="s">
        <v>16</v>
      </c>
      <c r="D25" s="29">
        <v>1</v>
      </c>
      <c r="E25" s="33">
        <v>1570000</v>
      </c>
      <c r="F25" s="36">
        <f>D25*E25</f>
        <v>1570000</v>
      </c>
      <c r="G25" s="28"/>
    </row>
    <row r="26" spans="1:7" s="8" customFormat="1" ht="30" customHeight="1">
      <c r="A26" s="29">
        <v>14</v>
      </c>
      <c r="B26" s="37" t="s">
        <v>140</v>
      </c>
      <c r="C26" s="35" t="s">
        <v>16</v>
      </c>
      <c r="D26" s="29">
        <v>3</v>
      </c>
      <c r="E26" s="33">
        <v>1600000</v>
      </c>
      <c r="F26" s="36">
        <f>D26*E26</f>
        <v>4800000</v>
      </c>
      <c r="G26" s="28"/>
    </row>
    <row r="27" spans="1:7" s="8" customFormat="1" ht="30" customHeight="1">
      <c r="A27" s="29">
        <v>15</v>
      </c>
      <c r="B27" s="37" t="s">
        <v>145</v>
      </c>
      <c r="C27" s="35" t="s">
        <v>16</v>
      </c>
      <c r="D27" s="29">
        <v>1</v>
      </c>
      <c r="E27" s="33">
        <v>1650000</v>
      </c>
      <c r="F27" s="36">
        <f>D27*E27</f>
        <v>1650000</v>
      </c>
      <c r="G27" s="28"/>
    </row>
    <row r="28" spans="1:7" s="8" customFormat="1" ht="30" customHeight="1">
      <c r="A28" s="29">
        <v>16</v>
      </c>
      <c r="B28" s="37" t="s">
        <v>141</v>
      </c>
      <c r="C28" s="35" t="s">
        <v>16</v>
      </c>
      <c r="D28" s="29">
        <v>1</v>
      </c>
      <c r="E28" s="33">
        <v>1700000</v>
      </c>
      <c r="F28" s="36">
        <f>D28*E28</f>
        <v>1700000</v>
      </c>
      <c r="G28" s="28"/>
    </row>
    <row r="29" spans="1:7" s="8" customFormat="1" ht="30" customHeight="1">
      <c r="A29" s="29">
        <v>17</v>
      </c>
      <c r="B29" s="37" t="s">
        <v>144</v>
      </c>
      <c r="C29" s="35" t="s">
        <v>16</v>
      </c>
      <c r="D29" s="29">
        <v>1</v>
      </c>
      <c r="E29" s="33">
        <v>1750000</v>
      </c>
      <c r="F29" s="36">
        <f>D29*E29</f>
        <v>1750000</v>
      </c>
      <c r="G29" s="28"/>
    </row>
    <row r="30" spans="1:7" s="8" customFormat="1" ht="30" customHeight="1">
      <c r="A30" s="29">
        <v>18</v>
      </c>
      <c r="B30" s="37" t="s">
        <v>128</v>
      </c>
      <c r="C30" s="35" t="s">
        <v>16</v>
      </c>
      <c r="D30" s="29">
        <v>1</v>
      </c>
      <c r="E30" s="33">
        <v>1800000</v>
      </c>
      <c r="F30" s="36">
        <f>D30*E30</f>
        <v>1800000</v>
      </c>
      <c r="G30" s="28"/>
    </row>
    <row r="31" spans="1:7" s="8" customFormat="1" ht="30" customHeight="1">
      <c r="A31" s="29">
        <v>19</v>
      </c>
      <c r="B31" s="37" t="s">
        <v>147</v>
      </c>
      <c r="C31" s="35" t="s">
        <v>16</v>
      </c>
      <c r="D31" s="29">
        <v>1</v>
      </c>
      <c r="E31" s="33">
        <v>1800000</v>
      </c>
      <c r="F31" s="36">
        <f>D31*E31</f>
        <v>1800000</v>
      </c>
      <c r="G31" s="28"/>
    </row>
    <row r="32" spans="1:7" s="8" customFormat="1" ht="30" customHeight="1">
      <c r="A32" s="29">
        <v>20</v>
      </c>
      <c r="B32" s="37" t="s">
        <v>128</v>
      </c>
      <c r="C32" s="35" t="s">
        <v>16</v>
      </c>
      <c r="D32" s="29">
        <v>2</v>
      </c>
      <c r="E32" s="33">
        <v>1850000</v>
      </c>
      <c r="F32" s="36">
        <f>D32*E32</f>
        <v>3700000</v>
      </c>
      <c r="G32" s="28"/>
    </row>
    <row r="33" spans="1:7" s="8" customFormat="1" ht="30" customHeight="1">
      <c r="A33" s="29">
        <v>21</v>
      </c>
      <c r="B33" s="37" t="s">
        <v>138</v>
      </c>
      <c r="C33" s="35" t="s">
        <v>16</v>
      </c>
      <c r="D33" s="29">
        <v>1</v>
      </c>
      <c r="E33" s="33">
        <v>1925000</v>
      </c>
      <c r="F33" s="36">
        <f>D33*E33</f>
        <v>1925000</v>
      </c>
      <c r="G33" s="28"/>
    </row>
    <row r="34" spans="1:7" s="8" customFormat="1" ht="30" customHeight="1">
      <c r="A34" s="29">
        <v>22</v>
      </c>
      <c r="B34" s="37" t="s">
        <v>129</v>
      </c>
      <c r="C34" s="35" t="s">
        <v>16</v>
      </c>
      <c r="D34" s="29">
        <v>1</v>
      </c>
      <c r="E34" s="33">
        <v>1950000</v>
      </c>
      <c r="F34" s="36">
        <f>D34*E34</f>
        <v>1950000</v>
      </c>
      <c r="G34" s="28"/>
    </row>
    <row r="35" spans="1:7" s="8" customFormat="1" ht="30" customHeight="1">
      <c r="A35" s="29">
        <v>23</v>
      </c>
      <c r="B35" s="37" t="s">
        <v>142</v>
      </c>
      <c r="C35" s="35" t="s">
        <v>16</v>
      </c>
      <c r="D35" s="29">
        <v>1</v>
      </c>
      <c r="E35" s="33">
        <v>1950000</v>
      </c>
      <c r="F35" s="36">
        <f>D35*E35</f>
        <v>1950000</v>
      </c>
      <c r="G35" s="28"/>
    </row>
    <row r="36" spans="1:7" s="8" customFormat="1" ht="30" customHeight="1">
      <c r="A36" s="29">
        <v>24</v>
      </c>
      <c r="B36" s="37" t="s">
        <v>130</v>
      </c>
      <c r="C36" s="35" t="s">
        <v>16</v>
      </c>
      <c r="D36" s="29">
        <v>1</v>
      </c>
      <c r="E36" s="33">
        <v>2000000</v>
      </c>
      <c r="F36" s="36">
        <f>D36*E36</f>
        <v>2000000</v>
      </c>
      <c r="G36" s="28"/>
    </row>
    <row r="37" spans="1:7" s="8" customFormat="1" ht="30" customHeight="1">
      <c r="A37" s="29">
        <v>25</v>
      </c>
      <c r="B37" s="37" t="s">
        <v>133</v>
      </c>
      <c r="C37" s="35" t="s">
        <v>16</v>
      </c>
      <c r="D37" s="29">
        <v>1</v>
      </c>
      <c r="E37" s="33">
        <v>2000000</v>
      </c>
      <c r="F37" s="36">
        <f>D37*E37</f>
        <v>2000000</v>
      </c>
      <c r="G37" s="28"/>
    </row>
    <row r="38" spans="1:7" s="8" customFormat="1" ht="30" customHeight="1">
      <c r="A38" s="29">
        <v>26</v>
      </c>
      <c r="B38" s="37" t="s">
        <v>127</v>
      </c>
      <c r="C38" s="35" t="s">
        <v>16</v>
      </c>
      <c r="D38" s="29">
        <v>1</v>
      </c>
      <c r="E38" s="33">
        <v>2025000</v>
      </c>
      <c r="F38" s="36">
        <f>D38*E38</f>
        <v>2025000</v>
      </c>
      <c r="G38" s="28"/>
    </row>
    <row r="39" spans="1:7" s="8" customFormat="1" ht="30" customHeight="1">
      <c r="A39" s="29">
        <v>27</v>
      </c>
      <c r="B39" s="37" t="s">
        <v>143</v>
      </c>
      <c r="C39" s="35" t="s">
        <v>16</v>
      </c>
      <c r="D39" s="29">
        <v>1</v>
      </c>
      <c r="E39" s="33">
        <v>2050000</v>
      </c>
      <c r="F39" s="36">
        <f>D39*E39</f>
        <v>2050000</v>
      </c>
      <c r="G39" s="28"/>
    </row>
    <row r="40" spans="1:7" s="8" customFormat="1" ht="30" customHeight="1">
      <c r="A40" s="29">
        <v>28</v>
      </c>
      <c r="B40" s="37" t="s">
        <v>135</v>
      </c>
      <c r="C40" s="35" t="s">
        <v>16</v>
      </c>
      <c r="D40" s="29">
        <v>1</v>
      </c>
      <c r="E40" s="33">
        <v>2106400</v>
      </c>
      <c r="F40" s="36">
        <f>D40*E40</f>
        <v>2106400</v>
      </c>
      <c r="G40" s="28"/>
    </row>
    <row r="41" spans="1:7" s="8" customFormat="1" ht="30" customHeight="1">
      <c r="A41" s="29">
        <v>29</v>
      </c>
      <c r="B41" s="37" t="s">
        <v>140</v>
      </c>
      <c r="C41" s="35" t="s">
        <v>16</v>
      </c>
      <c r="D41" s="29">
        <v>1</v>
      </c>
      <c r="E41" s="33">
        <v>2200000</v>
      </c>
      <c r="F41" s="36">
        <f>D41*E41</f>
        <v>2200000</v>
      </c>
      <c r="G41" s="28"/>
    </row>
    <row r="42" spans="1:7" s="8" customFormat="1" ht="30" customHeight="1">
      <c r="A42" s="29">
        <v>30</v>
      </c>
      <c r="B42" s="37" t="s">
        <v>132</v>
      </c>
      <c r="C42" s="35" t="s">
        <v>16</v>
      </c>
      <c r="D42" s="29">
        <v>1</v>
      </c>
      <c r="E42" s="33">
        <v>2400000</v>
      </c>
      <c r="F42" s="36">
        <f>D42*E42</f>
        <v>2400000</v>
      </c>
      <c r="G42" s="28"/>
    </row>
    <row r="43" spans="1:7" s="8" customFormat="1" ht="30" customHeight="1">
      <c r="A43" s="29"/>
      <c r="B43" s="34"/>
      <c r="C43" s="35"/>
      <c r="D43" s="29"/>
      <c r="E43" s="33"/>
      <c r="F43" s="36"/>
      <c r="G43" s="28"/>
    </row>
    <row r="44" spans="1:7" s="1" customFormat="1" ht="21" customHeight="1">
      <c r="A44" s="42" t="s">
        <v>17</v>
      </c>
      <c r="B44" s="42"/>
      <c r="C44" s="42"/>
      <c r="D44" s="42"/>
      <c r="E44" s="5"/>
      <c r="F44" s="5">
        <f>SUM(F6:F43)</f>
        <v>55726400</v>
      </c>
      <c r="G44" s="30"/>
    </row>
    <row r="45" spans="1:7" s="1" customFormat="1" ht="21" customHeight="1">
      <c r="A45" s="42" t="s">
        <v>18</v>
      </c>
      <c r="B45" s="42"/>
      <c r="C45" s="42"/>
      <c r="D45" s="42"/>
      <c r="E45" s="5"/>
      <c r="F45" s="5">
        <f>F44*8%</f>
        <v>4458112</v>
      </c>
    </row>
    <row r="46" spans="1:7" s="1" customFormat="1" ht="21" customHeight="1">
      <c r="A46" s="42" t="s">
        <v>19</v>
      </c>
      <c r="B46" s="42"/>
      <c r="C46" s="42"/>
      <c r="D46" s="42"/>
      <c r="E46" s="5"/>
      <c r="F46" s="5">
        <f>F44+F45</f>
        <v>60184512</v>
      </c>
    </row>
  </sheetData>
  <autoFilter ref="A12:IT21" xr:uid="{00000000-0009-0000-0000-000000000000}">
    <sortState xmlns:xlrd2="http://schemas.microsoft.com/office/spreadsheetml/2017/richdata2" ref="A13:IT61">
      <sortCondition ref="E12:E21"/>
    </sortState>
  </autoFilter>
  <mergeCells count="5">
    <mergeCell ref="A44:D44"/>
    <mergeCell ref="A45:D45"/>
    <mergeCell ref="A46:D46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3450-E8CA-4904-9C1D-D0A909D1A916}">
  <dimension ref="A1:IT50"/>
  <sheetViews>
    <sheetView tabSelected="1" topLeftCell="A37" zoomScaleNormal="100" workbookViewId="0">
      <selection activeCell="B45" sqref="B45"/>
    </sheetView>
  </sheetViews>
  <sheetFormatPr defaultColWidth="8.6640625" defaultRowHeight="14.4"/>
  <cols>
    <col min="1" max="1" width="12.6640625" style="11" customWidth="1"/>
    <col min="2" max="2" width="53.33203125" style="12" customWidth="1"/>
    <col min="3" max="3" width="11.33203125" style="13" customWidth="1"/>
    <col min="4" max="4" width="8.109375" style="14" customWidth="1"/>
    <col min="5" max="5" width="12.33203125" style="15" customWidth="1"/>
    <col min="6" max="6" width="17.6640625" style="15" customWidth="1"/>
    <col min="7" max="7" width="12.33203125" style="6" customWidth="1"/>
    <col min="8" max="9" width="14.6640625" style="6" customWidth="1"/>
    <col min="10" max="14" width="8.6640625" style="6"/>
    <col min="15" max="15" width="34.33203125" style="6" customWidth="1"/>
    <col min="16" max="238" width="8.6640625" style="6"/>
    <col min="239" max="16384" width="8.6640625" style="10"/>
  </cols>
  <sheetData>
    <row r="1" spans="1:254" s="6" customFormat="1">
      <c r="A1" s="11"/>
      <c r="B1" s="12"/>
      <c r="C1" s="13"/>
      <c r="D1" s="14"/>
      <c r="E1" s="15"/>
      <c r="F1" s="15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</row>
    <row r="2" spans="1:254" s="6" customFormat="1" ht="15.6">
      <c r="A2" s="40" t="s">
        <v>0</v>
      </c>
      <c r="B2" s="40"/>
      <c r="C2" s="40"/>
      <c r="D2" s="40"/>
      <c r="E2" s="40"/>
      <c r="F2" s="40"/>
    </row>
    <row r="3" spans="1:254" s="6" customFormat="1" ht="13.8">
      <c r="A3" s="16"/>
      <c r="B3" s="16"/>
      <c r="C3" s="16" t="s">
        <v>1</v>
      </c>
      <c r="D3" s="16"/>
      <c r="E3" s="16"/>
      <c r="F3" s="16"/>
    </row>
    <row r="4" spans="1:254" s="7" customFormat="1" ht="13.8">
      <c r="A4" s="17" t="s">
        <v>2</v>
      </c>
      <c r="B4" s="18"/>
      <c r="C4" s="19" t="s">
        <v>3</v>
      </c>
      <c r="D4" s="20"/>
      <c r="E4" s="20"/>
      <c r="F4" s="20"/>
    </row>
    <row r="5" spans="1:254" s="7" customFormat="1" ht="13.8">
      <c r="A5" s="21" t="s">
        <v>4</v>
      </c>
      <c r="B5" s="20"/>
      <c r="C5" s="20"/>
      <c r="D5" s="20"/>
      <c r="E5" s="20"/>
      <c r="F5" s="20"/>
    </row>
    <row r="6" spans="1:254" s="7" customFormat="1" ht="13.8">
      <c r="A6" s="22" t="s">
        <v>5</v>
      </c>
      <c r="B6" s="20"/>
      <c r="C6" s="20"/>
      <c r="D6" s="20"/>
      <c r="E6" s="20"/>
      <c r="F6" s="20"/>
    </row>
    <row r="7" spans="1:254" s="1" customFormat="1" ht="18" customHeight="1">
      <c r="A7" s="23" t="s">
        <v>6</v>
      </c>
      <c r="B7" s="24"/>
      <c r="C7" s="24"/>
      <c r="D7" s="3"/>
      <c r="E7" s="3"/>
      <c r="F7" s="3"/>
    </row>
    <row r="8" spans="1:254" s="1" customFormat="1" ht="31.95" customHeight="1">
      <c r="A8" s="41" t="s">
        <v>7</v>
      </c>
      <c r="B8" s="41"/>
      <c r="C8" s="41"/>
      <c r="D8" s="41"/>
      <c r="E8" s="41"/>
      <c r="F8" s="41"/>
    </row>
    <row r="9" spans="1:254" s="1" customFormat="1" ht="13.8">
      <c r="A9" s="4" t="s">
        <v>8</v>
      </c>
      <c r="B9" s="2"/>
      <c r="C9" s="2"/>
      <c r="D9" s="2"/>
      <c r="E9" s="2"/>
      <c r="F9" s="2"/>
    </row>
    <row r="10" spans="1:254" s="7" customFormat="1" ht="19.95" customHeight="1">
      <c r="A10" s="4" t="s">
        <v>9</v>
      </c>
    </row>
    <row r="11" spans="1:254" s="7" customFormat="1" ht="19.95" customHeight="1">
      <c r="A11" s="4"/>
    </row>
    <row r="12" spans="1:254" s="8" customFormat="1" ht="31.95" customHeight="1">
      <c r="A12" s="25" t="s">
        <v>10</v>
      </c>
      <c r="B12" s="25" t="s">
        <v>11</v>
      </c>
      <c r="C12" s="26" t="s">
        <v>12</v>
      </c>
      <c r="D12" s="26" t="s">
        <v>13</v>
      </c>
      <c r="E12" s="27" t="s">
        <v>14</v>
      </c>
      <c r="F12" s="25" t="s">
        <v>15</v>
      </c>
    </row>
    <row r="13" spans="1:254" s="9" customFormat="1" ht="30" customHeight="1">
      <c r="A13" s="29">
        <v>1</v>
      </c>
      <c r="B13" s="37" t="s">
        <v>155</v>
      </c>
      <c r="C13" s="35" t="s">
        <v>16</v>
      </c>
      <c r="D13" s="29">
        <v>1</v>
      </c>
      <c r="E13" s="33">
        <v>650000</v>
      </c>
      <c r="F13" s="36">
        <f>D13*E13</f>
        <v>650000</v>
      </c>
      <c r="G13" s="2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s="9" customFormat="1" ht="30" customHeight="1">
      <c r="A14" s="29">
        <v>2</v>
      </c>
      <c r="B14" s="37" t="s">
        <v>23</v>
      </c>
      <c r="C14" s="35" t="s">
        <v>16</v>
      </c>
      <c r="D14" s="29">
        <v>1</v>
      </c>
      <c r="E14" s="33">
        <v>750000</v>
      </c>
      <c r="F14" s="36">
        <f>D14*E14</f>
        <v>750000</v>
      </c>
      <c r="G14" s="2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</row>
    <row r="15" spans="1:254" s="9" customFormat="1" ht="30" customHeight="1">
      <c r="A15" s="29">
        <v>3</v>
      </c>
      <c r="B15" s="37" t="s">
        <v>166</v>
      </c>
      <c r="C15" s="35" t="s">
        <v>16</v>
      </c>
      <c r="D15" s="29">
        <v>1</v>
      </c>
      <c r="E15" s="33">
        <v>780000</v>
      </c>
      <c r="F15" s="36">
        <f>D15*E15</f>
        <v>780000</v>
      </c>
      <c r="G15" s="2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</row>
    <row r="16" spans="1:254" s="9" customFormat="1" ht="30" customHeight="1">
      <c r="A16" s="29">
        <v>4</v>
      </c>
      <c r="B16" s="37" t="s">
        <v>160</v>
      </c>
      <c r="C16" s="35" t="s">
        <v>16</v>
      </c>
      <c r="D16" s="29">
        <v>1</v>
      </c>
      <c r="E16" s="33">
        <v>850000</v>
      </c>
      <c r="F16" s="36">
        <f>D16*E16</f>
        <v>850000</v>
      </c>
      <c r="G16" s="2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</row>
    <row r="17" spans="1:254" s="9" customFormat="1" ht="30" customHeight="1">
      <c r="A17" s="29">
        <v>5</v>
      </c>
      <c r="B17" s="37" t="s">
        <v>148</v>
      </c>
      <c r="C17" s="35" t="s">
        <v>16</v>
      </c>
      <c r="D17" s="29">
        <v>1</v>
      </c>
      <c r="E17" s="33">
        <v>950000</v>
      </c>
      <c r="F17" s="36">
        <f>D17*E17</f>
        <v>950000</v>
      </c>
      <c r="G17" s="2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</row>
    <row r="18" spans="1:254" s="9" customFormat="1" ht="30" customHeight="1">
      <c r="A18" s="29">
        <v>6</v>
      </c>
      <c r="B18" s="37" t="s">
        <v>150</v>
      </c>
      <c r="C18" s="35" t="s">
        <v>16</v>
      </c>
      <c r="D18" s="29">
        <v>1</v>
      </c>
      <c r="E18" s="33">
        <v>1030000</v>
      </c>
      <c r="F18" s="36">
        <f>D18*E18</f>
        <v>1030000</v>
      </c>
      <c r="G18" s="2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</row>
    <row r="19" spans="1:254" s="9" customFormat="1" ht="30" customHeight="1">
      <c r="A19" s="29">
        <v>7</v>
      </c>
      <c r="B19" s="37" t="s">
        <v>167</v>
      </c>
      <c r="C19" s="35" t="s">
        <v>16</v>
      </c>
      <c r="D19" s="29">
        <v>1</v>
      </c>
      <c r="E19" s="33">
        <v>1080000</v>
      </c>
      <c r="F19" s="36">
        <f>D19*E19</f>
        <v>1080000</v>
      </c>
      <c r="G19" s="2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</row>
    <row r="20" spans="1:254" s="9" customFormat="1" ht="30" customHeight="1">
      <c r="A20" s="29">
        <v>8</v>
      </c>
      <c r="B20" s="37" t="s">
        <v>149</v>
      </c>
      <c r="C20" s="35" t="s">
        <v>16</v>
      </c>
      <c r="D20" s="29">
        <v>1</v>
      </c>
      <c r="E20" s="33">
        <v>1150000</v>
      </c>
      <c r="F20" s="36">
        <f>D20*E20</f>
        <v>1150000</v>
      </c>
      <c r="G20" s="2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</row>
    <row r="21" spans="1:254" s="9" customFormat="1" ht="30" customHeight="1">
      <c r="A21" s="29">
        <v>9</v>
      </c>
      <c r="B21" s="37" t="s">
        <v>153</v>
      </c>
      <c r="C21" s="35" t="s">
        <v>16</v>
      </c>
      <c r="D21" s="29">
        <v>1</v>
      </c>
      <c r="E21" s="33">
        <v>1200000</v>
      </c>
      <c r="F21" s="36">
        <f>D21*E21</f>
        <v>1200000</v>
      </c>
      <c r="G21" s="2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</row>
    <row r="22" spans="1:254" s="9" customFormat="1" ht="30" customHeight="1">
      <c r="A22" s="29">
        <v>10</v>
      </c>
      <c r="B22" s="37" t="s">
        <v>156</v>
      </c>
      <c r="C22" s="35" t="s">
        <v>16</v>
      </c>
      <c r="D22" s="29">
        <v>1</v>
      </c>
      <c r="E22" s="33">
        <v>1200000</v>
      </c>
      <c r="F22" s="36">
        <f>D22*E22</f>
        <v>1200000</v>
      </c>
      <c r="G22" s="2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</row>
    <row r="23" spans="1:254" s="9" customFormat="1" ht="30" customHeight="1">
      <c r="A23" s="29">
        <v>11</v>
      </c>
      <c r="B23" s="37" t="s">
        <v>152</v>
      </c>
      <c r="C23" s="35" t="s">
        <v>16</v>
      </c>
      <c r="D23" s="29">
        <v>1</v>
      </c>
      <c r="E23" s="33">
        <v>1300000</v>
      </c>
      <c r="F23" s="36">
        <f>D23*E23</f>
        <v>1300000</v>
      </c>
      <c r="G23" s="2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</row>
    <row r="24" spans="1:254" s="9" customFormat="1" ht="30" customHeight="1">
      <c r="A24" s="29">
        <v>12</v>
      </c>
      <c r="B24" s="37" t="s">
        <v>157</v>
      </c>
      <c r="C24" s="35" t="s">
        <v>16</v>
      </c>
      <c r="D24" s="29">
        <v>2</v>
      </c>
      <c r="E24" s="33">
        <v>1300000</v>
      </c>
      <c r="F24" s="36">
        <f>D24*E24</f>
        <v>2600000</v>
      </c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</row>
    <row r="25" spans="1:254" s="9" customFormat="1" ht="30" customHeight="1">
      <c r="A25" s="29">
        <v>13</v>
      </c>
      <c r="B25" s="37" t="s">
        <v>164</v>
      </c>
      <c r="C25" s="35" t="s">
        <v>16</v>
      </c>
      <c r="D25" s="29">
        <v>1</v>
      </c>
      <c r="E25" s="33">
        <v>1380000</v>
      </c>
      <c r="F25" s="36">
        <f>D25*E25</f>
        <v>1380000</v>
      </c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</row>
    <row r="26" spans="1:254" s="9" customFormat="1" ht="30" customHeight="1">
      <c r="A26" s="29">
        <v>14</v>
      </c>
      <c r="B26" s="37" t="s">
        <v>151</v>
      </c>
      <c r="C26" s="35" t="s">
        <v>16</v>
      </c>
      <c r="D26" s="29">
        <v>1</v>
      </c>
      <c r="E26" s="33">
        <v>1450000</v>
      </c>
      <c r="F26" s="36">
        <f>D26*E26</f>
        <v>1450000</v>
      </c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</row>
    <row r="27" spans="1:254" s="9" customFormat="1" ht="30" customHeight="1">
      <c r="A27" s="29">
        <v>15</v>
      </c>
      <c r="B27" s="37" t="s">
        <v>158</v>
      </c>
      <c r="C27" s="35" t="s">
        <v>16</v>
      </c>
      <c r="D27" s="29">
        <v>1</v>
      </c>
      <c r="E27" s="33">
        <v>1450000</v>
      </c>
      <c r="F27" s="36">
        <f>D27*E27</f>
        <v>1450000</v>
      </c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</row>
    <row r="28" spans="1:254" s="9" customFormat="1" ht="30" customHeight="1">
      <c r="A28" s="29">
        <v>16</v>
      </c>
      <c r="B28" s="37" t="s">
        <v>151</v>
      </c>
      <c r="C28" s="35" t="s">
        <v>16</v>
      </c>
      <c r="D28" s="29">
        <v>1</v>
      </c>
      <c r="E28" s="33">
        <v>1500000</v>
      </c>
      <c r="F28" s="36">
        <f>D28*E28</f>
        <v>1500000</v>
      </c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</row>
    <row r="29" spans="1:254" s="9" customFormat="1" ht="30" customHeight="1">
      <c r="A29" s="29">
        <v>17</v>
      </c>
      <c r="B29" s="37" t="s">
        <v>165</v>
      </c>
      <c r="C29" s="35" t="s">
        <v>16</v>
      </c>
      <c r="D29" s="29">
        <v>1</v>
      </c>
      <c r="E29" s="33">
        <v>1510000</v>
      </c>
      <c r="F29" s="36">
        <f>D29*E29</f>
        <v>1510000</v>
      </c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</row>
    <row r="30" spans="1:254" s="9" customFormat="1" ht="30" customHeight="1">
      <c r="A30" s="29">
        <v>18</v>
      </c>
      <c r="B30" s="37" t="s">
        <v>149</v>
      </c>
      <c r="C30" s="35" t="s">
        <v>16</v>
      </c>
      <c r="D30" s="29">
        <v>1</v>
      </c>
      <c r="E30" s="33">
        <v>1567200</v>
      </c>
      <c r="F30" s="36">
        <f>D30*E30</f>
        <v>1567200</v>
      </c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</row>
    <row r="31" spans="1:254" s="9" customFormat="1" ht="30" customHeight="1">
      <c r="A31" s="29">
        <v>19</v>
      </c>
      <c r="B31" s="37" t="s">
        <v>154</v>
      </c>
      <c r="C31" s="35" t="s">
        <v>16</v>
      </c>
      <c r="D31" s="29">
        <v>1</v>
      </c>
      <c r="E31" s="33">
        <v>1600000</v>
      </c>
      <c r="F31" s="36">
        <f>D31*E31</f>
        <v>1600000</v>
      </c>
      <c r="G31" s="2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</row>
    <row r="32" spans="1:254" s="9" customFormat="1" ht="30" customHeight="1">
      <c r="A32" s="29">
        <v>20</v>
      </c>
      <c r="B32" s="37" t="s">
        <v>169</v>
      </c>
      <c r="C32" s="35" t="s">
        <v>16</v>
      </c>
      <c r="D32" s="29">
        <v>1</v>
      </c>
      <c r="E32" s="33">
        <v>1600000</v>
      </c>
      <c r="F32" s="36">
        <f>D32*E32</f>
        <v>1600000</v>
      </c>
      <c r="G32" s="2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</row>
    <row r="33" spans="1:254" s="9" customFormat="1" ht="30" customHeight="1">
      <c r="A33" s="29">
        <v>21</v>
      </c>
      <c r="B33" s="37" t="s">
        <v>163</v>
      </c>
      <c r="C33" s="35" t="s">
        <v>16</v>
      </c>
      <c r="D33" s="29">
        <v>1</v>
      </c>
      <c r="E33" s="33">
        <v>1660000</v>
      </c>
      <c r="F33" s="36">
        <f>D33*E33</f>
        <v>1660000</v>
      </c>
      <c r="G33" s="2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</row>
    <row r="34" spans="1:254" s="9" customFormat="1" ht="30" customHeight="1">
      <c r="A34" s="29">
        <v>22</v>
      </c>
      <c r="B34" s="37" t="s">
        <v>162</v>
      </c>
      <c r="C34" s="35" t="s">
        <v>16</v>
      </c>
      <c r="D34" s="29">
        <v>1</v>
      </c>
      <c r="E34" s="33">
        <v>1725600</v>
      </c>
      <c r="F34" s="36">
        <f>D34*E34</f>
        <v>1725600</v>
      </c>
      <c r="G34" s="2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</row>
    <row r="35" spans="1:254" s="9" customFormat="1" ht="30" customHeight="1">
      <c r="A35" s="29">
        <v>23</v>
      </c>
      <c r="B35" s="37" t="s">
        <v>159</v>
      </c>
      <c r="C35" s="35" t="s">
        <v>16</v>
      </c>
      <c r="D35" s="29">
        <v>1</v>
      </c>
      <c r="E35" s="33">
        <v>1730000</v>
      </c>
      <c r="F35" s="36">
        <f>D35*E35</f>
        <v>1730000</v>
      </c>
      <c r="G35" s="2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</row>
    <row r="36" spans="1:254" s="9" customFormat="1" ht="30" customHeight="1">
      <c r="A36" s="29">
        <v>24</v>
      </c>
      <c r="B36" s="37" t="s">
        <v>156</v>
      </c>
      <c r="C36" s="35" t="s">
        <v>16</v>
      </c>
      <c r="D36" s="29">
        <v>1</v>
      </c>
      <c r="E36" s="33">
        <v>1750000</v>
      </c>
      <c r="F36" s="36">
        <f>D36*E36</f>
        <v>1750000</v>
      </c>
      <c r="G36" s="2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</row>
    <row r="37" spans="1:254" s="9" customFormat="1" ht="30" customHeight="1">
      <c r="A37" s="29">
        <v>25</v>
      </c>
      <c r="B37" s="37" t="s">
        <v>149</v>
      </c>
      <c r="C37" s="35" t="s">
        <v>16</v>
      </c>
      <c r="D37" s="29">
        <v>1</v>
      </c>
      <c r="E37" s="33">
        <v>1765200</v>
      </c>
      <c r="F37" s="36">
        <f>D37*E37</f>
        <v>1765200</v>
      </c>
      <c r="G37" s="2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</row>
    <row r="38" spans="1:254" s="9" customFormat="1" ht="30" customHeight="1">
      <c r="A38" s="29">
        <v>26</v>
      </c>
      <c r="B38" s="37" t="s">
        <v>149</v>
      </c>
      <c r="C38" s="35" t="s">
        <v>16</v>
      </c>
      <c r="D38" s="29">
        <v>1</v>
      </c>
      <c r="E38" s="33">
        <v>1805200</v>
      </c>
      <c r="F38" s="36">
        <f>D38*E38</f>
        <v>1805200</v>
      </c>
      <c r="G38" s="2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</row>
    <row r="39" spans="1:254" s="9" customFormat="1" ht="30" customHeight="1">
      <c r="A39" s="29">
        <v>27</v>
      </c>
      <c r="B39" s="37" t="s">
        <v>149</v>
      </c>
      <c r="C39" s="35" t="s">
        <v>16</v>
      </c>
      <c r="D39" s="29">
        <v>1</v>
      </c>
      <c r="E39" s="33">
        <v>1874400</v>
      </c>
      <c r="F39" s="36">
        <f>D39*E39</f>
        <v>1874400</v>
      </c>
      <c r="G39" s="2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</row>
    <row r="40" spans="1:254" s="9" customFormat="1" ht="30" customHeight="1">
      <c r="A40" s="29">
        <v>28</v>
      </c>
      <c r="B40" s="37" t="s">
        <v>154</v>
      </c>
      <c r="C40" s="35" t="s">
        <v>16</v>
      </c>
      <c r="D40" s="29">
        <v>1</v>
      </c>
      <c r="E40" s="33">
        <v>1900000</v>
      </c>
      <c r="F40" s="36">
        <f>D40*E40</f>
        <v>1900000</v>
      </c>
      <c r="G40" s="2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</row>
    <row r="41" spans="1:254" s="9" customFormat="1" ht="30" customHeight="1">
      <c r="A41" s="29">
        <v>29</v>
      </c>
      <c r="B41" s="37" t="s">
        <v>149</v>
      </c>
      <c r="C41" s="35" t="s">
        <v>16</v>
      </c>
      <c r="D41" s="29">
        <v>1</v>
      </c>
      <c r="E41" s="33">
        <v>1921200</v>
      </c>
      <c r="F41" s="36">
        <f>D41*E41</f>
        <v>1921200</v>
      </c>
      <c r="G41" s="2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</row>
    <row r="42" spans="1:254" s="9" customFormat="1" ht="30" customHeight="1">
      <c r="A42" s="29">
        <v>30</v>
      </c>
      <c r="B42" s="37" t="s">
        <v>162</v>
      </c>
      <c r="C42" s="35" t="s">
        <v>16</v>
      </c>
      <c r="D42" s="29">
        <v>1</v>
      </c>
      <c r="E42" s="33">
        <v>1932400</v>
      </c>
      <c r="F42" s="36">
        <f>D42*E42</f>
        <v>1932400</v>
      </c>
      <c r="G42" s="2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</row>
    <row r="43" spans="1:254" s="9" customFormat="1" ht="30" customHeight="1">
      <c r="A43" s="29">
        <v>31</v>
      </c>
      <c r="B43" s="37" t="s">
        <v>161</v>
      </c>
      <c r="C43" s="35" t="s">
        <v>16</v>
      </c>
      <c r="D43" s="29">
        <v>2</v>
      </c>
      <c r="E43" s="33">
        <v>1950000</v>
      </c>
      <c r="F43" s="36">
        <f>D43*E43</f>
        <v>3900000</v>
      </c>
      <c r="G43" s="2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</row>
    <row r="44" spans="1:254" s="8" customFormat="1" ht="30" customHeight="1">
      <c r="A44" s="29">
        <v>32</v>
      </c>
      <c r="B44" s="37" t="s">
        <v>170</v>
      </c>
      <c r="C44" s="35" t="s">
        <v>16</v>
      </c>
      <c r="D44" s="29">
        <v>1</v>
      </c>
      <c r="E44" s="33">
        <v>2000000</v>
      </c>
      <c r="F44" s="36">
        <f>D44*E44</f>
        <v>2000000</v>
      </c>
      <c r="G44" s="28"/>
    </row>
    <row r="45" spans="1:254" s="8" customFormat="1" ht="30" customHeight="1">
      <c r="A45" s="29">
        <v>33</v>
      </c>
      <c r="B45" s="37" t="s">
        <v>161</v>
      </c>
      <c r="C45" s="35" t="s">
        <v>16</v>
      </c>
      <c r="D45" s="29">
        <v>2</v>
      </c>
      <c r="E45" s="33">
        <v>2100000</v>
      </c>
      <c r="F45" s="36">
        <f>D45*E45</f>
        <v>4200000</v>
      </c>
      <c r="G45" s="28"/>
    </row>
    <row r="46" spans="1:254" s="8" customFormat="1" ht="30" customHeight="1">
      <c r="A46" s="29">
        <v>34</v>
      </c>
      <c r="B46" s="37" t="s">
        <v>168</v>
      </c>
      <c r="C46" s="35" t="s">
        <v>16</v>
      </c>
      <c r="D46" s="29">
        <v>1</v>
      </c>
      <c r="E46" s="33">
        <v>2300000</v>
      </c>
      <c r="F46" s="36">
        <f>D46*E46</f>
        <v>2300000</v>
      </c>
      <c r="G46" s="28"/>
    </row>
    <row r="47" spans="1:254" s="8" customFormat="1" ht="30" customHeight="1">
      <c r="A47" s="29"/>
      <c r="B47" s="34"/>
      <c r="C47" s="35"/>
      <c r="D47" s="29"/>
      <c r="E47" s="33"/>
      <c r="F47" s="36"/>
      <c r="G47" s="28"/>
    </row>
    <row r="48" spans="1:254" s="1" customFormat="1" ht="21" customHeight="1">
      <c r="A48" s="42" t="s">
        <v>17</v>
      </c>
      <c r="B48" s="42"/>
      <c r="C48" s="42"/>
      <c r="D48" s="42"/>
      <c r="E48" s="5"/>
      <c r="F48" s="5">
        <f>SUM(F6:F47)</f>
        <v>56061200</v>
      </c>
      <c r="G48" s="30"/>
    </row>
    <row r="49" spans="1:6" s="1" customFormat="1" ht="21" customHeight="1">
      <c r="A49" s="42" t="s">
        <v>18</v>
      </c>
      <c r="B49" s="42"/>
      <c r="C49" s="42"/>
      <c r="D49" s="42"/>
      <c r="E49" s="5"/>
      <c r="F49" s="5">
        <f>F48*8%</f>
        <v>4484896</v>
      </c>
    </row>
    <row r="50" spans="1:6" s="1" customFormat="1" ht="21" customHeight="1">
      <c r="A50" s="42" t="s">
        <v>19</v>
      </c>
      <c r="B50" s="42"/>
      <c r="C50" s="42"/>
      <c r="D50" s="42"/>
      <c r="E50" s="5"/>
      <c r="F50" s="5">
        <f>F48+F49</f>
        <v>60546096</v>
      </c>
    </row>
  </sheetData>
  <autoFilter ref="A12:IT46" xr:uid="{00000000-0009-0000-0000-000000000000}">
    <sortState xmlns:xlrd2="http://schemas.microsoft.com/office/spreadsheetml/2017/richdata2" ref="A13:IT46">
      <sortCondition ref="E12:E46"/>
    </sortState>
  </autoFilter>
  <mergeCells count="5">
    <mergeCell ref="A48:D48"/>
    <mergeCell ref="A49:D49"/>
    <mergeCell ref="A50:D50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 HIEU</vt:lpstr>
      <vt:lpstr>A NAM</vt:lpstr>
      <vt:lpstr>A HUNG</vt:lpstr>
      <vt:lpstr>CHU HOANG</vt:lpstr>
      <vt:lpstr>A HUU</vt:lpstr>
      <vt:lpstr>A DANH</vt:lpstr>
      <vt:lpstr>A TUẤN</vt:lpstr>
      <vt:lpstr>TÚ 4T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HD-TT002</dc:creator>
  <cp:lastModifiedBy>Nguyễn Đức Trọng</cp:lastModifiedBy>
  <dcterms:created xsi:type="dcterms:W3CDTF">2006-09-16T00:00:00Z</dcterms:created>
  <dcterms:modified xsi:type="dcterms:W3CDTF">2025-12-30T04:24:01Z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2057-12.2.0.13431</vt:lpwstr>
  </property>
  <property fmtid="{D5CDD505-2E9C-101B-9397-08002B2CF9AE}" pid="3" name="ICV">
    <vt:lpwstr>C8426CF6DDB24AABA9652EBE7E57C92D_13</vt:lpwstr>
  </property>
</Properties>
</file>